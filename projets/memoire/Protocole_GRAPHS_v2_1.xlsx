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charts/chart17.xml" ContentType="application/vnd.openxmlformats-officedocument.drawingml.chart+xml"/>
  <Override PartName="/xl/charts/style12.xml" ContentType="application/vnd.ms-office.chartstyle+xml"/>
  <Override PartName="/xl/charts/colors12.xml" ContentType="application/vnd.ms-office.chartcolorstyle+xml"/>
  <Override PartName="/xl/charts/chart18.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9.xml" ContentType="application/vnd.openxmlformats-officedocument.drawingml.chart+xml"/>
  <Override PartName="/xl/charts/style14.xml" ContentType="application/vnd.ms-office.chartstyle+xml"/>
  <Override PartName="/xl/charts/colors14.xml" ContentType="application/vnd.ms-office.chartcolorstyle+xml"/>
  <Override PartName="/xl/charts/chart20.xml" ContentType="application/vnd.openxmlformats-officedocument.drawingml.chart+xml"/>
  <Override PartName="/xl/charts/style15.xml" ContentType="application/vnd.ms-office.chartstyle+xml"/>
  <Override PartName="/xl/charts/colors15.xml" ContentType="application/vnd.ms-office.chartcolorstyle+xml"/>
  <Override PartName="/xl/charts/chart21.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xml"/>
  <Override PartName="/xl/charts/chart22.xml" ContentType="application/vnd.openxmlformats-officedocument.drawingml.chart+xml"/>
  <Override PartName="/xl/charts/style17.xml" ContentType="application/vnd.ms-office.chartstyle+xml"/>
  <Override PartName="/xl/charts/colors17.xml" ContentType="application/vnd.ms-office.chartcolorstyle+xml"/>
  <Override PartName="/xl/charts/chart23.xml" ContentType="application/vnd.openxmlformats-officedocument.drawingml.chart+xml"/>
  <Override PartName="/xl/charts/style18.xml" ContentType="application/vnd.ms-office.chartstyle+xml"/>
  <Override PartName="/xl/charts/colors18.xml" ContentType="application/vnd.ms-office.chartcolorstyle+xml"/>
  <Override PartName="/xl/charts/chart24.xml" ContentType="application/vnd.openxmlformats-officedocument.drawingml.chart+xml"/>
  <Override PartName="/xl/charts/style19.xml" ContentType="application/vnd.ms-office.chartstyle+xml"/>
  <Override PartName="/xl/charts/colors19.xml" ContentType="application/vnd.ms-office.chartcolorstyle+xml"/>
  <Override PartName="/xl/charts/chart25.xml" ContentType="application/vnd.openxmlformats-officedocument.drawingml.chart+xml"/>
  <Override PartName="/xl/charts/style20.xml" ContentType="application/vnd.ms-office.chartstyle+xml"/>
  <Override PartName="/xl/charts/colors20.xml" ContentType="application/vnd.ms-office.chartcolorstyle+xml"/>
  <Override PartName="/xl/charts/chart26.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lydérick\Desktop\master cgao\M2\Mémoire\empirique\"/>
    </mc:Choice>
  </mc:AlternateContent>
  <xr:revisionPtr revIDLastSave="0" documentId="13_ncr:1_{C610BA40-9E72-4B35-9F03-09FFDADDD5EA}" xr6:coauthVersionLast="47" xr6:coauthVersionMax="47" xr10:uidLastSave="{00000000-0000-0000-0000-000000000000}"/>
  <bookViews>
    <workbookView xWindow="-120" yWindow="-120" windowWidth="29040" windowHeight="15720" firstSheet="2" activeTab="2" xr2:uid="{00000000-000D-0000-FFFF-FFFF00000000}"/>
  </bookViews>
  <sheets>
    <sheet name="RECAPITULATIF" sheetId="1" r:id="rId1"/>
    <sheet name="DONNEES BRUTES non filtrées" sheetId="2" r:id="rId2"/>
    <sheet name="DONNEES_SOURCE" sheetId="3" r:id="rId3"/>
    <sheet name="0_PREPARATION" sheetId="4" r:id="rId4"/>
    <sheet name="5.1_PROFIL_ECHANTILLON" sheetId="5" r:id="rId5"/>
    <sheet name="Alpha de cronbach" sheetId="6" r:id="rId6"/>
    <sheet name="5.2_STATS_DESC" sheetId="7" r:id="rId7"/>
    <sheet name="5.3_HYPOTHESES" sheetId="8" r:id="rId8"/>
    <sheet name="H1_SUP_Q1" sheetId="15" r:id="rId9"/>
    <sheet name="H2_SFU_Q1" sheetId="17" r:id="rId10"/>
    <sheet name="H3_SRP" sheetId="18" r:id="rId11"/>
    <sheet name="H4a_MODERATION" sheetId="20" r:id="rId12"/>
    <sheet name="H4b_SCEPTICISME" sheetId="21" r:id="rId13"/>
    <sheet name="Risques en num" sheetId="12" r:id="rId14"/>
    <sheet name="5.4_COMPLEM" sheetId="9" r:id="rId15"/>
    <sheet name="protocole grade et taille cabin" sheetId="28" r:id="rId16"/>
    <sheet name="5.5_GUIDE_DISCUSSION" sheetId="10" r:id="rId17"/>
    <sheet name="SYNTHESE_5.1_PROFIL" sheetId="23" r:id="rId18"/>
    <sheet name="SYNTHESE_5.2_STATS" sheetId="24" r:id="rId19"/>
    <sheet name="SYNTHESE_5.3_HYPOTHESES" sheetId="25" r:id="rId20"/>
    <sheet name="SYNTHESE_5.4_COMPLEM" sheetId="26" r:id="rId21"/>
    <sheet name="GUIDE_5.5_DISCUSSION" sheetId="27" r:id="rId22"/>
  </sheets>
  <definedNames>
    <definedName name="_xlnm._FilterDatabase" localSheetId="2" hidden="1">DONNEES_SOURCE!$A$1:$CB$68</definedName>
    <definedName name="_xlchart.v1.0" hidden="1">DONNEES_SOURCE!$BU$1</definedName>
    <definedName name="_xlchart.v1.1" hidden="1">DONNEES_SOURCE!$BU$2:$BU$101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P70" i="20" l="1"/>
  <c r="P71" i="20"/>
  <c r="P72" i="20"/>
  <c r="P73" i="20"/>
  <c r="P74" i="20"/>
  <c r="P75" i="20"/>
  <c r="P76" i="20"/>
  <c r="P77" i="20"/>
  <c r="P78" i="20"/>
  <c r="P79" i="20"/>
  <c r="P80" i="20"/>
  <c r="P81" i="20"/>
  <c r="P82" i="20"/>
  <c r="P83" i="20"/>
  <c r="P84" i="20"/>
  <c r="P85" i="20"/>
  <c r="P86" i="20"/>
  <c r="P87" i="20"/>
  <c r="P88" i="20"/>
  <c r="P89" i="20"/>
  <c r="P90" i="20"/>
  <c r="P91" i="20"/>
  <c r="P92" i="20"/>
  <c r="P93" i="20"/>
  <c r="P94" i="20"/>
  <c r="P95" i="20"/>
  <c r="P96" i="20"/>
  <c r="P97" i="20"/>
  <c r="P98" i="20"/>
  <c r="P99" i="20"/>
  <c r="P100" i="20"/>
  <c r="P101" i="20"/>
  <c r="P102" i="20"/>
  <c r="F9" i="23"/>
  <c r="A29" i="26"/>
  <c r="A28" i="26"/>
  <c r="A27" i="26"/>
  <c r="A14" i="26"/>
  <c r="A13" i="26"/>
  <c r="A12" i="26"/>
  <c r="B28" i="25"/>
  <c r="A28" i="25"/>
  <c r="B27" i="25"/>
  <c r="A27" i="25"/>
  <c r="B26" i="25"/>
  <c r="A26" i="25"/>
  <c r="D11" i="24"/>
  <c r="B11" i="24"/>
  <c r="A11" i="24"/>
  <c r="D10" i="24"/>
  <c r="B10" i="24"/>
  <c r="A10" i="24"/>
  <c r="D9" i="24"/>
  <c r="C9" i="24"/>
  <c r="B9" i="24"/>
  <c r="A9" i="24"/>
  <c r="D8" i="24"/>
  <c r="C8" i="24"/>
  <c r="B8" i="24"/>
  <c r="A8" i="24"/>
  <c r="D7" i="24"/>
  <c r="C7" i="24"/>
  <c r="B7" i="24"/>
  <c r="A7" i="24"/>
  <c r="D6" i="24"/>
  <c r="C6" i="24"/>
  <c r="B6" i="24"/>
  <c r="A6" i="24"/>
  <c r="D5" i="24"/>
  <c r="C5" i="24"/>
  <c r="B5" i="24"/>
  <c r="A5" i="24"/>
  <c r="A49" i="23"/>
  <c r="A48" i="23"/>
  <c r="A47" i="23"/>
  <c r="A46" i="23"/>
  <c r="A41" i="23"/>
  <c r="A40" i="23"/>
  <c r="A39" i="23"/>
  <c r="A38" i="23"/>
  <c r="A37" i="23"/>
  <c r="A36" i="23"/>
  <c r="A31" i="23"/>
  <c r="A30" i="23"/>
  <c r="A29" i="23"/>
  <c r="A24" i="23"/>
  <c r="A23" i="23"/>
  <c r="A18" i="23"/>
  <c r="A17" i="23"/>
  <c r="A16" i="23"/>
  <c r="A15" i="23"/>
  <c r="A14" i="23"/>
  <c r="A13" i="23"/>
  <c r="S70" i="15"/>
  <c r="S71" i="15"/>
  <c r="S72" i="15"/>
  <c r="S73" i="15"/>
  <c r="S74" i="15"/>
  <c r="S75" i="15"/>
  <c r="S76" i="15"/>
  <c r="S78" i="15"/>
  <c r="S79" i="15"/>
  <c r="S80" i="15"/>
  <c r="S81" i="15"/>
  <c r="S82" i="15"/>
  <c r="S83" i="15"/>
  <c r="S84" i="15"/>
  <c r="S85" i="15"/>
  <c r="S86" i="15"/>
  <c r="S87" i="15"/>
  <c r="S88" i="15"/>
  <c r="S89" i="15"/>
  <c r="S90" i="15"/>
  <c r="S91" i="15"/>
  <c r="S92" i="15"/>
  <c r="S93" i="15"/>
  <c r="S94" i="15"/>
  <c r="K70" i="15"/>
  <c r="L70" i="15"/>
  <c r="M70" i="15"/>
  <c r="N70" i="15"/>
  <c r="O70" i="15"/>
  <c r="P70" i="15"/>
  <c r="Q70" i="15"/>
  <c r="R70" i="15"/>
  <c r="T70" i="15"/>
  <c r="U70" i="15"/>
  <c r="V70" i="15"/>
  <c r="K71" i="15"/>
  <c r="L71" i="15"/>
  <c r="M71" i="15"/>
  <c r="N71" i="15"/>
  <c r="O71" i="15"/>
  <c r="P71" i="15"/>
  <c r="Q71" i="15"/>
  <c r="R71" i="15"/>
  <c r="T71" i="15"/>
  <c r="U71" i="15"/>
  <c r="V71" i="15"/>
  <c r="K72" i="15"/>
  <c r="L72" i="15"/>
  <c r="M72" i="15"/>
  <c r="N72" i="15"/>
  <c r="O72" i="15"/>
  <c r="P72" i="15"/>
  <c r="Q72" i="15"/>
  <c r="R72" i="15"/>
  <c r="T72" i="15"/>
  <c r="U72" i="15"/>
  <c r="V72" i="15"/>
  <c r="K73" i="15"/>
  <c r="L73" i="15"/>
  <c r="M73" i="15"/>
  <c r="N73" i="15"/>
  <c r="O73" i="15"/>
  <c r="P73" i="15"/>
  <c r="Q73" i="15"/>
  <c r="R73" i="15"/>
  <c r="T73" i="15"/>
  <c r="U73" i="15"/>
  <c r="V73" i="15"/>
  <c r="K74" i="15"/>
  <c r="L74" i="15"/>
  <c r="M74" i="15"/>
  <c r="N74" i="15"/>
  <c r="O74" i="15"/>
  <c r="P74" i="15"/>
  <c r="Q74" i="15"/>
  <c r="R74" i="15"/>
  <c r="T74" i="15"/>
  <c r="U74" i="15"/>
  <c r="V74" i="15"/>
  <c r="K75" i="15"/>
  <c r="L75" i="15"/>
  <c r="M75" i="15"/>
  <c r="N75" i="15"/>
  <c r="O75" i="15"/>
  <c r="P75" i="15"/>
  <c r="Q75" i="15"/>
  <c r="R75" i="15"/>
  <c r="T75" i="15"/>
  <c r="U75" i="15"/>
  <c r="V75" i="15"/>
  <c r="K76" i="15"/>
  <c r="L76" i="15"/>
  <c r="M76" i="15"/>
  <c r="N76" i="15"/>
  <c r="O76" i="15"/>
  <c r="P76" i="15"/>
  <c r="Q76" i="15"/>
  <c r="R76" i="15"/>
  <c r="T76" i="15"/>
  <c r="U76" i="15"/>
  <c r="V76" i="15"/>
  <c r="K77" i="15"/>
  <c r="L77" i="15"/>
  <c r="M77" i="15"/>
  <c r="N77" i="15"/>
  <c r="O77" i="15"/>
  <c r="P77" i="15"/>
  <c r="Q77" i="15"/>
  <c r="R77" i="15"/>
  <c r="S77" i="15"/>
  <c r="T77" i="15"/>
  <c r="U77" i="15"/>
  <c r="V77" i="15"/>
  <c r="K78" i="15"/>
  <c r="L78" i="15"/>
  <c r="M78" i="15"/>
  <c r="N78" i="15"/>
  <c r="O78" i="15"/>
  <c r="P78" i="15"/>
  <c r="Q78" i="15"/>
  <c r="R78" i="15"/>
  <c r="T78" i="15"/>
  <c r="U78" i="15"/>
  <c r="V78" i="15"/>
  <c r="K79" i="15"/>
  <c r="L79" i="15"/>
  <c r="M79" i="15"/>
  <c r="N79" i="15"/>
  <c r="O79" i="15"/>
  <c r="P79" i="15"/>
  <c r="Q79" i="15"/>
  <c r="R79" i="15"/>
  <c r="T79" i="15"/>
  <c r="U79" i="15"/>
  <c r="V79" i="15"/>
  <c r="K80" i="15"/>
  <c r="L80" i="15"/>
  <c r="M80" i="15"/>
  <c r="N80" i="15"/>
  <c r="O80" i="15"/>
  <c r="P80" i="15"/>
  <c r="Q80" i="15"/>
  <c r="R80" i="15"/>
  <c r="T80" i="15"/>
  <c r="U80" i="15"/>
  <c r="V80" i="15"/>
  <c r="K81" i="15"/>
  <c r="L81" i="15"/>
  <c r="M81" i="15"/>
  <c r="N81" i="15"/>
  <c r="O81" i="15"/>
  <c r="P81" i="15"/>
  <c r="Q81" i="15"/>
  <c r="R81" i="15"/>
  <c r="T81" i="15"/>
  <c r="U81" i="15"/>
  <c r="V81" i="15"/>
  <c r="K82" i="15"/>
  <c r="L82" i="15"/>
  <c r="M82" i="15"/>
  <c r="N82" i="15"/>
  <c r="O82" i="15"/>
  <c r="P82" i="15"/>
  <c r="Q82" i="15"/>
  <c r="R82" i="15"/>
  <c r="T82" i="15"/>
  <c r="U82" i="15"/>
  <c r="V82" i="15"/>
  <c r="K83" i="15"/>
  <c r="L83" i="15"/>
  <c r="M83" i="15"/>
  <c r="N83" i="15"/>
  <c r="O83" i="15"/>
  <c r="P83" i="15"/>
  <c r="Q83" i="15"/>
  <c r="R83" i="15"/>
  <c r="T83" i="15"/>
  <c r="U83" i="15"/>
  <c r="V83" i="15"/>
  <c r="K84" i="15"/>
  <c r="L84" i="15"/>
  <c r="M84" i="15"/>
  <c r="N84" i="15"/>
  <c r="O84" i="15"/>
  <c r="P84" i="15"/>
  <c r="Q84" i="15"/>
  <c r="R84" i="15"/>
  <c r="T84" i="15"/>
  <c r="U84" i="15"/>
  <c r="V84" i="15"/>
  <c r="K85" i="15"/>
  <c r="L85" i="15"/>
  <c r="M85" i="15"/>
  <c r="N85" i="15"/>
  <c r="O85" i="15"/>
  <c r="P85" i="15"/>
  <c r="Q85" i="15"/>
  <c r="R85" i="15"/>
  <c r="T85" i="15"/>
  <c r="U85" i="15"/>
  <c r="V85" i="15"/>
  <c r="K86" i="15"/>
  <c r="L86" i="15"/>
  <c r="M86" i="15"/>
  <c r="N86" i="15"/>
  <c r="O86" i="15"/>
  <c r="P86" i="15"/>
  <c r="Q86" i="15"/>
  <c r="R86" i="15"/>
  <c r="T86" i="15"/>
  <c r="U86" i="15"/>
  <c r="V86" i="15"/>
  <c r="K87" i="15"/>
  <c r="L87" i="15"/>
  <c r="M87" i="15"/>
  <c r="N87" i="15"/>
  <c r="O87" i="15"/>
  <c r="P87" i="15"/>
  <c r="Q87" i="15"/>
  <c r="R87" i="15"/>
  <c r="T87" i="15"/>
  <c r="U87" i="15"/>
  <c r="V87" i="15"/>
  <c r="K88" i="15"/>
  <c r="L88" i="15"/>
  <c r="M88" i="15"/>
  <c r="N88" i="15"/>
  <c r="O88" i="15"/>
  <c r="P88" i="15"/>
  <c r="Q88" i="15"/>
  <c r="R88" i="15"/>
  <c r="T88" i="15"/>
  <c r="U88" i="15"/>
  <c r="V88" i="15"/>
  <c r="K89" i="15"/>
  <c r="L89" i="15"/>
  <c r="M89" i="15"/>
  <c r="N89" i="15"/>
  <c r="O89" i="15"/>
  <c r="P89" i="15"/>
  <c r="Q89" i="15"/>
  <c r="R89" i="15"/>
  <c r="T89" i="15"/>
  <c r="U89" i="15"/>
  <c r="V89" i="15"/>
  <c r="K90" i="15"/>
  <c r="L90" i="15"/>
  <c r="M90" i="15"/>
  <c r="N90" i="15"/>
  <c r="O90" i="15"/>
  <c r="P90" i="15"/>
  <c r="Q90" i="15"/>
  <c r="R90" i="15"/>
  <c r="T90" i="15"/>
  <c r="U90" i="15"/>
  <c r="V90" i="15"/>
  <c r="K91" i="15"/>
  <c r="L91" i="15"/>
  <c r="M91" i="15"/>
  <c r="N91" i="15"/>
  <c r="O91" i="15"/>
  <c r="P91" i="15"/>
  <c r="Q91" i="15"/>
  <c r="R91" i="15"/>
  <c r="T91" i="15"/>
  <c r="U91" i="15"/>
  <c r="V91" i="15"/>
  <c r="K92" i="15"/>
  <c r="L92" i="15"/>
  <c r="M92" i="15"/>
  <c r="N92" i="15"/>
  <c r="O92" i="15"/>
  <c r="P92" i="15"/>
  <c r="Q92" i="15"/>
  <c r="R92" i="15"/>
  <c r="T92" i="15"/>
  <c r="U92" i="15"/>
  <c r="V92" i="15"/>
  <c r="K93" i="15"/>
  <c r="L93" i="15"/>
  <c r="M93" i="15"/>
  <c r="N93" i="15"/>
  <c r="O93" i="15"/>
  <c r="P93" i="15"/>
  <c r="Q93" i="15"/>
  <c r="R93" i="15"/>
  <c r="T93" i="15"/>
  <c r="U93" i="15"/>
  <c r="V93" i="15"/>
  <c r="K94" i="15"/>
  <c r="L94" i="15"/>
  <c r="M94" i="15"/>
  <c r="N94" i="15"/>
  <c r="O94" i="15"/>
  <c r="P94" i="15"/>
  <c r="Q94" i="15"/>
  <c r="R94" i="15"/>
  <c r="T94" i="15"/>
  <c r="U94" i="15"/>
  <c r="V94" i="15"/>
  <c r="K95" i="15"/>
  <c r="L95" i="15"/>
  <c r="M95" i="15"/>
  <c r="N95" i="15"/>
  <c r="O95" i="15"/>
  <c r="P95" i="15"/>
  <c r="Q95" i="15"/>
  <c r="R95" i="15"/>
  <c r="S95" i="15"/>
  <c r="T95" i="15"/>
  <c r="U95" i="15"/>
  <c r="V95" i="15"/>
  <c r="K96" i="15"/>
  <c r="L96" i="15"/>
  <c r="M96" i="15"/>
  <c r="N96" i="15"/>
  <c r="O96" i="15"/>
  <c r="P96" i="15"/>
  <c r="Q96" i="15"/>
  <c r="R96" i="15"/>
  <c r="S96" i="15"/>
  <c r="T96" i="15"/>
  <c r="U96" i="15"/>
  <c r="V96" i="15"/>
  <c r="K97" i="15"/>
  <c r="L97" i="15"/>
  <c r="M97" i="15"/>
  <c r="N97" i="15"/>
  <c r="O97" i="15"/>
  <c r="P97" i="15"/>
  <c r="Q97" i="15"/>
  <c r="R97" i="15"/>
  <c r="S97" i="15"/>
  <c r="T97" i="15"/>
  <c r="U97" i="15"/>
  <c r="V97" i="15"/>
  <c r="K98" i="15"/>
  <c r="L98" i="15"/>
  <c r="M98" i="15"/>
  <c r="N98" i="15"/>
  <c r="O98" i="15"/>
  <c r="P98" i="15"/>
  <c r="Q98" i="15"/>
  <c r="R98" i="15"/>
  <c r="S98" i="15"/>
  <c r="T98" i="15"/>
  <c r="U98" i="15"/>
  <c r="V98" i="15"/>
  <c r="K99" i="15"/>
  <c r="L99" i="15"/>
  <c r="M99" i="15"/>
  <c r="N99" i="15"/>
  <c r="O99" i="15"/>
  <c r="P99" i="15"/>
  <c r="Q99" i="15"/>
  <c r="R99" i="15"/>
  <c r="S99" i="15"/>
  <c r="T99" i="15"/>
  <c r="U99" i="15"/>
  <c r="V99" i="15"/>
  <c r="K100" i="15"/>
  <c r="L100" i="15"/>
  <c r="M100" i="15"/>
  <c r="N100" i="15"/>
  <c r="O100" i="15"/>
  <c r="P100" i="15"/>
  <c r="Q100" i="15"/>
  <c r="R100" i="15"/>
  <c r="S100" i="15"/>
  <c r="T100" i="15"/>
  <c r="U100" i="15"/>
  <c r="V100" i="15"/>
  <c r="K101" i="15"/>
  <c r="L101" i="15"/>
  <c r="M101" i="15"/>
  <c r="N101" i="15"/>
  <c r="O101" i="15"/>
  <c r="P101" i="15"/>
  <c r="Q101" i="15"/>
  <c r="R101" i="15"/>
  <c r="S101" i="15"/>
  <c r="T101" i="15"/>
  <c r="U101" i="15"/>
  <c r="V101" i="15"/>
  <c r="K102" i="15"/>
  <c r="L102" i="15"/>
  <c r="M102" i="15"/>
  <c r="N102" i="15"/>
  <c r="O102" i="15"/>
  <c r="P102" i="15"/>
  <c r="Q102" i="15"/>
  <c r="R102" i="15"/>
  <c r="S102" i="15"/>
  <c r="T102" i="15"/>
  <c r="Y101" i="15"/>
  <c r="X101" i="15"/>
  <c r="W101" i="15"/>
  <c r="Y100" i="15"/>
  <c r="X100" i="15"/>
  <c r="W100" i="15"/>
  <c r="Y99" i="15"/>
  <c r="X99" i="15"/>
  <c r="W99" i="15"/>
  <c r="Y98" i="15"/>
  <c r="X98" i="15"/>
  <c r="W98" i="15"/>
  <c r="Y97" i="15"/>
  <c r="X97" i="15"/>
  <c r="W97" i="15"/>
  <c r="Y96" i="15"/>
  <c r="X96" i="15"/>
  <c r="W96" i="15"/>
  <c r="Y95" i="15"/>
  <c r="X95" i="15"/>
  <c r="W95" i="15"/>
  <c r="Y94" i="15"/>
  <c r="X94" i="15"/>
  <c r="W94" i="15"/>
  <c r="Y93" i="15"/>
  <c r="X93" i="15"/>
  <c r="W93" i="15"/>
  <c r="Y92" i="15"/>
  <c r="X92" i="15"/>
  <c r="W92" i="15"/>
  <c r="Y91" i="15"/>
  <c r="X91" i="15"/>
  <c r="W91" i="15"/>
  <c r="Y90" i="15"/>
  <c r="X90" i="15"/>
  <c r="W90" i="15"/>
  <c r="Y89" i="15"/>
  <c r="X89" i="15"/>
  <c r="W89" i="15"/>
  <c r="Y88" i="15"/>
  <c r="X88" i="15"/>
  <c r="W88" i="15"/>
  <c r="Y87" i="15"/>
  <c r="X87" i="15"/>
  <c r="W87" i="15"/>
  <c r="Y86" i="15"/>
  <c r="X86" i="15"/>
  <c r="W86" i="15"/>
  <c r="Y85" i="15"/>
  <c r="X85" i="15"/>
  <c r="W85" i="15"/>
  <c r="Y84" i="15"/>
  <c r="X84" i="15"/>
  <c r="W84" i="15"/>
  <c r="Y83" i="15"/>
  <c r="X83" i="15"/>
  <c r="W83" i="15"/>
  <c r="Y82" i="15"/>
  <c r="X82" i="15"/>
  <c r="W82" i="15"/>
  <c r="Y81" i="15"/>
  <c r="X81" i="15"/>
  <c r="W81" i="15"/>
  <c r="Y80" i="15"/>
  <c r="X80" i="15"/>
  <c r="W80" i="15"/>
  <c r="Y79" i="15"/>
  <c r="X79" i="15"/>
  <c r="W79" i="15"/>
  <c r="Y78" i="15"/>
  <c r="X78" i="15"/>
  <c r="W78" i="15"/>
  <c r="Y77" i="15"/>
  <c r="X77" i="15"/>
  <c r="W77" i="15"/>
  <c r="Y76" i="15"/>
  <c r="X76" i="15"/>
  <c r="W76" i="15"/>
  <c r="Y75" i="15"/>
  <c r="X75" i="15"/>
  <c r="W75" i="15"/>
  <c r="Y74" i="15"/>
  <c r="X74" i="15"/>
  <c r="W74" i="15"/>
  <c r="Y73" i="15"/>
  <c r="X73" i="15"/>
  <c r="W73" i="15"/>
  <c r="Y72" i="15"/>
  <c r="X72" i="15"/>
  <c r="W72" i="15"/>
  <c r="Y71" i="15"/>
  <c r="X71" i="15"/>
  <c r="W71" i="15"/>
  <c r="Y70" i="15"/>
  <c r="X70" i="15"/>
  <c r="W70" i="15"/>
  <c r="V102" i="21"/>
  <c r="V101" i="21"/>
  <c r="V100" i="21"/>
  <c r="V99" i="21"/>
  <c r="V98" i="21"/>
  <c r="V97" i="21"/>
  <c r="V96" i="21"/>
  <c r="V95" i="21"/>
  <c r="V94" i="21"/>
  <c r="V93" i="21"/>
  <c r="V92" i="21"/>
  <c r="V91" i="21"/>
  <c r="V90" i="21"/>
  <c r="V89" i="21"/>
  <c r="V88" i="21"/>
  <c r="V87" i="21"/>
  <c r="V86" i="21"/>
  <c r="V85" i="21"/>
  <c r="V84" i="21"/>
  <c r="V83" i="21"/>
  <c r="V82" i="21"/>
  <c r="V81" i="21"/>
  <c r="V80" i="21"/>
  <c r="V79" i="21"/>
  <c r="V78" i="21"/>
  <c r="V77" i="21"/>
  <c r="V76" i="21"/>
  <c r="V75" i="21"/>
  <c r="V74" i="21"/>
  <c r="V73" i="21"/>
  <c r="V72" i="21"/>
  <c r="V71" i="21"/>
  <c r="V70" i="21"/>
  <c r="T102" i="21"/>
  <c r="S102" i="21"/>
  <c r="R102" i="21"/>
  <c r="Q102" i="21"/>
  <c r="P102" i="21"/>
  <c r="O102" i="21"/>
  <c r="N102" i="21"/>
  <c r="M102" i="21"/>
  <c r="L102" i="21"/>
  <c r="T101" i="21"/>
  <c r="S101" i="21"/>
  <c r="R101" i="21"/>
  <c r="Q101" i="21"/>
  <c r="P101" i="21"/>
  <c r="O101" i="21"/>
  <c r="N101" i="21"/>
  <c r="M101" i="21"/>
  <c r="L101" i="21"/>
  <c r="T100" i="21"/>
  <c r="S100" i="21"/>
  <c r="R100" i="21"/>
  <c r="Q100" i="21"/>
  <c r="P100" i="21"/>
  <c r="O100" i="21"/>
  <c r="N100" i="21"/>
  <c r="M100" i="21"/>
  <c r="L100" i="21"/>
  <c r="T99" i="21"/>
  <c r="S99" i="21"/>
  <c r="R99" i="21"/>
  <c r="Q99" i="21"/>
  <c r="P99" i="21"/>
  <c r="O99" i="21"/>
  <c r="N99" i="21"/>
  <c r="M99" i="21"/>
  <c r="L99" i="21"/>
  <c r="T98" i="21"/>
  <c r="S98" i="21"/>
  <c r="R98" i="21"/>
  <c r="Q98" i="21"/>
  <c r="P98" i="21"/>
  <c r="O98" i="21"/>
  <c r="N98" i="21"/>
  <c r="M98" i="21"/>
  <c r="L98" i="21"/>
  <c r="T97" i="21"/>
  <c r="S97" i="21"/>
  <c r="R97" i="21"/>
  <c r="Q97" i="21"/>
  <c r="P97" i="21"/>
  <c r="O97" i="21"/>
  <c r="N97" i="21"/>
  <c r="M97" i="21"/>
  <c r="L97" i="21"/>
  <c r="T96" i="21"/>
  <c r="S96" i="21"/>
  <c r="R96" i="21"/>
  <c r="Q96" i="21"/>
  <c r="P96" i="21"/>
  <c r="O96" i="21"/>
  <c r="N96" i="21"/>
  <c r="M96" i="21"/>
  <c r="L96" i="21"/>
  <c r="T95" i="21"/>
  <c r="S95" i="21"/>
  <c r="R95" i="21"/>
  <c r="Q95" i="21"/>
  <c r="P95" i="21"/>
  <c r="O95" i="21"/>
  <c r="N95" i="21"/>
  <c r="M95" i="21"/>
  <c r="L95" i="21"/>
  <c r="T94" i="21"/>
  <c r="S94" i="21"/>
  <c r="R94" i="21"/>
  <c r="Q94" i="21"/>
  <c r="P94" i="21"/>
  <c r="O94" i="21"/>
  <c r="N94" i="21"/>
  <c r="M94" i="21"/>
  <c r="L94" i="21"/>
  <c r="T93" i="21"/>
  <c r="S93" i="21"/>
  <c r="R93" i="21"/>
  <c r="Q93" i="21"/>
  <c r="P93" i="21"/>
  <c r="O93" i="21"/>
  <c r="N93" i="21"/>
  <c r="M93" i="21"/>
  <c r="L93" i="21"/>
  <c r="T92" i="21"/>
  <c r="S92" i="21"/>
  <c r="R92" i="21"/>
  <c r="Q92" i="21"/>
  <c r="P92" i="21"/>
  <c r="O92" i="21"/>
  <c r="N92" i="21"/>
  <c r="M92" i="21"/>
  <c r="L92" i="21"/>
  <c r="T91" i="21"/>
  <c r="S91" i="21"/>
  <c r="R91" i="21"/>
  <c r="Q91" i="21"/>
  <c r="P91" i="21"/>
  <c r="O91" i="21"/>
  <c r="N91" i="21"/>
  <c r="M91" i="21"/>
  <c r="L91" i="21"/>
  <c r="T90" i="21"/>
  <c r="S90" i="21"/>
  <c r="R90" i="21"/>
  <c r="Q90" i="21"/>
  <c r="P90" i="21"/>
  <c r="O90" i="21"/>
  <c r="N90" i="21"/>
  <c r="M90" i="21"/>
  <c r="L90" i="21"/>
  <c r="T89" i="21"/>
  <c r="S89" i="21"/>
  <c r="R89" i="21"/>
  <c r="Q89" i="21"/>
  <c r="P89" i="21"/>
  <c r="O89" i="21"/>
  <c r="N89" i="21"/>
  <c r="M89" i="21"/>
  <c r="L89" i="21"/>
  <c r="T88" i="21"/>
  <c r="S88" i="21"/>
  <c r="R88" i="21"/>
  <c r="Q88" i="21"/>
  <c r="P88" i="21"/>
  <c r="O88" i="21"/>
  <c r="N88" i="21"/>
  <c r="M88" i="21"/>
  <c r="L88" i="21"/>
  <c r="T87" i="21"/>
  <c r="S87" i="21"/>
  <c r="R87" i="21"/>
  <c r="Q87" i="21"/>
  <c r="P87" i="21"/>
  <c r="O87" i="21"/>
  <c r="N87" i="21"/>
  <c r="M87" i="21"/>
  <c r="L87" i="21"/>
  <c r="T86" i="21"/>
  <c r="S86" i="21"/>
  <c r="R86" i="21"/>
  <c r="Q86" i="21"/>
  <c r="P86" i="21"/>
  <c r="O86" i="21"/>
  <c r="N86" i="21"/>
  <c r="M86" i="21"/>
  <c r="L86" i="21"/>
  <c r="T85" i="21"/>
  <c r="S85" i="21"/>
  <c r="R85" i="21"/>
  <c r="Q85" i="21"/>
  <c r="P85" i="21"/>
  <c r="O85" i="21"/>
  <c r="N85" i="21"/>
  <c r="M85" i="21"/>
  <c r="L85" i="21"/>
  <c r="T84" i="21"/>
  <c r="S84" i="21"/>
  <c r="R84" i="21"/>
  <c r="Q84" i="21"/>
  <c r="P84" i="21"/>
  <c r="O84" i="21"/>
  <c r="N84" i="21"/>
  <c r="M84" i="21"/>
  <c r="L84" i="21"/>
  <c r="T83" i="21"/>
  <c r="S83" i="21"/>
  <c r="R83" i="21"/>
  <c r="Q83" i="21"/>
  <c r="P83" i="21"/>
  <c r="O83" i="21"/>
  <c r="N83" i="21"/>
  <c r="M83" i="21"/>
  <c r="L83" i="21"/>
  <c r="T82" i="21"/>
  <c r="S82" i="21"/>
  <c r="R82" i="21"/>
  <c r="Q82" i="21"/>
  <c r="P82" i="21"/>
  <c r="O82" i="21"/>
  <c r="N82" i="21"/>
  <c r="M82" i="21"/>
  <c r="L82" i="21"/>
  <c r="T81" i="21"/>
  <c r="S81" i="21"/>
  <c r="R81" i="21"/>
  <c r="Q81" i="21"/>
  <c r="P81" i="21"/>
  <c r="O81" i="21"/>
  <c r="N81" i="21"/>
  <c r="M81" i="21"/>
  <c r="L81" i="21"/>
  <c r="T80" i="21"/>
  <c r="S80" i="21"/>
  <c r="R80" i="21"/>
  <c r="Q80" i="21"/>
  <c r="P80" i="21"/>
  <c r="O80" i="21"/>
  <c r="N80" i="21"/>
  <c r="M80" i="21"/>
  <c r="L80" i="21"/>
  <c r="T79" i="21"/>
  <c r="S79" i="21"/>
  <c r="R79" i="21"/>
  <c r="Q79" i="21"/>
  <c r="P79" i="21"/>
  <c r="O79" i="21"/>
  <c r="N79" i="21"/>
  <c r="M79" i="21"/>
  <c r="L79" i="21"/>
  <c r="T78" i="21"/>
  <c r="S78" i="21"/>
  <c r="R78" i="21"/>
  <c r="Q78" i="21"/>
  <c r="P78" i="21"/>
  <c r="O78" i="21"/>
  <c r="N78" i="21"/>
  <c r="M78" i="21"/>
  <c r="L78" i="21"/>
  <c r="T77" i="21"/>
  <c r="S77" i="21"/>
  <c r="R77" i="21"/>
  <c r="Q77" i="21"/>
  <c r="P77" i="21"/>
  <c r="O77" i="21"/>
  <c r="N77" i="21"/>
  <c r="M77" i="21"/>
  <c r="L77" i="21"/>
  <c r="T76" i="21"/>
  <c r="S76" i="21"/>
  <c r="R76" i="21"/>
  <c r="Q76" i="21"/>
  <c r="P76" i="21"/>
  <c r="O76" i="21"/>
  <c r="N76" i="21"/>
  <c r="M76" i="21"/>
  <c r="L76" i="21"/>
  <c r="T75" i="21"/>
  <c r="S75" i="21"/>
  <c r="R75" i="21"/>
  <c r="Q75" i="21"/>
  <c r="P75" i="21"/>
  <c r="O75" i="21"/>
  <c r="N75" i="21"/>
  <c r="M75" i="21"/>
  <c r="L75" i="21"/>
  <c r="T74" i="21"/>
  <c r="S74" i="21"/>
  <c r="R74" i="21"/>
  <c r="Q74" i="21"/>
  <c r="P74" i="21"/>
  <c r="O74" i="21"/>
  <c r="N74" i="21"/>
  <c r="M74" i="21"/>
  <c r="L74" i="21"/>
  <c r="T73" i="21"/>
  <c r="S73" i="21"/>
  <c r="R73" i="21"/>
  <c r="Q73" i="21"/>
  <c r="P73" i="21"/>
  <c r="O73" i="21"/>
  <c r="N73" i="21"/>
  <c r="M73" i="21"/>
  <c r="L73" i="21"/>
  <c r="T72" i="21"/>
  <c r="S72" i="21"/>
  <c r="R72" i="21"/>
  <c r="Q72" i="21"/>
  <c r="P72" i="21"/>
  <c r="O72" i="21"/>
  <c r="N72" i="21"/>
  <c r="M72" i="21"/>
  <c r="L72" i="21"/>
  <c r="T71" i="21"/>
  <c r="S71" i="21"/>
  <c r="R71" i="21"/>
  <c r="Q71" i="21"/>
  <c r="P71" i="21"/>
  <c r="O71" i="21"/>
  <c r="N71" i="21"/>
  <c r="M71" i="21"/>
  <c r="L71" i="21"/>
  <c r="T70" i="21"/>
  <c r="S70" i="21"/>
  <c r="R70" i="21"/>
  <c r="Q70" i="21"/>
  <c r="P70" i="21"/>
  <c r="O70" i="21"/>
  <c r="N70" i="21"/>
  <c r="M70" i="21"/>
  <c r="L70" i="21"/>
  <c r="S102" i="20"/>
  <c r="R102" i="20"/>
  <c r="S101" i="20"/>
  <c r="R101" i="20"/>
  <c r="S100" i="20"/>
  <c r="R100" i="20"/>
  <c r="S99" i="20"/>
  <c r="R99" i="20"/>
  <c r="S98" i="20"/>
  <c r="R98" i="20"/>
  <c r="S97" i="20"/>
  <c r="R97" i="20"/>
  <c r="S96" i="20"/>
  <c r="R96" i="20"/>
  <c r="S95" i="20"/>
  <c r="R95" i="20"/>
  <c r="S94" i="20"/>
  <c r="R94" i="20"/>
  <c r="S93" i="20"/>
  <c r="R93" i="20"/>
  <c r="S92" i="20"/>
  <c r="R92" i="20"/>
  <c r="S91" i="20"/>
  <c r="R91" i="20"/>
  <c r="S90" i="20"/>
  <c r="R90" i="20"/>
  <c r="S89" i="20"/>
  <c r="R89" i="20"/>
  <c r="S88" i="20"/>
  <c r="R88" i="20"/>
  <c r="S87" i="20"/>
  <c r="R87" i="20"/>
  <c r="S86" i="20"/>
  <c r="R86" i="20"/>
  <c r="S85" i="20"/>
  <c r="R85" i="20"/>
  <c r="S84" i="20"/>
  <c r="R84" i="20"/>
  <c r="S83" i="20"/>
  <c r="R83" i="20"/>
  <c r="S82" i="20"/>
  <c r="R82" i="20"/>
  <c r="S81" i="20"/>
  <c r="R81" i="20"/>
  <c r="S80" i="20"/>
  <c r="R80" i="20"/>
  <c r="S79" i="20"/>
  <c r="R79" i="20"/>
  <c r="S78" i="20"/>
  <c r="R78" i="20"/>
  <c r="S77" i="20"/>
  <c r="R77" i="20"/>
  <c r="S76" i="20"/>
  <c r="R76" i="20"/>
  <c r="S75" i="20"/>
  <c r="R75" i="20"/>
  <c r="S74" i="20"/>
  <c r="R74" i="20"/>
  <c r="S73" i="20"/>
  <c r="R73" i="20"/>
  <c r="S72" i="20"/>
  <c r="R72" i="20"/>
  <c r="S71" i="20"/>
  <c r="R71" i="20"/>
  <c r="S70" i="20"/>
  <c r="R70" i="20"/>
  <c r="O102" i="20"/>
  <c r="N102" i="20"/>
  <c r="M102" i="20"/>
  <c r="L102" i="20"/>
  <c r="O101" i="20"/>
  <c r="N101" i="20"/>
  <c r="M101" i="20"/>
  <c r="L101" i="20"/>
  <c r="O100" i="20"/>
  <c r="N100" i="20"/>
  <c r="M100" i="20"/>
  <c r="L100" i="20"/>
  <c r="O99" i="20"/>
  <c r="N99" i="20"/>
  <c r="M99" i="20"/>
  <c r="L99" i="20"/>
  <c r="O98" i="20"/>
  <c r="N98" i="20"/>
  <c r="M98" i="20"/>
  <c r="L98" i="20"/>
  <c r="O97" i="20"/>
  <c r="N97" i="20"/>
  <c r="M97" i="20"/>
  <c r="L97" i="20"/>
  <c r="O96" i="20"/>
  <c r="N96" i="20"/>
  <c r="M96" i="20"/>
  <c r="L96" i="20"/>
  <c r="O95" i="20"/>
  <c r="N95" i="20"/>
  <c r="M95" i="20"/>
  <c r="L95" i="20"/>
  <c r="O94" i="20"/>
  <c r="N94" i="20"/>
  <c r="M94" i="20"/>
  <c r="L94" i="20"/>
  <c r="O93" i="20"/>
  <c r="N93" i="20"/>
  <c r="M93" i="20"/>
  <c r="L93" i="20"/>
  <c r="O92" i="20"/>
  <c r="N92" i="20"/>
  <c r="M92" i="20"/>
  <c r="L92" i="20"/>
  <c r="O91" i="20"/>
  <c r="N91" i="20"/>
  <c r="M91" i="20"/>
  <c r="L91" i="20"/>
  <c r="O90" i="20"/>
  <c r="N90" i="20"/>
  <c r="M90" i="20"/>
  <c r="L90" i="20"/>
  <c r="O89" i="20"/>
  <c r="N89" i="20"/>
  <c r="M89" i="20"/>
  <c r="L89" i="20"/>
  <c r="O88" i="20"/>
  <c r="N88" i="20"/>
  <c r="M88" i="20"/>
  <c r="L88" i="20"/>
  <c r="O87" i="20"/>
  <c r="N87" i="20"/>
  <c r="M87" i="20"/>
  <c r="L87" i="20"/>
  <c r="O86" i="20"/>
  <c r="N86" i="20"/>
  <c r="M86" i="20"/>
  <c r="L86" i="20"/>
  <c r="O85" i="20"/>
  <c r="N85" i="20"/>
  <c r="M85" i="20"/>
  <c r="L85" i="20"/>
  <c r="O84" i="20"/>
  <c r="N84" i="20"/>
  <c r="M84" i="20"/>
  <c r="L84" i="20"/>
  <c r="O83" i="20"/>
  <c r="N83" i="20"/>
  <c r="M83" i="20"/>
  <c r="L83" i="20"/>
  <c r="O82" i="20"/>
  <c r="N82" i="20"/>
  <c r="M82" i="20"/>
  <c r="L82" i="20"/>
  <c r="O81" i="20"/>
  <c r="N81" i="20"/>
  <c r="M81" i="20"/>
  <c r="L81" i="20"/>
  <c r="O80" i="20"/>
  <c r="N80" i="20"/>
  <c r="M80" i="20"/>
  <c r="L80" i="20"/>
  <c r="O79" i="20"/>
  <c r="N79" i="20"/>
  <c r="M79" i="20"/>
  <c r="L79" i="20"/>
  <c r="O78" i="20"/>
  <c r="N78" i="20"/>
  <c r="M78" i="20"/>
  <c r="L78" i="20"/>
  <c r="O77" i="20"/>
  <c r="N77" i="20"/>
  <c r="M77" i="20"/>
  <c r="L77" i="20"/>
  <c r="O76" i="20"/>
  <c r="N76" i="20"/>
  <c r="M76" i="20"/>
  <c r="L76" i="20"/>
  <c r="O75" i="20"/>
  <c r="N75" i="20"/>
  <c r="M75" i="20"/>
  <c r="L75" i="20"/>
  <c r="O74" i="20"/>
  <c r="N74" i="20"/>
  <c r="M74" i="20"/>
  <c r="L74" i="20"/>
  <c r="O73" i="20"/>
  <c r="N73" i="20"/>
  <c r="M73" i="20"/>
  <c r="L73" i="20"/>
  <c r="O72" i="20"/>
  <c r="N72" i="20"/>
  <c r="M72" i="20"/>
  <c r="L72" i="20"/>
  <c r="O71" i="20"/>
  <c r="N71" i="20"/>
  <c r="M71" i="20"/>
  <c r="L71" i="20"/>
  <c r="O70" i="20"/>
  <c r="N70" i="20"/>
  <c r="M70" i="20"/>
  <c r="L70" i="20"/>
  <c r="K70" i="18"/>
  <c r="L70" i="18"/>
  <c r="M70" i="18"/>
  <c r="N70" i="18"/>
  <c r="O70" i="18"/>
  <c r="P70" i="18"/>
  <c r="Q70" i="18"/>
  <c r="R70" i="18"/>
  <c r="K71" i="18"/>
  <c r="L71" i="18"/>
  <c r="M71" i="18"/>
  <c r="N71" i="18"/>
  <c r="O71" i="18"/>
  <c r="P71" i="18"/>
  <c r="Q71" i="18"/>
  <c r="R71" i="18"/>
  <c r="K72" i="18"/>
  <c r="L72" i="18"/>
  <c r="M72" i="18"/>
  <c r="N72" i="18"/>
  <c r="O72" i="18"/>
  <c r="P72" i="18"/>
  <c r="Q72" i="18"/>
  <c r="R72" i="18"/>
  <c r="K73" i="18"/>
  <c r="L73" i="18"/>
  <c r="M73" i="18"/>
  <c r="N73" i="18"/>
  <c r="O73" i="18"/>
  <c r="P73" i="18"/>
  <c r="Q73" i="18"/>
  <c r="R73" i="18"/>
  <c r="K74" i="18"/>
  <c r="L74" i="18"/>
  <c r="M74" i="18"/>
  <c r="N74" i="18"/>
  <c r="O74" i="18"/>
  <c r="P74" i="18"/>
  <c r="Q74" i="18"/>
  <c r="R74" i="18"/>
  <c r="K75" i="18"/>
  <c r="L75" i="18"/>
  <c r="M75" i="18"/>
  <c r="N75" i="18"/>
  <c r="O75" i="18"/>
  <c r="P75" i="18"/>
  <c r="Q75" i="18"/>
  <c r="R75" i="18"/>
  <c r="K76" i="18"/>
  <c r="L76" i="18"/>
  <c r="M76" i="18"/>
  <c r="N76" i="18"/>
  <c r="O76" i="18"/>
  <c r="P76" i="18"/>
  <c r="Q76" i="18"/>
  <c r="R76" i="18"/>
  <c r="K77" i="18"/>
  <c r="L77" i="18"/>
  <c r="M77" i="18"/>
  <c r="N77" i="18"/>
  <c r="O77" i="18"/>
  <c r="P77" i="18"/>
  <c r="Q77" i="18"/>
  <c r="R77" i="18"/>
  <c r="K78" i="18"/>
  <c r="L78" i="18"/>
  <c r="M78" i="18"/>
  <c r="N78" i="18"/>
  <c r="O78" i="18"/>
  <c r="P78" i="18"/>
  <c r="Q78" i="18"/>
  <c r="R78" i="18"/>
  <c r="K79" i="18"/>
  <c r="L79" i="18"/>
  <c r="M79" i="18"/>
  <c r="N79" i="18"/>
  <c r="O79" i="18"/>
  <c r="P79" i="18"/>
  <c r="Q79" i="18"/>
  <c r="R79" i="18"/>
  <c r="K80" i="18"/>
  <c r="L80" i="18"/>
  <c r="M80" i="18"/>
  <c r="N80" i="18"/>
  <c r="O80" i="18"/>
  <c r="P80" i="18"/>
  <c r="Q80" i="18"/>
  <c r="R80" i="18"/>
  <c r="K81" i="18"/>
  <c r="L81" i="18"/>
  <c r="M81" i="18"/>
  <c r="N81" i="18"/>
  <c r="O81" i="18"/>
  <c r="P81" i="18"/>
  <c r="Q81" i="18"/>
  <c r="R81" i="18"/>
  <c r="K82" i="18"/>
  <c r="L82" i="18"/>
  <c r="M82" i="18"/>
  <c r="N82" i="18"/>
  <c r="O82" i="18"/>
  <c r="P82" i="18"/>
  <c r="Q82" i="18"/>
  <c r="R82" i="18"/>
  <c r="K83" i="18"/>
  <c r="L83" i="18"/>
  <c r="M83" i="18"/>
  <c r="N83" i="18"/>
  <c r="O83" i="18"/>
  <c r="P83" i="18"/>
  <c r="Q83" i="18"/>
  <c r="R83" i="18"/>
  <c r="K84" i="18"/>
  <c r="L84" i="18"/>
  <c r="M84" i="18"/>
  <c r="N84" i="18"/>
  <c r="O84" i="18"/>
  <c r="P84" i="18"/>
  <c r="Q84" i="18"/>
  <c r="R84" i="18"/>
  <c r="K85" i="18"/>
  <c r="L85" i="18"/>
  <c r="M85" i="18"/>
  <c r="N85" i="18"/>
  <c r="O85" i="18"/>
  <c r="P85" i="18"/>
  <c r="Q85" i="18"/>
  <c r="R85" i="18"/>
  <c r="K86" i="18"/>
  <c r="L86" i="18"/>
  <c r="M86" i="18"/>
  <c r="N86" i="18"/>
  <c r="O86" i="18"/>
  <c r="P86" i="18"/>
  <c r="Q86" i="18"/>
  <c r="R86" i="18"/>
  <c r="K87" i="18"/>
  <c r="L87" i="18"/>
  <c r="M87" i="18"/>
  <c r="N87" i="18"/>
  <c r="O87" i="18"/>
  <c r="P87" i="18"/>
  <c r="Q87" i="18"/>
  <c r="R87" i="18"/>
  <c r="K88" i="18"/>
  <c r="L88" i="18"/>
  <c r="M88" i="18"/>
  <c r="N88" i="18"/>
  <c r="O88" i="18"/>
  <c r="P88" i="18"/>
  <c r="Q88" i="18"/>
  <c r="R88" i="18"/>
  <c r="K89" i="18"/>
  <c r="L89" i="18"/>
  <c r="M89" i="18"/>
  <c r="N89" i="18"/>
  <c r="O89" i="18"/>
  <c r="P89" i="18"/>
  <c r="Q89" i="18"/>
  <c r="R89" i="18"/>
  <c r="K90" i="18"/>
  <c r="L90" i="18"/>
  <c r="M90" i="18"/>
  <c r="N90" i="18"/>
  <c r="O90" i="18"/>
  <c r="P90" i="18"/>
  <c r="Q90" i="18"/>
  <c r="R90" i="18"/>
  <c r="K91" i="18"/>
  <c r="L91" i="18"/>
  <c r="M91" i="18"/>
  <c r="N91" i="18"/>
  <c r="O91" i="18"/>
  <c r="P91" i="18"/>
  <c r="Q91" i="18"/>
  <c r="R91" i="18"/>
  <c r="K92" i="18"/>
  <c r="L92" i="18"/>
  <c r="M92" i="18"/>
  <c r="N92" i="18"/>
  <c r="O92" i="18"/>
  <c r="P92" i="18"/>
  <c r="Q92" i="18"/>
  <c r="R92" i="18"/>
  <c r="K93" i="18"/>
  <c r="L93" i="18"/>
  <c r="M93" i="18"/>
  <c r="N93" i="18"/>
  <c r="O93" i="18"/>
  <c r="P93" i="18"/>
  <c r="Q93" i="18"/>
  <c r="R93" i="18"/>
  <c r="K94" i="18"/>
  <c r="L94" i="18"/>
  <c r="M94" i="18"/>
  <c r="N94" i="18"/>
  <c r="O94" i="18"/>
  <c r="P94" i="18"/>
  <c r="Q94" i="18"/>
  <c r="R94" i="18"/>
  <c r="K95" i="18"/>
  <c r="L95" i="18"/>
  <c r="M95" i="18"/>
  <c r="N95" i="18"/>
  <c r="O95" i="18"/>
  <c r="P95" i="18"/>
  <c r="Q95" i="18"/>
  <c r="R95" i="18"/>
  <c r="K96" i="18"/>
  <c r="L96" i="18"/>
  <c r="M96" i="18"/>
  <c r="N96" i="18"/>
  <c r="O96" i="18"/>
  <c r="P96" i="18"/>
  <c r="Q96" i="18"/>
  <c r="R96" i="18"/>
  <c r="K97" i="18"/>
  <c r="L97" i="18"/>
  <c r="M97" i="18"/>
  <c r="N97" i="18"/>
  <c r="O97" i="18"/>
  <c r="P97" i="18"/>
  <c r="Q97" i="18"/>
  <c r="R97" i="18"/>
  <c r="K98" i="18"/>
  <c r="L98" i="18"/>
  <c r="M98" i="18"/>
  <c r="N98" i="18"/>
  <c r="O98" i="18"/>
  <c r="P98" i="18"/>
  <c r="Q98" i="18"/>
  <c r="R98" i="18"/>
  <c r="K99" i="18"/>
  <c r="L99" i="18"/>
  <c r="M99" i="18"/>
  <c r="N99" i="18"/>
  <c r="O99" i="18"/>
  <c r="P99" i="18"/>
  <c r="Q99" i="18"/>
  <c r="R99" i="18"/>
  <c r="K100" i="18"/>
  <c r="L100" i="18"/>
  <c r="M100" i="18"/>
  <c r="N100" i="18"/>
  <c r="O100" i="18"/>
  <c r="P100" i="18"/>
  <c r="Q100" i="18"/>
  <c r="R100" i="18"/>
  <c r="K101" i="18"/>
  <c r="L101" i="18"/>
  <c r="M101" i="18"/>
  <c r="N101" i="18"/>
  <c r="O101" i="18"/>
  <c r="P101" i="18"/>
  <c r="Q101" i="18"/>
  <c r="R101" i="18"/>
  <c r="K102" i="18"/>
  <c r="L102" i="18"/>
  <c r="M102" i="18"/>
  <c r="N102" i="18"/>
  <c r="O102" i="18"/>
  <c r="P102" i="18"/>
  <c r="Q102" i="18"/>
  <c r="R102" i="18"/>
  <c r="K70" i="17"/>
  <c r="L70" i="17"/>
  <c r="M70" i="17"/>
  <c r="N70" i="17"/>
  <c r="O70" i="17"/>
  <c r="P70" i="17"/>
  <c r="K71" i="17"/>
  <c r="L71" i="17"/>
  <c r="M71" i="17"/>
  <c r="N71" i="17"/>
  <c r="O71" i="17"/>
  <c r="P71" i="17"/>
  <c r="K72" i="17"/>
  <c r="L72" i="17"/>
  <c r="M72" i="17"/>
  <c r="N72" i="17"/>
  <c r="O72" i="17"/>
  <c r="P72" i="17"/>
  <c r="K73" i="17"/>
  <c r="L73" i="17"/>
  <c r="M73" i="17"/>
  <c r="N73" i="17"/>
  <c r="O73" i="17"/>
  <c r="P73" i="17"/>
  <c r="K74" i="17"/>
  <c r="L74" i="17"/>
  <c r="M74" i="17"/>
  <c r="N74" i="17"/>
  <c r="O74" i="17"/>
  <c r="P74" i="17"/>
  <c r="K75" i="17"/>
  <c r="L75" i="17"/>
  <c r="M75" i="17"/>
  <c r="N75" i="17"/>
  <c r="O75" i="17"/>
  <c r="P75" i="17"/>
  <c r="K76" i="17"/>
  <c r="L76" i="17"/>
  <c r="M76" i="17"/>
  <c r="N76" i="17"/>
  <c r="O76" i="17"/>
  <c r="P76" i="17"/>
  <c r="K77" i="17"/>
  <c r="L77" i="17"/>
  <c r="M77" i="17"/>
  <c r="N77" i="17"/>
  <c r="O77" i="17"/>
  <c r="P77" i="17"/>
  <c r="K78" i="17"/>
  <c r="L78" i="17"/>
  <c r="M78" i="17"/>
  <c r="N78" i="17"/>
  <c r="O78" i="17"/>
  <c r="P78" i="17"/>
  <c r="K79" i="17"/>
  <c r="L79" i="17"/>
  <c r="M79" i="17"/>
  <c r="N79" i="17"/>
  <c r="O79" i="17"/>
  <c r="P79" i="17"/>
  <c r="K80" i="17"/>
  <c r="L80" i="17"/>
  <c r="M80" i="17"/>
  <c r="N80" i="17"/>
  <c r="O80" i="17"/>
  <c r="P80" i="17"/>
  <c r="K81" i="17"/>
  <c r="L81" i="17"/>
  <c r="M81" i="17"/>
  <c r="N81" i="17"/>
  <c r="O81" i="17"/>
  <c r="P81" i="17"/>
  <c r="K82" i="17"/>
  <c r="L82" i="17"/>
  <c r="M82" i="17"/>
  <c r="N82" i="17"/>
  <c r="O82" i="17"/>
  <c r="P82" i="17"/>
  <c r="K83" i="17"/>
  <c r="L83" i="17"/>
  <c r="M83" i="17"/>
  <c r="N83" i="17"/>
  <c r="O83" i="17"/>
  <c r="P83" i="17"/>
  <c r="K84" i="17"/>
  <c r="L84" i="17"/>
  <c r="M84" i="17"/>
  <c r="N84" i="17"/>
  <c r="O84" i="17"/>
  <c r="P84" i="17"/>
  <c r="K85" i="17"/>
  <c r="L85" i="17"/>
  <c r="M85" i="17"/>
  <c r="N85" i="17"/>
  <c r="O85" i="17"/>
  <c r="P85" i="17"/>
  <c r="K86" i="17"/>
  <c r="L86" i="17"/>
  <c r="M86" i="17"/>
  <c r="N86" i="17"/>
  <c r="O86" i="17"/>
  <c r="P86" i="17"/>
  <c r="K87" i="17"/>
  <c r="L87" i="17"/>
  <c r="M87" i="17"/>
  <c r="N87" i="17"/>
  <c r="O87" i="17"/>
  <c r="P87" i="17"/>
  <c r="K88" i="17"/>
  <c r="L88" i="17"/>
  <c r="M88" i="17"/>
  <c r="N88" i="17"/>
  <c r="O88" i="17"/>
  <c r="P88" i="17"/>
  <c r="K89" i="17"/>
  <c r="L89" i="17"/>
  <c r="M89" i="17"/>
  <c r="N89" i="17"/>
  <c r="O89" i="17"/>
  <c r="P89" i="17"/>
  <c r="K90" i="17"/>
  <c r="L90" i="17"/>
  <c r="M90" i="17"/>
  <c r="N90" i="17"/>
  <c r="O90" i="17"/>
  <c r="P90" i="17"/>
  <c r="K91" i="17"/>
  <c r="L91" i="17"/>
  <c r="M91" i="17"/>
  <c r="N91" i="17"/>
  <c r="O91" i="17"/>
  <c r="P91" i="17"/>
  <c r="K92" i="17"/>
  <c r="L92" i="17"/>
  <c r="M92" i="17"/>
  <c r="N92" i="17"/>
  <c r="O92" i="17"/>
  <c r="P92" i="17"/>
  <c r="K93" i="17"/>
  <c r="L93" i="17"/>
  <c r="M93" i="17"/>
  <c r="N93" i="17"/>
  <c r="O93" i="17"/>
  <c r="P93" i="17"/>
  <c r="K94" i="17"/>
  <c r="L94" i="17"/>
  <c r="M94" i="17"/>
  <c r="N94" i="17"/>
  <c r="O94" i="17"/>
  <c r="P94" i="17"/>
  <c r="K95" i="17"/>
  <c r="L95" i="17"/>
  <c r="M95" i="17"/>
  <c r="N95" i="17"/>
  <c r="O95" i="17"/>
  <c r="P95" i="17"/>
  <c r="K96" i="17"/>
  <c r="L96" i="17"/>
  <c r="M96" i="17"/>
  <c r="N96" i="17"/>
  <c r="O96" i="17"/>
  <c r="P96" i="17"/>
  <c r="K97" i="17"/>
  <c r="L97" i="17"/>
  <c r="M97" i="17"/>
  <c r="N97" i="17"/>
  <c r="O97" i="17"/>
  <c r="P97" i="17"/>
  <c r="K98" i="17"/>
  <c r="L98" i="17"/>
  <c r="M98" i="17"/>
  <c r="N98" i="17"/>
  <c r="O98" i="17"/>
  <c r="P98" i="17"/>
  <c r="K99" i="17"/>
  <c r="L99" i="17"/>
  <c r="M99" i="17"/>
  <c r="N99" i="17"/>
  <c r="O99" i="17"/>
  <c r="P99" i="17"/>
  <c r="K100" i="17"/>
  <c r="L100" i="17"/>
  <c r="M100" i="17"/>
  <c r="N100" i="17"/>
  <c r="O100" i="17"/>
  <c r="P100" i="17"/>
  <c r="K101" i="17"/>
  <c r="L101" i="17"/>
  <c r="M101" i="17"/>
  <c r="N101" i="17"/>
  <c r="O101" i="17"/>
  <c r="P101" i="17"/>
  <c r="K102" i="17"/>
  <c r="L102" i="17"/>
  <c r="M102" i="17"/>
  <c r="N102" i="17"/>
  <c r="O102" i="17"/>
  <c r="P102" i="17"/>
  <c r="T3" i="15"/>
  <c r="T69" i="15"/>
  <c r="T68" i="15"/>
  <c r="T67" i="15"/>
  <c r="T66" i="15"/>
  <c r="T65" i="15"/>
  <c r="T64" i="15"/>
  <c r="T63" i="15"/>
  <c r="T62" i="15"/>
  <c r="T61" i="15"/>
  <c r="T60" i="15"/>
  <c r="T59" i="15"/>
  <c r="T58" i="15"/>
  <c r="T57" i="15"/>
  <c r="T56" i="15"/>
  <c r="T55" i="15"/>
  <c r="T54" i="15"/>
  <c r="T53" i="15"/>
  <c r="T52" i="15"/>
  <c r="T51" i="15"/>
  <c r="T50" i="15"/>
  <c r="T49" i="15"/>
  <c r="T48" i="15"/>
  <c r="T47" i="15"/>
  <c r="T46" i="15"/>
  <c r="T45" i="15"/>
  <c r="T44" i="15"/>
  <c r="T43" i="15"/>
  <c r="T42" i="15"/>
  <c r="T41" i="15"/>
  <c r="T40" i="15"/>
  <c r="T39" i="15"/>
  <c r="T38" i="15"/>
  <c r="T37" i="15"/>
  <c r="T36" i="15"/>
  <c r="T35" i="15"/>
  <c r="T34" i="15"/>
  <c r="T33" i="15"/>
  <c r="T32" i="15"/>
  <c r="T31" i="15"/>
  <c r="T30" i="15"/>
  <c r="T29" i="15"/>
  <c r="T28" i="15"/>
  <c r="T27" i="15"/>
  <c r="T26" i="15"/>
  <c r="T25" i="15"/>
  <c r="T24" i="15"/>
  <c r="T23" i="15"/>
  <c r="T22" i="15"/>
  <c r="T21" i="15"/>
  <c r="T20" i="15"/>
  <c r="T19" i="15"/>
  <c r="T18" i="15"/>
  <c r="T17" i="15"/>
  <c r="T16" i="15"/>
  <c r="T15" i="15"/>
  <c r="T14" i="15"/>
  <c r="T13" i="15"/>
  <c r="T12" i="15"/>
  <c r="T11" i="15"/>
  <c r="T10" i="15"/>
  <c r="T9" i="15"/>
  <c r="T8" i="15"/>
  <c r="T7" i="15"/>
  <c r="T6" i="15"/>
  <c r="T5" i="15"/>
  <c r="T4" i="15"/>
  <c r="C42" i="9"/>
  <c r="A1" i="12" a="1"/>
  <c r="A1" i="12" s="1"/>
  <c r="U1001" i="8"/>
  <c r="T1001" i="8"/>
  <c r="S1001" i="8"/>
  <c r="R1001" i="8"/>
  <c r="Q1001" i="8"/>
  <c r="P1001" i="8"/>
  <c r="U1000" i="8"/>
  <c r="T1000" i="8"/>
  <c r="S1000" i="8"/>
  <c r="R1000" i="8"/>
  <c r="Q1000" i="8"/>
  <c r="P1000" i="8"/>
  <c r="U999" i="8"/>
  <c r="T999" i="8"/>
  <c r="S999" i="8"/>
  <c r="R999" i="8"/>
  <c r="Q999" i="8"/>
  <c r="P999" i="8"/>
  <c r="U998" i="8"/>
  <c r="T998" i="8"/>
  <c r="S998" i="8"/>
  <c r="R998" i="8"/>
  <c r="Q998" i="8"/>
  <c r="P998" i="8"/>
  <c r="U997" i="8"/>
  <c r="T997" i="8"/>
  <c r="S997" i="8"/>
  <c r="R997" i="8"/>
  <c r="Q997" i="8"/>
  <c r="P997" i="8"/>
  <c r="U996" i="8"/>
  <c r="T996" i="8"/>
  <c r="S996" i="8"/>
  <c r="R996" i="8"/>
  <c r="Q996" i="8"/>
  <c r="P996" i="8"/>
  <c r="U995" i="8"/>
  <c r="T995" i="8"/>
  <c r="S995" i="8"/>
  <c r="R995" i="8"/>
  <c r="Q995" i="8"/>
  <c r="P995" i="8"/>
  <c r="U994" i="8"/>
  <c r="T994" i="8"/>
  <c r="S994" i="8"/>
  <c r="R994" i="8"/>
  <c r="Q994" i="8"/>
  <c r="P994" i="8"/>
  <c r="U993" i="8"/>
  <c r="T993" i="8"/>
  <c r="S993" i="8"/>
  <c r="R993" i="8"/>
  <c r="Q993" i="8"/>
  <c r="P993" i="8"/>
  <c r="U992" i="8"/>
  <c r="T992" i="8"/>
  <c r="S992" i="8"/>
  <c r="R992" i="8"/>
  <c r="Q992" i="8"/>
  <c r="P992" i="8"/>
  <c r="U991" i="8"/>
  <c r="T991" i="8"/>
  <c r="S991" i="8"/>
  <c r="R991" i="8"/>
  <c r="Q991" i="8"/>
  <c r="P991" i="8"/>
  <c r="U990" i="8"/>
  <c r="T990" i="8"/>
  <c r="S990" i="8"/>
  <c r="R990" i="8"/>
  <c r="Q990" i="8"/>
  <c r="P990" i="8"/>
  <c r="U989" i="8"/>
  <c r="T989" i="8"/>
  <c r="S989" i="8"/>
  <c r="R989" i="8"/>
  <c r="Q989" i="8"/>
  <c r="P989" i="8"/>
  <c r="U988" i="8"/>
  <c r="T988" i="8"/>
  <c r="S988" i="8"/>
  <c r="R988" i="8"/>
  <c r="Q988" i="8"/>
  <c r="P988" i="8"/>
  <c r="U987" i="8"/>
  <c r="T987" i="8"/>
  <c r="S987" i="8"/>
  <c r="R987" i="8"/>
  <c r="Q987" i="8"/>
  <c r="P987" i="8"/>
  <c r="U986" i="8"/>
  <c r="T986" i="8"/>
  <c r="S986" i="8"/>
  <c r="R986" i="8"/>
  <c r="Q986" i="8"/>
  <c r="P986" i="8"/>
  <c r="U985" i="8"/>
  <c r="T985" i="8"/>
  <c r="S985" i="8"/>
  <c r="R985" i="8"/>
  <c r="Q985" i="8"/>
  <c r="P985" i="8"/>
  <c r="U984" i="8"/>
  <c r="T984" i="8"/>
  <c r="S984" i="8"/>
  <c r="R984" i="8"/>
  <c r="Q984" i="8"/>
  <c r="P984" i="8"/>
  <c r="U983" i="8"/>
  <c r="T983" i="8"/>
  <c r="S983" i="8"/>
  <c r="R983" i="8"/>
  <c r="Q983" i="8"/>
  <c r="P983" i="8"/>
  <c r="U982" i="8"/>
  <c r="T982" i="8"/>
  <c r="S982" i="8"/>
  <c r="R982" i="8"/>
  <c r="Q982" i="8"/>
  <c r="P982" i="8"/>
  <c r="U981" i="8"/>
  <c r="T981" i="8"/>
  <c r="S981" i="8"/>
  <c r="R981" i="8"/>
  <c r="Q981" i="8"/>
  <c r="P981" i="8"/>
  <c r="U980" i="8"/>
  <c r="T980" i="8"/>
  <c r="S980" i="8"/>
  <c r="R980" i="8"/>
  <c r="Q980" i="8"/>
  <c r="P980" i="8"/>
  <c r="U979" i="8"/>
  <c r="T979" i="8"/>
  <c r="S979" i="8"/>
  <c r="R979" i="8"/>
  <c r="Q979" i="8"/>
  <c r="P979" i="8"/>
  <c r="U978" i="8"/>
  <c r="T978" i="8"/>
  <c r="S978" i="8"/>
  <c r="R978" i="8"/>
  <c r="Q978" i="8"/>
  <c r="P978" i="8"/>
  <c r="U977" i="8"/>
  <c r="T977" i="8"/>
  <c r="S977" i="8"/>
  <c r="R977" i="8"/>
  <c r="Q977" i="8"/>
  <c r="P977" i="8"/>
  <c r="U976" i="8"/>
  <c r="T976" i="8"/>
  <c r="S976" i="8"/>
  <c r="R976" i="8"/>
  <c r="Q976" i="8"/>
  <c r="P976" i="8"/>
  <c r="U975" i="8"/>
  <c r="T975" i="8"/>
  <c r="S975" i="8"/>
  <c r="R975" i="8"/>
  <c r="Q975" i="8"/>
  <c r="P975" i="8"/>
  <c r="U974" i="8"/>
  <c r="T974" i="8"/>
  <c r="S974" i="8"/>
  <c r="R974" i="8"/>
  <c r="Q974" i="8"/>
  <c r="P974" i="8"/>
  <c r="U973" i="8"/>
  <c r="T973" i="8"/>
  <c r="S973" i="8"/>
  <c r="R973" i="8"/>
  <c r="Q973" i="8"/>
  <c r="P973" i="8"/>
  <c r="U972" i="8"/>
  <c r="T972" i="8"/>
  <c r="S972" i="8"/>
  <c r="R972" i="8"/>
  <c r="Q972" i="8"/>
  <c r="P972" i="8"/>
  <c r="U971" i="8"/>
  <c r="T971" i="8"/>
  <c r="S971" i="8"/>
  <c r="R971" i="8"/>
  <c r="Q971" i="8"/>
  <c r="P971" i="8"/>
  <c r="U970" i="8"/>
  <c r="T970" i="8"/>
  <c r="S970" i="8"/>
  <c r="R970" i="8"/>
  <c r="Q970" i="8"/>
  <c r="P970" i="8"/>
  <c r="U969" i="8"/>
  <c r="T969" i="8"/>
  <c r="S969" i="8"/>
  <c r="R969" i="8"/>
  <c r="Q969" i="8"/>
  <c r="P969" i="8"/>
  <c r="U968" i="8"/>
  <c r="T968" i="8"/>
  <c r="S968" i="8"/>
  <c r="R968" i="8"/>
  <c r="Q968" i="8"/>
  <c r="P968" i="8"/>
  <c r="U967" i="8"/>
  <c r="T967" i="8"/>
  <c r="S967" i="8"/>
  <c r="R967" i="8"/>
  <c r="Q967" i="8"/>
  <c r="P967" i="8"/>
  <c r="U966" i="8"/>
  <c r="T966" i="8"/>
  <c r="S966" i="8"/>
  <c r="R966" i="8"/>
  <c r="Q966" i="8"/>
  <c r="P966" i="8"/>
  <c r="U965" i="8"/>
  <c r="T965" i="8"/>
  <c r="S965" i="8"/>
  <c r="R965" i="8"/>
  <c r="Q965" i="8"/>
  <c r="P965" i="8"/>
  <c r="U964" i="8"/>
  <c r="T964" i="8"/>
  <c r="S964" i="8"/>
  <c r="R964" i="8"/>
  <c r="Q964" i="8"/>
  <c r="P964" i="8"/>
  <c r="U963" i="8"/>
  <c r="T963" i="8"/>
  <c r="S963" i="8"/>
  <c r="R963" i="8"/>
  <c r="Q963" i="8"/>
  <c r="P963" i="8"/>
  <c r="U962" i="8"/>
  <c r="T962" i="8"/>
  <c r="S962" i="8"/>
  <c r="R962" i="8"/>
  <c r="Q962" i="8"/>
  <c r="P962" i="8"/>
  <c r="U961" i="8"/>
  <c r="T961" i="8"/>
  <c r="S961" i="8"/>
  <c r="R961" i="8"/>
  <c r="Q961" i="8"/>
  <c r="P961" i="8"/>
  <c r="U960" i="8"/>
  <c r="T960" i="8"/>
  <c r="S960" i="8"/>
  <c r="R960" i="8"/>
  <c r="Q960" i="8"/>
  <c r="P960" i="8"/>
  <c r="U959" i="8"/>
  <c r="T959" i="8"/>
  <c r="S959" i="8"/>
  <c r="R959" i="8"/>
  <c r="Q959" i="8"/>
  <c r="P959" i="8"/>
  <c r="U958" i="8"/>
  <c r="T958" i="8"/>
  <c r="S958" i="8"/>
  <c r="R958" i="8"/>
  <c r="Q958" i="8"/>
  <c r="P958" i="8"/>
  <c r="U957" i="8"/>
  <c r="T957" i="8"/>
  <c r="S957" i="8"/>
  <c r="R957" i="8"/>
  <c r="Q957" i="8"/>
  <c r="P957" i="8"/>
  <c r="U956" i="8"/>
  <c r="T956" i="8"/>
  <c r="S956" i="8"/>
  <c r="R956" i="8"/>
  <c r="Q956" i="8"/>
  <c r="P956" i="8"/>
  <c r="U955" i="8"/>
  <c r="T955" i="8"/>
  <c r="S955" i="8"/>
  <c r="R955" i="8"/>
  <c r="Q955" i="8"/>
  <c r="P955" i="8"/>
  <c r="U954" i="8"/>
  <c r="T954" i="8"/>
  <c r="S954" i="8"/>
  <c r="R954" i="8"/>
  <c r="Q954" i="8"/>
  <c r="P954" i="8"/>
  <c r="U953" i="8"/>
  <c r="T953" i="8"/>
  <c r="S953" i="8"/>
  <c r="R953" i="8"/>
  <c r="Q953" i="8"/>
  <c r="P953" i="8"/>
  <c r="U952" i="8"/>
  <c r="T952" i="8"/>
  <c r="S952" i="8"/>
  <c r="R952" i="8"/>
  <c r="Q952" i="8"/>
  <c r="P952" i="8"/>
  <c r="U951" i="8"/>
  <c r="T951" i="8"/>
  <c r="S951" i="8"/>
  <c r="R951" i="8"/>
  <c r="Q951" i="8"/>
  <c r="P951" i="8"/>
  <c r="U950" i="8"/>
  <c r="T950" i="8"/>
  <c r="S950" i="8"/>
  <c r="R950" i="8"/>
  <c r="Q950" i="8"/>
  <c r="P950" i="8"/>
  <c r="U949" i="8"/>
  <c r="T949" i="8"/>
  <c r="S949" i="8"/>
  <c r="R949" i="8"/>
  <c r="Q949" i="8"/>
  <c r="P949" i="8"/>
  <c r="U948" i="8"/>
  <c r="T948" i="8"/>
  <c r="S948" i="8"/>
  <c r="R948" i="8"/>
  <c r="Q948" i="8"/>
  <c r="P948" i="8"/>
  <c r="U947" i="8"/>
  <c r="T947" i="8"/>
  <c r="S947" i="8"/>
  <c r="R947" i="8"/>
  <c r="Q947" i="8"/>
  <c r="P947" i="8"/>
  <c r="U946" i="8"/>
  <c r="T946" i="8"/>
  <c r="S946" i="8"/>
  <c r="R946" i="8"/>
  <c r="Q946" i="8"/>
  <c r="P946" i="8"/>
  <c r="U945" i="8"/>
  <c r="T945" i="8"/>
  <c r="S945" i="8"/>
  <c r="R945" i="8"/>
  <c r="Q945" i="8"/>
  <c r="P945" i="8"/>
  <c r="U944" i="8"/>
  <c r="T944" i="8"/>
  <c r="S944" i="8"/>
  <c r="R944" i="8"/>
  <c r="Q944" i="8"/>
  <c r="P944" i="8"/>
  <c r="U943" i="8"/>
  <c r="T943" i="8"/>
  <c r="S943" i="8"/>
  <c r="R943" i="8"/>
  <c r="Q943" i="8"/>
  <c r="P943" i="8"/>
  <c r="U942" i="8"/>
  <c r="T942" i="8"/>
  <c r="S942" i="8"/>
  <c r="R942" i="8"/>
  <c r="Q942" i="8"/>
  <c r="P942" i="8"/>
  <c r="U941" i="8"/>
  <c r="T941" i="8"/>
  <c r="S941" i="8"/>
  <c r="R941" i="8"/>
  <c r="Q941" i="8"/>
  <c r="P941" i="8"/>
  <c r="U940" i="8"/>
  <c r="T940" i="8"/>
  <c r="S940" i="8"/>
  <c r="R940" i="8"/>
  <c r="Q940" i="8"/>
  <c r="P940" i="8"/>
  <c r="U939" i="8"/>
  <c r="T939" i="8"/>
  <c r="S939" i="8"/>
  <c r="R939" i="8"/>
  <c r="Q939" i="8"/>
  <c r="P939" i="8"/>
  <c r="U938" i="8"/>
  <c r="T938" i="8"/>
  <c r="S938" i="8"/>
  <c r="R938" i="8"/>
  <c r="Q938" i="8"/>
  <c r="P938" i="8"/>
  <c r="U937" i="8"/>
  <c r="T937" i="8"/>
  <c r="S937" i="8"/>
  <c r="R937" i="8"/>
  <c r="Q937" i="8"/>
  <c r="P937" i="8"/>
  <c r="U936" i="8"/>
  <c r="T936" i="8"/>
  <c r="S936" i="8"/>
  <c r="R936" i="8"/>
  <c r="Q936" i="8"/>
  <c r="P936" i="8"/>
  <c r="U935" i="8"/>
  <c r="T935" i="8"/>
  <c r="S935" i="8"/>
  <c r="R935" i="8"/>
  <c r="Q935" i="8"/>
  <c r="P935" i="8"/>
  <c r="U934" i="8"/>
  <c r="T934" i="8"/>
  <c r="S934" i="8"/>
  <c r="R934" i="8"/>
  <c r="Q934" i="8"/>
  <c r="P934" i="8"/>
  <c r="U933" i="8"/>
  <c r="T933" i="8"/>
  <c r="S933" i="8"/>
  <c r="R933" i="8"/>
  <c r="Q933" i="8"/>
  <c r="P933" i="8"/>
  <c r="U932" i="8"/>
  <c r="T932" i="8"/>
  <c r="S932" i="8"/>
  <c r="R932" i="8"/>
  <c r="Q932" i="8"/>
  <c r="P932" i="8"/>
  <c r="U931" i="8"/>
  <c r="T931" i="8"/>
  <c r="S931" i="8"/>
  <c r="R931" i="8"/>
  <c r="Q931" i="8"/>
  <c r="P931" i="8"/>
  <c r="U930" i="8"/>
  <c r="T930" i="8"/>
  <c r="S930" i="8"/>
  <c r="R930" i="8"/>
  <c r="Q930" i="8"/>
  <c r="P930" i="8"/>
  <c r="U929" i="8"/>
  <c r="T929" i="8"/>
  <c r="S929" i="8"/>
  <c r="R929" i="8"/>
  <c r="Q929" i="8"/>
  <c r="P929" i="8"/>
  <c r="U928" i="8"/>
  <c r="T928" i="8"/>
  <c r="S928" i="8"/>
  <c r="R928" i="8"/>
  <c r="Q928" i="8"/>
  <c r="P928" i="8"/>
  <c r="U927" i="8"/>
  <c r="T927" i="8"/>
  <c r="S927" i="8"/>
  <c r="R927" i="8"/>
  <c r="Q927" i="8"/>
  <c r="P927" i="8"/>
  <c r="U926" i="8"/>
  <c r="T926" i="8"/>
  <c r="S926" i="8"/>
  <c r="R926" i="8"/>
  <c r="Q926" i="8"/>
  <c r="P926" i="8"/>
  <c r="U925" i="8"/>
  <c r="T925" i="8"/>
  <c r="S925" i="8"/>
  <c r="R925" i="8"/>
  <c r="Q925" i="8"/>
  <c r="P925" i="8"/>
  <c r="U924" i="8"/>
  <c r="T924" i="8"/>
  <c r="S924" i="8"/>
  <c r="R924" i="8"/>
  <c r="Q924" i="8"/>
  <c r="P924" i="8"/>
  <c r="U923" i="8"/>
  <c r="T923" i="8"/>
  <c r="S923" i="8"/>
  <c r="R923" i="8"/>
  <c r="Q923" i="8"/>
  <c r="P923" i="8"/>
  <c r="U922" i="8"/>
  <c r="T922" i="8"/>
  <c r="S922" i="8"/>
  <c r="R922" i="8"/>
  <c r="Q922" i="8"/>
  <c r="P922" i="8"/>
  <c r="U921" i="8"/>
  <c r="T921" i="8"/>
  <c r="S921" i="8"/>
  <c r="R921" i="8"/>
  <c r="Q921" i="8"/>
  <c r="P921" i="8"/>
  <c r="U920" i="8"/>
  <c r="T920" i="8"/>
  <c r="S920" i="8"/>
  <c r="R920" i="8"/>
  <c r="Q920" i="8"/>
  <c r="P920" i="8"/>
  <c r="U919" i="8"/>
  <c r="T919" i="8"/>
  <c r="S919" i="8"/>
  <c r="R919" i="8"/>
  <c r="Q919" i="8"/>
  <c r="P919" i="8"/>
  <c r="U918" i="8"/>
  <c r="T918" i="8"/>
  <c r="S918" i="8"/>
  <c r="R918" i="8"/>
  <c r="Q918" i="8"/>
  <c r="P918" i="8"/>
  <c r="U917" i="8"/>
  <c r="T917" i="8"/>
  <c r="S917" i="8"/>
  <c r="R917" i="8"/>
  <c r="Q917" i="8"/>
  <c r="P917" i="8"/>
  <c r="U916" i="8"/>
  <c r="T916" i="8"/>
  <c r="S916" i="8"/>
  <c r="R916" i="8"/>
  <c r="Q916" i="8"/>
  <c r="P916" i="8"/>
  <c r="U915" i="8"/>
  <c r="T915" i="8"/>
  <c r="S915" i="8"/>
  <c r="R915" i="8"/>
  <c r="Q915" i="8"/>
  <c r="P915" i="8"/>
  <c r="U914" i="8"/>
  <c r="T914" i="8"/>
  <c r="S914" i="8"/>
  <c r="R914" i="8"/>
  <c r="Q914" i="8"/>
  <c r="P914" i="8"/>
  <c r="U913" i="8"/>
  <c r="T913" i="8"/>
  <c r="S913" i="8"/>
  <c r="R913" i="8"/>
  <c r="Q913" i="8"/>
  <c r="P913" i="8"/>
  <c r="U912" i="8"/>
  <c r="T912" i="8"/>
  <c r="S912" i="8"/>
  <c r="R912" i="8"/>
  <c r="Q912" i="8"/>
  <c r="P912" i="8"/>
  <c r="U911" i="8"/>
  <c r="T911" i="8"/>
  <c r="S911" i="8"/>
  <c r="R911" i="8"/>
  <c r="Q911" i="8"/>
  <c r="P911" i="8"/>
  <c r="U910" i="8"/>
  <c r="T910" i="8"/>
  <c r="S910" i="8"/>
  <c r="R910" i="8"/>
  <c r="Q910" i="8"/>
  <c r="P910" i="8"/>
  <c r="U909" i="8"/>
  <c r="T909" i="8"/>
  <c r="S909" i="8"/>
  <c r="R909" i="8"/>
  <c r="Q909" i="8"/>
  <c r="P909" i="8"/>
  <c r="U908" i="8"/>
  <c r="T908" i="8"/>
  <c r="S908" i="8"/>
  <c r="R908" i="8"/>
  <c r="Q908" i="8"/>
  <c r="P908" i="8"/>
  <c r="U907" i="8"/>
  <c r="T907" i="8"/>
  <c r="S907" i="8"/>
  <c r="R907" i="8"/>
  <c r="Q907" i="8"/>
  <c r="P907" i="8"/>
  <c r="U906" i="8"/>
  <c r="T906" i="8"/>
  <c r="S906" i="8"/>
  <c r="R906" i="8"/>
  <c r="Q906" i="8"/>
  <c r="P906" i="8"/>
  <c r="U905" i="8"/>
  <c r="T905" i="8"/>
  <c r="S905" i="8"/>
  <c r="R905" i="8"/>
  <c r="Q905" i="8"/>
  <c r="P905" i="8"/>
  <c r="U904" i="8"/>
  <c r="T904" i="8"/>
  <c r="S904" i="8"/>
  <c r="R904" i="8"/>
  <c r="Q904" i="8"/>
  <c r="P904" i="8"/>
  <c r="U903" i="8"/>
  <c r="T903" i="8"/>
  <c r="S903" i="8"/>
  <c r="R903" i="8"/>
  <c r="Q903" i="8"/>
  <c r="P903" i="8"/>
  <c r="U902" i="8"/>
  <c r="T902" i="8"/>
  <c r="S902" i="8"/>
  <c r="R902" i="8"/>
  <c r="Q902" i="8"/>
  <c r="P902" i="8"/>
  <c r="U901" i="8"/>
  <c r="T901" i="8"/>
  <c r="S901" i="8"/>
  <c r="R901" i="8"/>
  <c r="Q901" i="8"/>
  <c r="P901" i="8"/>
  <c r="U900" i="8"/>
  <c r="T900" i="8"/>
  <c r="S900" i="8"/>
  <c r="R900" i="8"/>
  <c r="Q900" i="8"/>
  <c r="P900" i="8"/>
  <c r="U899" i="8"/>
  <c r="T899" i="8"/>
  <c r="S899" i="8"/>
  <c r="R899" i="8"/>
  <c r="Q899" i="8"/>
  <c r="P899" i="8"/>
  <c r="U898" i="8"/>
  <c r="T898" i="8"/>
  <c r="S898" i="8"/>
  <c r="R898" i="8"/>
  <c r="Q898" i="8"/>
  <c r="P898" i="8"/>
  <c r="U897" i="8"/>
  <c r="T897" i="8"/>
  <c r="S897" i="8"/>
  <c r="R897" i="8"/>
  <c r="Q897" i="8"/>
  <c r="P897" i="8"/>
  <c r="U896" i="8"/>
  <c r="T896" i="8"/>
  <c r="S896" i="8"/>
  <c r="R896" i="8"/>
  <c r="Q896" i="8"/>
  <c r="P896" i="8"/>
  <c r="U895" i="8"/>
  <c r="T895" i="8"/>
  <c r="S895" i="8"/>
  <c r="R895" i="8"/>
  <c r="Q895" i="8"/>
  <c r="P895" i="8"/>
  <c r="U894" i="8"/>
  <c r="T894" i="8"/>
  <c r="S894" i="8"/>
  <c r="R894" i="8"/>
  <c r="Q894" i="8"/>
  <c r="P894" i="8"/>
  <c r="U893" i="8"/>
  <c r="T893" i="8"/>
  <c r="S893" i="8"/>
  <c r="R893" i="8"/>
  <c r="Q893" i="8"/>
  <c r="P893" i="8"/>
  <c r="U892" i="8"/>
  <c r="T892" i="8"/>
  <c r="S892" i="8"/>
  <c r="R892" i="8"/>
  <c r="Q892" i="8"/>
  <c r="P892" i="8"/>
  <c r="U891" i="8"/>
  <c r="T891" i="8"/>
  <c r="S891" i="8"/>
  <c r="R891" i="8"/>
  <c r="Q891" i="8"/>
  <c r="P891" i="8"/>
  <c r="U890" i="8"/>
  <c r="T890" i="8"/>
  <c r="S890" i="8"/>
  <c r="R890" i="8"/>
  <c r="Q890" i="8"/>
  <c r="P890" i="8"/>
  <c r="U889" i="8"/>
  <c r="T889" i="8"/>
  <c r="S889" i="8"/>
  <c r="R889" i="8"/>
  <c r="Q889" i="8"/>
  <c r="P889" i="8"/>
  <c r="U888" i="8"/>
  <c r="T888" i="8"/>
  <c r="S888" i="8"/>
  <c r="R888" i="8"/>
  <c r="Q888" i="8"/>
  <c r="P888" i="8"/>
  <c r="U887" i="8"/>
  <c r="T887" i="8"/>
  <c r="S887" i="8"/>
  <c r="R887" i="8"/>
  <c r="Q887" i="8"/>
  <c r="P887" i="8"/>
  <c r="U886" i="8"/>
  <c r="T886" i="8"/>
  <c r="S886" i="8"/>
  <c r="R886" i="8"/>
  <c r="Q886" i="8"/>
  <c r="P886" i="8"/>
  <c r="U885" i="8"/>
  <c r="T885" i="8"/>
  <c r="S885" i="8"/>
  <c r="R885" i="8"/>
  <c r="Q885" i="8"/>
  <c r="P885" i="8"/>
  <c r="U884" i="8"/>
  <c r="T884" i="8"/>
  <c r="S884" i="8"/>
  <c r="R884" i="8"/>
  <c r="Q884" i="8"/>
  <c r="P884" i="8"/>
  <c r="U883" i="8"/>
  <c r="T883" i="8"/>
  <c r="S883" i="8"/>
  <c r="R883" i="8"/>
  <c r="Q883" i="8"/>
  <c r="P883" i="8"/>
  <c r="U882" i="8"/>
  <c r="T882" i="8"/>
  <c r="S882" i="8"/>
  <c r="R882" i="8"/>
  <c r="Q882" i="8"/>
  <c r="P882" i="8"/>
  <c r="U881" i="8"/>
  <c r="T881" i="8"/>
  <c r="S881" i="8"/>
  <c r="R881" i="8"/>
  <c r="Q881" i="8"/>
  <c r="P881" i="8"/>
  <c r="U880" i="8"/>
  <c r="T880" i="8"/>
  <c r="S880" i="8"/>
  <c r="R880" i="8"/>
  <c r="Q880" i="8"/>
  <c r="P880" i="8"/>
  <c r="U879" i="8"/>
  <c r="T879" i="8"/>
  <c r="S879" i="8"/>
  <c r="R879" i="8"/>
  <c r="Q879" i="8"/>
  <c r="P879" i="8"/>
  <c r="U878" i="8"/>
  <c r="T878" i="8"/>
  <c r="S878" i="8"/>
  <c r="R878" i="8"/>
  <c r="Q878" i="8"/>
  <c r="P878" i="8"/>
  <c r="U877" i="8"/>
  <c r="T877" i="8"/>
  <c r="S877" i="8"/>
  <c r="R877" i="8"/>
  <c r="Q877" i="8"/>
  <c r="P877" i="8"/>
  <c r="U876" i="8"/>
  <c r="T876" i="8"/>
  <c r="S876" i="8"/>
  <c r="R876" i="8"/>
  <c r="Q876" i="8"/>
  <c r="P876" i="8"/>
  <c r="U875" i="8"/>
  <c r="T875" i="8"/>
  <c r="S875" i="8"/>
  <c r="R875" i="8"/>
  <c r="Q875" i="8"/>
  <c r="P875" i="8"/>
  <c r="U874" i="8"/>
  <c r="T874" i="8"/>
  <c r="S874" i="8"/>
  <c r="R874" i="8"/>
  <c r="Q874" i="8"/>
  <c r="P874" i="8"/>
  <c r="U873" i="8"/>
  <c r="T873" i="8"/>
  <c r="S873" i="8"/>
  <c r="R873" i="8"/>
  <c r="Q873" i="8"/>
  <c r="P873" i="8"/>
  <c r="U872" i="8"/>
  <c r="T872" i="8"/>
  <c r="S872" i="8"/>
  <c r="R872" i="8"/>
  <c r="Q872" i="8"/>
  <c r="P872" i="8"/>
  <c r="U871" i="8"/>
  <c r="T871" i="8"/>
  <c r="S871" i="8"/>
  <c r="R871" i="8"/>
  <c r="Q871" i="8"/>
  <c r="P871" i="8"/>
  <c r="U870" i="8"/>
  <c r="T870" i="8"/>
  <c r="S870" i="8"/>
  <c r="R870" i="8"/>
  <c r="Q870" i="8"/>
  <c r="P870" i="8"/>
  <c r="U869" i="8"/>
  <c r="T869" i="8"/>
  <c r="S869" i="8"/>
  <c r="R869" i="8"/>
  <c r="Q869" i="8"/>
  <c r="P869" i="8"/>
  <c r="U868" i="8"/>
  <c r="T868" i="8"/>
  <c r="S868" i="8"/>
  <c r="R868" i="8"/>
  <c r="Q868" i="8"/>
  <c r="P868" i="8"/>
  <c r="U867" i="8"/>
  <c r="T867" i="8"/>
  <c r="S867" i="8"/>
  <c r="R867" i="8"/>
  <c r="Q867" i="8"/>
  <c r="P867" i="8"/>
  <c r="U866" i="8"/>
  <c r="T866" i="8"/>
  <c r="S866" i="8"/>
  <c r="R866" i="8"/>
  <c r="Q866" i="8"/>
  <c r="P866" i="8"/>
  <c r="U865" i="8"/>
  <c r="T865" i="8"/>
  <c r="S865" i="8"/>
  <c r="R865" i="8"/>
  <c r="Q865" i="8"/>
  <c r="P865" i="8"/>
  <c r="U864" i="8"/>
  <c r="T864" i="8"/>
  <c r="S864" i="8"/>
  <c r="R864" i="8"/>
  <c r="Q864" i="8"/>
  <c r="P864" i="8"/>
  <c r="U863" i="8"/>
  <c r="T863" i="8"/>
  <c r="S863" i="8"/>
  <c r="R863" i="8"/>
  <c r="Q863" i="8"/>
  <c r="P863" i="8"/>
  <c r="U862" i="8"/>
  <c r="T862" i="8"/>
  <c r="S862" i="8"/>
  <c r="R862" i="8"/>
  <c r="Q862" i="8"/>
  <c r="P862" i="8"/>
  <c r="U861" i="8"/>
  <c r="T861" i="8"/>
  <c r="S861" i="8"/>
  <c r="R861" i="8"/>
  <c r="Q861" i="8"/>
  <c r="P861" i="8"/>
  <c r="U860" i="8"/>
  <c r="T860" i="8"/>
  <c r="S860" i="8"/>
  <c r="R860" i="8"/>
  <c r="Q860" i="8"/>
  <c r="P860" i="8"/>
  <c r="U859" i="8"/>
  <c r="T859" i="8"/>
  <c r="S859" i="8"/>
  <c r="R859" i="8"/>
  <c r="Q859" i="8"/>
  <c r="P859" i="8"/>
  <c r="U858" i="8"/>
  <c r="T858" i="8"/>
  <c r="S858" i="8"/>
  <c r="R858" i="8"/>
  <c r="Q858" i="8"/>
  <c r="P858" i="8"/>
  <c r="U857" i="8"/>
  <c r="T857" i="8"/>
  <c r="S857" i="8"/>
  <c r="R857" i="8"/>
  <c r="Q857" i="8"/>
  <c r="P857" i="8"/>
  <c r="U856" i="8"/>
  <c r="T856" i="8"/>
  <c r="S856" i="8"/>
  <c r="R856" i="8"/>
  <c r="Q856" i="8"/>
  <c r="P856" i="8"/>
  <c r="U855" i="8"/>
  <c r="T855" i="8"/>
  <c r="S855" i="8"/>
  <c r="R855" i="8"/>
  <c r="Q855" i="8"/>
  <c r="P855" i="8"/>
  <c r="U854" i="8"/>
  <c r="T854" i="8"/>
  <c r="S854" i="8"/>
  <c r="R854" i="8"/>
  <c r="Q854" i="8"/>
  <c r="P854" i="8"/>
  <c r="U853" i="8"/>
  <c r="T853" i="8"/>
  <c r="S853" i="8"/>
  <c r="R853" i="8"/>
  <c r="Q853" i="8"/>
  <c r="P853" i="8"/>
  <c r="U852" i="8"/>
  <c r="T852" i="8"/>
  <c r="S852" i="8"/>
  <c r="R852" i="8"/>
  <c r="Q852" i="8"/>
  <c r="P852" i="8"/>
  <c r="U851" i="8"/>
  <c r="T851" i="8"/>
  <c r="S851" i="8"/>
  <c r="R851" i="8"/>
  <c r="Q851" i="8"/>
  <c r="P851" i="8"/>
  <c r="U850" i="8"/>
  <c r="T850" i="8"/>
  <c r="S850" i="8"/>
  <c r="R850" i="8"/>
  <c r="Q850" i="8"/>
  <c r="P850" i="8"/>
  <c r="U849" i="8"/>
  <c r="T849" i="8"/>
  <c r="S849" i="8"/>
  <c r="R849" i="8"/>
  <c r="Q849" i="8"/>
  <c r="P849" i="8"/>
  <c r="U848" i="8"/>
  <c r="T848" i="8"/>
  <c r="S848" i="8"/>
  <c r="R848" i="8"/>
  <c r="Q848" i="8"/>
  <c r="P848" i="8"/>
  <c r="U847" i="8"/>
  <c r="T847" i="8"/>
  <c r="S847" i="8"/>
  <c r="R847" i="8"/>
  <c r="Q847" i="8"/>
  <c r="P847" i="8"/>
  <c r="U846" i="8"/>
  <c r="T846" i="8"/>
  <c r="S846" i="8"/>
  <c r="R846" i="8"/>
  <c r="Q846" i="8"/>
  <c r="P846" i="8"/>
  <c r="U845" i="8"/>
  <c r="T845" i="8"/>
  <c r="S845" i="8"/>
  <c r="R845" i="8"/>
  <c r="Q845" i="8"/>
  <c r="P845" i="8"/>
  <c r="U844" i="8"/>
  <c r="T844" i="8"/>
  <c r="S844" i="8"/>
  <c r="R844" i="8"/>
  <c r="Q844" i="8"/>
  <c r="P844" i="8"/>
  <c r="U843" i="8"/>
  <c r="T843" i="8"/>
  <c r="S843" i="8"/>
  <c r="R843" i="8"/>
  <c r="Q843" i="8"/>
  <c r="P843" i="8"/>
  <c r="U842" i="8"/>
  <c r="T842" i="8"/>
  <c r="S842" i="8"/>
  <c r="R842" i="8"/>
  <c r="Q842" i="8"/>
  <c r="P842" i="8"/>
  <c r="U841" i="8"/>
  <c r="T841" i="8"/>
  <c r="S841" i="8"/>
  <c r="R841" i="8"/>
  <c r="Q841" i="8"/>
  <c r="P841" i="8"/>
  <c r="U840" i="8"/>
  <c r="T840" i="8"/>
  <c r="S840" i="8"/>
  <c r="R840" i="8"/>
  <c r="Q840" i="8"/>
  <c r="P840" i="8"/>
  <c r="U839" i="8"/>
  <c r="T839" i="8"/>
  <c r="S839" i="8"/>
  <c r="R839" i="8"/>
  <c r="Q839" i="8"/>
  <c r="P839" i="8"/>
  <c r="U838" i="8"/>
  <c r="T838" i="8"/>
  <c r="S838" i="8"/>
  <c r="R838" i="8"/>
  <c r="Q838" i="8"/>
  <c r="P838" i="8"/>
  <c r="U837" i="8"/>
  <c r="T837" i="8"/>
  <c r="S837" i="8"/>
  <c r="R837" i="8"/>
  <c r="Q837" i="8"/>
  <c r="P837" i="8"/>
  <c r="U836" i="8"/>
  <c r="T836" i="8"/>
  <c r="S836" i="8"/>
  <c r="R836" i="8"/>
  <c r="Q836" i="8"/>
  <c r="P836" i="8"/>
  <c r="U835" i="8"/>
  <c r="T835" i="8"/>
  <c r="S835" i="8"/>
  <c r="R835" i="8"/>
  <c r="Q835" i="8"/>
  <c r="P835" i="8"/>
  <c r="U834" i="8"/>
  <c r="T834" i="8"/>
  <c r="S834" i="8"/>
  <c r="R834" i="8"/>
  <c r="Q834" i="8"/>
  <c r="P834" i="8"/>
  <c r="U833" i="8"/>
  <c r="T833" i="8"/>
  <c r="S833" i="8"/>
  <c r="R833" i="8"/>
  <c r="Q833" i="8"/>
  <c r="P833" i="8"/>
  <c r="U832" i="8"/>
  <c r="T832" i="8"/>
  <c r="S832" i="8"/>
  <c r="R832" i="8"/>
  <c r="Q832" i="8"/>
  <c r="P832" i="8"/>
  <c r="U831" i="8"/>
  <c r="T831" i="8"/>
  <c r="S831" i="8"/>
  <c r="R831" i="8"/>
  <c r="Q831" i="8"/>
  <c r="P831" i="8"/>
  <c r="U830" i="8"/>
  <c r="T830" i="8"/>
  <c r="S830" i="8"/>
  <c r="R830" i="8"/>
  <c r="Q830" i="8"/>
  <c r="P830" i="8"/>
  <c r="U829" i="8"/>
  <c r="T829" i="8"/>
  <c r="S829" i="8"/>
  <c r="R829" i="8"/>
  <c r="Q829" i="8"/>
  <c r="P829" i="8"/>
  <c r="U828" i="8"/>
  <c r="T828" i="8"/>
  <c r="S828" i="8"/>
  <c r="R828" i="8"/>
  <c r="Q828" i="8"/>
  <c r="P828" i="8"/>
  <c r="U827" i="8"/>
  <c r="T827" i="8"/>
  <c r="S827" i="8"/>
  <c r="R827" i="8"/>
  <c r="Q827" i="8"/>
  <c r="P827" i="8"/>
  <c r="U826" i="8"/>
  <c r="T826" i="8"/>
  <c r="S826" i="8"/>
  <c r="R826" i="8"/>
  <c r="Q826" i="8"/>
  <c r="P826" i="8"/>
  <c r="U825" i="8"/>
  <c r="T825" i="8"/>
  <c r="S825" i="8"/>
  <c r="R825" i="8"/>
  <c r="Q825" i="8"/>
  <c r="P825" i="8"/>
  <c r="U824" i="8"/>
  <c r="T824" i="8"/>
  <c r="S824" i="8"/>
  <c r="R824" i="8"/>
  <c r="Q824" i="8"/>
  <c r="P824" i="8"/>
  <c r="U823" i="8"/>
  <c r="T823" i="8"/>
  <c r="S823" i="8"/>
  <c r="R823" i="8"/>
  <c r="Q823" i="8"/>
  <c r="P823" i="8"/>
  <c r="U822" i="8"/>
  <c r="T822" i="8"/>
  <c r="S822" i="8"/>
  <c r="R822" i="8"/>
  <c r="Q822" i="8"/>
  <c r="P822" i="8"/>
  <c r="U821" i="8"/>
  <c r="T821" i="8"/>
  <c r="S821" i="8"/>
  <c r="R821" i="8"/>
  <c r="Q821" i="8"/>
  <c r="P821" i="8"/>
  <c r="U820" i="8"/>
  <c r="T820" i="8"/>
  <c r="S820" i="8"/>
  <c r="R820" i="8"/>
  <c r="Q820" i="8"/>
  <c r="P820" i="8"/>
  <c r="U819" i="8"/>
  <c r="T819" i="8"/>
  <c r="S819" i="8"/>
  <c r="R819" i="8"/>
  <c r="Q819" i="8"/>
  <c r="P819" i="8"/>
  <c r="U818" i="8"/>
  <c r="T818" i="8"/>
  <c r="S818" i="8"/>
  <c r="R818" i="8"/>
  <c r="Q818" i="8"/>
  <c r="P818" i="8"/>
  <c r="U817" i="8"/>
  <c r="T817" i="8"/>
  <c r="S817" i="8"/>
  <c r="R817" i="8"/>
  <c r="Q817" i="8"/>
  <c r="P817" i="8"/>
  <c r="U816" i="8"/>
  <c r="T816" i="8"/>
  <c r="S816" i="8"/>
  <c r="R816" i="8"/>
  <c r="Q816" i="8"/>
  <c r="P816" i="8"/>
  <c r="U815" i="8"/>
  <c r="T815" i="8"/>
  <c r="S815" i="8"/>
  <c r="R815" i="8"/>
  <c r="Q815" i="8"/>
  <c r="P815" i="8"/>
  <c r="U814" i="8"/>
  <c r="T814" i="8"/>
  <c r="S814" i="8"/>
  <c r="R814" i="8"/>
  <c r="Q814" i="8"/>
  <c r="P814" i="8"/>
  <c r="U813" i="8"/>
  <c r="T813" i="8"/>
  <c r="S813" i="8"/>
  <c r="R813" i="8"/>
  <c r="Q813" i="8"/>
  <c r="P813" i="8"/>
  <c r="U812" i="8"/>
  <c r="T812" i="8"/>
  <c r="S812" i="8"/>
  <c r="R812" i="8"/>
  <c r="Q812" i="8"/>
  <c r="P812" i="8"/>
  <c r="U811" i="8"/>
  <c r="T811" i="8"/>
  <c r="S811" i="8"/>
  <c r="R811" i="8"/>
  <c r="Q811" i="8"/>
  <c r="P811" i="8"/>
  <c r="U810" i="8"/>
  <c r="T810" i="8"/>
  <c r="S810" i="8"/>
  <c r="R810" i="8"/>
  <c r="Q810" i="8"/>
  <c r="P810" i="8"/>
  <c r="U809" i="8"/>
  <c r="T809" i="8"/>
  <c r="S809" i="8"/>
  <c r="R809" i="8"/>
  <c r="Q809" i="8"/>
  <c r="P809" i="8"/>
  <c r="U808" i="8"/>
  <c r="T808" i="8"/>
  <c r="S808" i="8"/>
  <c r="R808" i="8"/>
  <c r="Q808" i="8"/>
  <c r="P808" i="8"/>
  <c r="U807" i="8"/>
  <c r="T807" i="8"/>
  <c r="S807" i="8"/>
  <c r="R807" i="8"/>
  <c r="Q807" i="8"/>
  <c r="P807" i="8"/>
  <c r="U806" i="8"/>
  <c r="T806" i="8"/>
  <c r="S806" i="8"/>
  <c r="R806" i="8"/>
  <c r="Q806" i="8"/>
  <c r="P806" i="8"/>
  <c r="U805" i="8"/>
  <c r="T805" i="8"/>
  <c r="S805" i="8"/>
  <c r="R805" i="8"/>
  <c r="Q805" i="8"/>
  <c r="P805" i="8"/>
  <c r="U804" i="8"/>
  <c r="T804" i="8"/>
  <c r="S804" i="8"/>
  <c r="R804" i="8"/>
  <c r="Q804" i="8"/>
  <c r="P804" i="8"/>
  <c r="U803" i="8"/>
  <c r="T803" i="8"/>
  <c r="S803" i="8"/>
  <c r="R803" i="8"/>
  <c r="Q803" i="8"/>
  <c r="P803" i="8"/>
  <c r="U802" i="8"/>
  <c r="T802" i="8"/>
  <c r="S802" i="8"/>
  <c r="R802" i="8"/>
  <c r="Q802" i="8"/>
  <c r="P802" i="8"/>
  <c r="U801" i="8"/>
  <c r="T801" i="8"/>
  <c r="S801" i="8"/>
  <c r="R801" i="8"/>
  <c r="Q801" i="8"/>
  <c r="P801" i="8"/>
  <c r="U800" i="8"/>
  <c r="T800" i="8"/>
  <c r="S800" i="8"/>
  <c r="R800" i="8"/>
  <c r="Q800" i="8"/>
  <c r="P800" i="8"/>
  <c r="U799" i="8"/>
  <c r="T799" i="8"/>
  <c r="S799" i="8"/>
  <c r="R799" i="8"/>
  <c r="Q799" i="8"/>
  <c r="P799" i="8"/>
  <c r="U798" i="8"/>
  <c r="T798" i="8"/>
  <c r="S798" i="8"/>
  <c r="R798" i="8"/>
  <c r="Q798" i="8"/>
  <c r="P798" i="8"/>
  <c r="U797" i="8"/>
  <c r="T797" i="8"/>
  <c r="S797" i="8"/>
  <c r="R797" i="8"/>
  <c r="Q797" i="8"/>
  <c r="P797" i="8"/>
  <c r="U796" i="8"/>
  <c r="T796" i="8"/>
  <c r="S796" i="8"/>
  <c r="R796" i="8"/>
  <c r="Q796" i="8"/>
  <c r="P796" i="8"/>
  <c r="U795" i="8"/>
  <c r="T795" i="8"/>
  <c r="S795" i="8"/>
  <c r="R795" i="8"/>
  <c r="Q795" i="8"/>
  <c r="P795" i="8"/>
  <c r="U794" i="8"/>
  <c r="T794" i="8"/>
  <c r="S794" i="8"/>
  <c r="R794" i="8"/>
  <c r="Q794" i="8"/>
  <c r="P794" i="8"/>
  <c r="U793" i="8"/>
  <c r="T793" i="8"/>
  <c r="S793" i="8"/>
  <c r="R793" i="8"/>
  <c r="Q793" i="8"/>
  <c r="P793" i="8"/>
  <c r="U792" i="8"/>
  <c r="T792" i="8"/>
  <c r="S792" i="8"/>
  <c r="R792" i="8"/>
  <c r="Q792" i="8"/>
  <c r="P792" i="8"/>
  <c r="U791" i="8"/>
  <c r="T791" i="8"/>
  <c r="S791" i="8"/>
  <c r="R791" i="8"/>
  <c r="Q791" i="8"/>
  <c r="P791" i="8"/>
  <c r="U790" i="8"/>
  <c r="T790" i="8"/>
  <c r="S790" i="8"/>
  <c r="R790" i="8"/>
  <c r="Q790" i="8"/>
  <c r="P790" i="8"/>
  <c r="U789" i="8"/>
  <c r="T789" i="8"/>
  <c r="S789" i="8"/>
  <c r="R789" i="8"/>
  <c r="Q789" i="8"/>
  <c r="P789" i="8"/>
  <c r="U788" i="8"/>
  <c r="T788" i="8"/>
  <c r="S788" i="8"/>
  <c r="R788" i="8"/>
  <c r="Q788" i="8"/>
  <c r="P788" i="8"/>
  <c r="U787" i="8"/>
  <c r="T787" i="8"/>
  <c r="S787" i="8"/>
  <c r="R787" i="8"/>
  <c r="Q787" i="8"/>
  <c r="P787" i="8"/>
  <c r="U786" i="8"/>
  <c r="T786" i="8"/>
  <c r="S786" i="8"/>
  <c r="R786" i="8"/>
  <c r="Q786" i="8"/>
  <c r="P786" i="8"/>
  <c r="U785" i="8"/>
  <c r="T785" i="8"/>
  <c r="S785" i="8"/>
  <c r="R785" i="8"/>
  <c r="Q785" i="8"/>
  <c r="P785" i="8"/>
  <c r="U784" i="8"/>
  <c r="T784" i="8"/>
  <c r="S784" i="8"/>
  <c r="R784" i="8"/>
  <c r="Q784" i="8"/>
  <c r="P784" i="8"/>
  <c r="U783" i="8"/>
  <c r="T783" i="8"/>
  <c r="S783" i="8"/>
  <c r="R783" i="8"/>
  <c r="Q783" i="8"/>
  <c r="P783" i="8"/>
  <c r="U782" i="8"/>
  <c r="T782" i="8"/>
  <c r="S782" i="8"/>
  <c r="R782" i="8"/>
  <c r="Q782" i="8"/>
  <c r="P782" i="8"/>
  <c r="U781" i="8"/>
  <c r="T781" i="8"/>
  <c r="S781" i="8"/>
  <c r="R781" i="8"/>
  <c r="Q781" i="8"/>
  <c r="P781" i="8"/>
  <c r="U780" i="8"/>
  <c r="T780" i="8"/>
  <c r="S780" i="8"/>
  <c r="R780" i="8"/>
  <c r="Q780" i="8"/>
  <c r="P780" i="8"/>
  <c r="U779" i="8"/>
  <c r="T779" i="8"/>
  <c r="S779" i="8"/>
  <c r="R779" i="8"/>
  <c r="Q779" i="8"/>
  <c r="P779" i="8"/>
  <c r="U778" i="8"/>
  <c r="T778" i="8"/>
  <c r="S778" i="8"/>
  <c r="R778" i="8"/>
  <c r="Q778" i="8"/>
  <c r="P778" i="8"/>
  <c r="U777" i="8"/>
  <c r="T777" i="8"/>
  <c r="S777" i="8"/>
  <c r="R777" i="8"/>
  <c r="Q777" i="8"/>
  <c r="P777" i="8"/>
  <c r="U776" i="8"/>
  <c r="T776" i="8"/>
  <c r="S776" i="8"/>
  <c r="R776" i="8"/>
  <c r="Q776" i="8"/>
  <c r="P776" i="8"/>
  <c r="U775" i="8"/>
  <c r="T775" i="8"/>
  <c r="S775" i="8"/>
  <c r="R775" i="8"/>
  <c r="Q775" i="8"/>
  <c r="P775" i="8"/>
  <c r="U774" i="8"/>
  <c r="T774" i="8"/>
  <c r="S774" i="8"/>
  <c r="R774" i="8"/>
  <c r="Q774" i="8"/>
  <c r="P774" i="8"/>
  <c r="U773" i="8"/>
  <c r="T773" i="8"/>
  <c r="S773" i="8"/>
  <c r="R773" i="8"/>
  <c r="Q773" i="8"/>
  <c r="P773" i="8"/>
  <c r="U772" i="8"/>
  <c r="T772" i="8"/>
  <c r="S772" i="8"/>
  <c r="R772" i="8"/>
  <c r="Q772" i="8"/>
  <c r="P772" i="8"/>
  <c r="U771" i="8"/>
  <c r="T771" i="8"/>
  <c r="S771" i="8"/>
  <c r="R771" i="8"/>
  <c r="Q771" i="8"/>
  <c r="P771" i="8"/>
  <c r="U770" i="8"/>
  <c r="T770" i="8"/>
  <c r="S770" i="8"/>
  <c r="R770" i="8"/>
  <c r="Q770" i="8"/>
  <c r="P770" i="8"/>
  <c r="U769" i="8"/>
  <c r="T769" i="8"/>
  <c r="S769" i="8"/>
  <c r="R769" i="8"/>
  <c r="Q769" i="8"/>
  <c r="P769" i="8"/>
  <c r="U768" i="8"/>
  <c r="T768" i="8"/>
  <c r="S768" i="8"/>
  <c r="R768" i="8"/>
  <c r="Q768" i="8"/>
  <c r="P768" i="8"/>
  <c r="U767" i="8"/>
  <c r="T767" i="8"/>
  <c r="S767" i="8"/>
  <c r="R767" i="8"/>
  <c r="Q767" i="8"/>
  <c r="P767" i="8"/>
  <c r="U766" i="8"/>
  <c r="T766" i="8"/>
  <c r="S766" i="8"/>
  <c r="R766" i="8"/>
  <c r="Q766" i="8"/>
  <c r="P766" i="8"/>
  <c r="U765" i="8"/>
  <c r="T765" i="8"/>
  <c r="S765" i="8"/>
  <c r="R765" i="8"/>
  <c r="Q765" i="8"/>
  <c r="P765" i="8"/>
  <c r="U764" i="8"/>
  <c r="T764" i="8"/>
  <c r="S764" i="8"/>
  <c r="R764" i="8"/>
  <c r="Q764" i="8"/>
  <c r="P764" i="8"/>
  <c r="U763" i="8"/>
  <c r="T763" i="8"/>
  <c r="S763" i="8"/>
  <c r="R763" i="8"/>
  <c r="Q763" i="8"/>
  <c r="P763" i="8"/>
  <c r="U762" i="8"/>
  <c r="T762" i="8"/>
  <c r="S762" i="8"/>
  <c r="R762" i="8"/>
  <c r="Q762" i="8"/>
  <c r="P762" i="8"/>
  <c r="U761" i="8"/>
  <c r="T761" i="8"/>
  <c r="S761" i="8"/>
  <c r="R761" i="8"/>
  <c r="Q761" i="8"/>
  <c r="P761" i="8"/>
  <c r="U760" i="8"/>
  <c r="T760" i="8"/>
  <c r="S760" i="8"/>
  <c r="R760" i="8"/>
  <c r="Q760" i="8"/>
  <c r="P760" i="8"/>
  <c r="U759" i="8"/>
  <c r="T759" i="8"/>
  <c r="S759" i="8"/>
  <c r="R759" i="8"/>
  <c r="Q759" i="8"/>
  <c r="P759" i="8"/>
  <c r="U758" i="8"/>
  <c r="T758" i="8"/>
  <c r="S758" i="8"/>
  <c r="R758" i="8"/>
  <c r="Q758" i="8"/>
  <c r="P758" i="8"/>
  <c r="U757" i="8"/>
  <c r="T757" i="8"/>
  <c r="S757" i="8"/>
  <c r="R757" i="8"/>
  <c r="Q757" i="8"/>
  <c r="P757" i="8"/>
  <c r="U756" i="8"/>
  <c r="T756" i="8"/>
  <c r="S756" i="8"/>
  <c r="R756" i="8"/>
  <c r="Q756" i="8"/>
  <c r="P756" i="8"/>
  <c r="U755" i="8"/>
  <c r="T755" i="8"/>
  <c r="S755" i="8"/>
  <c r="R755" i="8"/>
  <c r="Q755" i="8"/>
  <c r="P755" i="8"/>
  <c r="U754" i="8"/>
  <c r="T754" i="8"/>
  <c r="S754" i="8"/>
  <c r="R754" i="8"/>
  <c r="Q754" i="8"/>
  <c r="P754" i="8"/>
  <c r="U753" i="8"/>
  <c r="T753" i="8"/>
  <c r="S753" i="8"/>
  <c r="R753" i="8"/>
  <c r="Q753" i="8"/>
  <c r="P753" i="8"/>
  <c r="U752" i="8"/>
  <c r="T752" i="8"/>
  <c r="S752" i="8"/>
  <c r="R752" i="8"/>
  <c r="Q752" i="8"/>
  <c r="P752" i="8"/>
  <c r="U751" i="8"/>
  <c r="T751" i="8"/>
  <c r="S751" i="8"/>
  <c r="R751" i="8"/>
  <c r="Q751" i="8"/>
  <c r="P751" i="8"/>
  <c r="U750" i="8"/>
  <c r="T750" i="8"/>
  <c r="S750" i="8"/>
  <c r="R750" i="8"/>
  <c r="Q750" i="8"/>
  <c r="P750" i="8"/>
  <c r="U749" i="8"/>
  <c r="T749" i="8"/>
  <c r="S749" i="8"/>
  <c r="R749" i="8"/>
  <c r="Q749" i="8"/>
  <c r="P749" i="8"/>
  <c r="U748" i="8"/>
  <c r="T748" i="8"/>
  <c r="S748" i="8"/>
  <c r="R748" i="8"/>
  <c r="Q748" i="8"/>
  <c r="P748" i="8"/>
  <c r="U747" i="8"/>
  <c r="T747" i="8"/>
  <c r="S747" i="8"/>
  <c r="R747" i="8"/>
  <c r="Q747" i="8"/>
  <c r="P747" i="8"/>
  <c r="U746" i="8"/>
  <c r="T746" i="8"/>
  <c r="S746" i="8"/>
  <c r="R746" i="8"/>
  <c r="Q746" i="8"/>
  <c r="P746" i="8"/>
  <c r="U745" i="8"/>
  <c r="T745" i="8"/>
  <c r="S745" i="8"/>
  <c r="R745" i="8"/>
  <c r="Q745" i="8"/>
  <c r="P745" i="8"/>
  <c r="U744" i="8"/>
  <c r="T744" i="8"/>
  <c r="S744" i="8"/>
  <c r="R744" i="8"/>
  <c r="Q744" i="8"/>
  <c r="P744" i="8"/>
  <c r="U743" i="8"/>
  <c r="T743" i="8"/>
  <c r="S743" i="8"/>
  <c r="R743" i="8"/>
  <c r="Q743" i="8"/>
  <c r="P743" i="8"/>
  <c r="U742" i="8"/>
  <c r="T742" i="8"/>
  <c r="S742" i="8"/>
  <c r="R742" i="8"/>
  <c r="Q742" i="8"/>
  <c r="P742" i="8"/>
  <c r="U741" i="8"/>
  <c r="T741" i="8"/>
  <c r="S741" i="8"/>
  <c r="R741" i="8"/>
  <c r="Q741" i="8"/>
  <c r="P741" i="8"/>
  <c r="U740" i="8"/>
  <c r="T740" i="8"/>
  <c r="S740" i="8"/>
  <c r="R740" i="8"/>
  <c r="Q740" i="8"/>
  <c r="P740" i="8"/>
  <c r="U739" i="8"/>
  <c r="T739" i="8"/>
  <c r="S739" i="8"/>
  <c r="R739" i="8"/>
  <c r="Q739" i="8"/>
  <c r="P739" i="8"/>
  <c r="U738" i="8"/>
  <c r="T738" i="8"/>
  <c r="S738" i="8"/>
  <c r="R738" i="8"/>
  <c r="Q738" i="8"/>
  <c r="P738" i="8"/>
  <c r="U737" i="8"/>
  <c r="T737" i="8"/>
  <c r="S737" i="8"/>
  <c r="R737" i="8"/>
  <c r="Q737" i="8"/>
  <c r="P737" i="8"/>
  <c r="U736" i="8"/>
  <c r="T736" i="8"/>
  <c r="S736" i="8"/>
  <c r="R736" i="8"/>
  <c r="Q736" i="8"/>
  <c r="P736" i="8"/>
  <c r="U735" i="8"/>
  <c r="T735" i="8"/>
  <c r="S735" i="8"/>
  <c r="R735" i="8"/>
  <c r="Q735" i="8"/>
  <c r="P735" i="8"/>
  <c r="U734" i="8"/>
  <c r="T734" i="8"/>
  <c r="S734" i="8"/>
  <c r="R734" i="8"/>
  <c r="Q734" i="8"/>
  <c r="P734" i="8"/>
  <c r="U733" i="8"/>
  <c r="T733" i="8"/>
  <c r="S733" i="8"/>
  <c r="R733" i="8"/>
  <c r="Q733" i="8"/>
  <c r="P733" i="8"/>
  <c r="U732" i="8"/>
  <c r="T732" i="8"/>
  <c r="S732" i="8"/>
  <c r="R732" i="8"/>
  <c r="Q732" i="8"/>
  <c r="P732" i="8"/>
  <c r="U731" i="8"/>
  <c r="T731" i="8"/>
  <c r="S731" i="8"/>
  <c r="R731" i="8"/>
  <c r="Q731" i="8"/>
  <c r="P731" i="8"/>
  <c r="U730" i="8"/>
  <c r="T730" i="8"/>
  <c r="S730" i="8"/>
  <c r="R730" i="8"/>
  <c r="Q730" i="8"/>
  <c r="P730" i="8"/>
  <c r="U729" i="8"/>
  <c r="T729" i="8"/>
  <c r="S729" i="8"/>
  <c r="R729" i="8"/>
  <c r="Q729" i="8"/>
  <c r="P729" i="8"/>
  <c r="U728" i="8"/>
  <c r="T728" i="8"/>
  <c r="S728" i="8"/>
  <c r="R728" i="8"/>
  <c r="Q728" i="8"/>
  <c r="P728" i="8"/>
  <c r="U727" i="8"/>
  <c r="T727" i="8"/>
  <c r="S727" i="8"/>
  <c r="R727" i="8"/>
  <c r="Q727" i="8"/>
  <c r="P727" i="8"/>
  <c r="U726" i="8"/>
  <c r="T726" i="8"/>
  <c r="S726" i="8"/>
  <c r="R726" i="8"/>
  <c r="Q726" i="8"/>
  <c r="P726" i="8"/>
  <c r="U725" i="8"/>
  <c r="T725" i="8"/>
  <c r="S725" i="8"/>
  <c r="R725" i="8"/>
  <c r="Q725" i="8"/>
  <c r="P725" i="8"/>
  <c r="U724" i="8"/>
  <c r="T724" i="8"/>
  <c r="S724" i="8"/>
  <c r="R724" i="8"/>
  <c r="Q724" i="8"/>
  <c r="P724" i="8"/>
  <c r="U723" i="8"/>
  <c r="T723" i="8"/>
  <c r="S723" i="8"/>
  <c r="R723" i="8"/>
  <c r="Q723" i="8"/>
  <c r="P723" i="8"/>
  <c r="U722" i="8"/>
  <c r="T722" i="8"/>
  <c r="S722" i="8"/>
  <c r="R722" i="8"/>
  <c r="Q722" i="8"/>
  <c r="P722" i="8"/>
  <c r="U721" i="8"/>
  <c r="T721" i="8"/>
  <c r="S721" i="8"/>
  <c r="R721" i="8"/>
  <c r="Q721" i="8"/>
  <c r="P721" i="8"/>
  <c r="U720" i="8"/>
  <c r="T720" i="8"/>
  <c r="S720" i="8"/>
  <c r="R720" i="8"/>
  <c r="Q720" i="8"/>
  <c r="P720" i="8"/>
  <c r="U719" i="8"/>
  <c r="T719" i="8"/>
  <c r="S719" i="8"/>
  <c r="R719" i="8"/>
  <c r="Q719" i="8"/>
  <c r="P719" i="8"/>
  <c r="U718" i="8"/>
  <c r="T718" i="8"/>
  <c r="S718" i="8"/>
  <c r="R718" i="8"/>
  <c r="Q718" i="8"/>
  <c r="P718" i="8"/>
  <c r="U717" i="8"/>
  <c r="T717" i="8"/>
  <c r="S717" i="8"/>
  <c r="R717" i="8"/>
  <c r="Q717" i="8"/>
  <c r="P717" i="8"/>
  <c r="U716" i="8"/>
  <c r="T716" i="8"/>
  <c r="S716" i="8"/>
  <c r="R716" i="8"/>
  <c r="Q716" i="8"/>
  <c r="P716" i="8"/>
  <c r="U715" i="8"/>
  <c r="T715" i="8"/>
  <c r="S715" i="8"/>
  <c r="R715" i="8"/>
  <c r="Q715" i="8"/>
  <c r="P715" i="8"/>
  <c r="U714" i="8"/>
  <c r="T714" i="8"/>
  <c r="S714" i="8"/>
  <c r="R714" i="8"/>
  <c r="Q714" i="8"/>
  <c r="P714" i="8"/>
  <c r="U713" i="8"/>
  <c r="T713" i="8"/>
  <c r="S713" i="8"/>
  <c r="R713" i="8"/>
  <c r="Q713" i="8"/>
  <c r="P713" i="8"/>
  <c r="U712" i="8"/>
  <c r="T712" i="8"/>
  <c r="S712" i="8"/>
  <c r="R712" i="8"/>
  <c r="Q712" i="8"/>
  <c r="P712" i="8"/>
  <c r="U711" i="8"/>
  <c r="T711" i="8"/>
  <c r="S711" i="8"/>
  <c r="R711" i="8"/>
  <c r="Q711" i="8"/>
  <c r="P711" i="8"/>
  <c r="U710" i="8"/>
  <c r="T710" i="8"/>
  <c r="S710" i="8"/>
  <c r="R710" i="8"/>
  <c r="Q710" i="8"/>
  <c r="P710" i="8"/>
  <c r="U709" i="8"/>
  <c r="T709" i="8"/>
  <c r="S709" i="8"/>
  <c r="R709" i="8"/>
  <c r="Q709" i="8"/>
  <c r="P709" i="8"/>
  <c r="U708" i="8"/>
  <c r="T708" i="8"/>
  <c r="S708" i="8"/>
  <c r="R708" i="8"/>
  <c r="Q708" i="8"/>
  <c r="P708" i="8"/>
  <c r="U707" i="8"/>
  <c r="T707" i="8"/>
  <c r="S707" i="8"/>
  <c r="R707" i="8"/>
  <c r="Q707" i="8"/>
  <c r="P707" i="8"/>
  <c r="U706" i="8"/>
  <c r="T706" i="8"/>
  <c r="S706" i="8"/>
  <c r="R706" i="8"/>
  <c r="Q706" i="8"/>
  <c r="P706" i="8"/>
  <c r="U705" i="8"/>
  <c r="T705" i="8"/>
  <c r="S705" i="8"/>
  <c r="R705" i="8"/>
  <c r="Q705" i="8"/>
  <c r="P705" i="8"/>
  <c r="U704" i="8"/>
  <c r="T704" i="8"/>
  <c r="S704" i="8"/>
  <c r="R704" i="8"/>
  <c r="Q704" i="8"/>
  <c r="P704" i="8"/>
  <c r="U703" i="8"/>
  <c r="T703" i="8"/>
  <c r="S703" i="8"/>
  <c r="R703" i="8"/>
  <c r="Q703" i="8"/>
  <c r="P703" i="8"/>
  <c r="U702" i="8"/>
  <c r="T702" i="8"/>
  <c r="S702" i="8"/>
  <c r="R702" i="8"/>
  <c r="Q702" i="8"/>
  <c r="P702" i="8"/>
  <c r="U701" i="8"/>
  <c r="T701" i="8"/>
  <c r="S701" i="8"/>
  <c r="R701" i="8"/>
  <c r="Q701" i="8"/>
  <c r="P701" i="8"/>
  <c r="U700" i="8"/>
  <c r="T700" i="8"/>
  <c r="S700" i="8"/>
  <c r="R700" i="8"/>
  <c r="Q700" i="8"/>
  <c r="P700" i="8"/>
  <c r="U699" i="8"/>
  <c r="T699" i="8"/>
  <c r="S699" i="8"/>
  <c r="R699" i="8"/>
  <c r="Q699" i="8"/>
  <c r="P699" i="8"/>
  <c r="U698" i="8"/>
  <c r="T698" i="8"/>
  <c r="S698" i="8"/>
  <c r="R698" i="8"/>
  <c r="Q698" i="8"/>
  <c r="P698" i="8"/>
  <c r="U697" i="8"/>
  <c r="T697" i="8"/>
  <c r="S697" i="8"/>
  <c r="R697" i="8"/>
  <c r="Q697" i="8"/>
  <c r="P697" i="8"/>
  <c r="U696" i="8"/>
  <c r="T696" i="8"/>
  <c r="S696" i="8"/>
  <c r="R696" i="8"/>
  <c r="Q696" i="8"/>
  <c r="P696" i="8"/>
  <c r="U695" i="8"/>
  <c r="T695" i="8"/>
  <c r="S695" i="8"/>
  <c r="R695" i="8"/>
  <c r="Q695" i="8"/>
  <c r="P695" i="8"/>
  <c r="U694" i="8"/>
  <c r="T694" i="8"/>
  <c r="S694" i="8"/>
  <c r="R694" i="8"/>
  <c r="Q694" i="8"/>
  <c r="P694" i="8"/>
  <c r="U693" i="8"/>
  <c r="T693" i="8"/>
  <c r="S693" i="8"/>
  <c r="R693" i="8"/>
  <c r="Q693" i="8"/>
  <c r="P693" i="8"/>
  <c r="U692" i="8"/>
  <c r="T692" i="8"/>
  <c r="S692" i="8"/>
  <c r="R692" i="8"/>
  <c r="Q692" i="8"/>
  <c r="P692" i="8"/>
  <c r="U691" i="8"/>
  <c r="T691" i="8"/>
  <c r="S691" i="8"/>
  <c r="R691" i="8"/>
  <c r="Q691" i="8"/>
  <c r="P691" i="8"/>
  <c r="U690" i="8"/>
  <c r="T690" i="8"/>
  <c r="S690" i="8"/>
  <c r="R690" i="8"/>
  <c r="Q690" i="8"/>
  <c r="P690" i="8"/>
  <c r="U689" i="8"/>
  <c r="T689" i="8"/>
  <c r="S689" i="8"/>
  <c r="R689" i="8"/>
  <c r="Q689" i="8"/>
  <c r="P689" i="8"/>
  <c r="U688" i="8"/>
  <c r="T688" i="8"/>
  <c r="S688" i="8"/>
  <c r="R688" i="8"/>
  <c r="Q688" i="8"/>
  <c r="P688" i="8"/>
  <c r="U687" i="8"/>
  <c r="T687" i="8"/>
  <c r="S687" i="8"/>
  <c r="R687" i="8"/>
  <c r="Q687" i="8"/>
  <c r="P687" i="8"/>
  <c r="U686" i="8"/>
  <c r="T686" i="8"/>
  <c r="S686" i="8"/>
  <c r="R686" i="8"/>
  <c r="Q686" i="8"/>
  <c r="P686" i="8"/>
  <c r="U685" i="8"/>
  <c r="T685" i="8"/>
  <c r="S685" i="8"/>
  <c r="R685" i="8"/>
  <c r="Q685" i="8"/>
  <c r="P685" i="8"/>
  <c r="U684" i="8"/>
  <c r="T684" i="8"/>
  <c r="S684" i="8"/>
  <c r="R684" i="8"/>
  <c r="Q684" i="8"/>
  <c r="P684" i="8"/>
  <c r="U683" i="8"/>
  <c r="T683" i="8"/>
  <c r="S683" i="8"/>
  <c r="R683" i="8"/>
  <c r="Q683" i="8"/>
  <c r="P683" i="8"/>
  <c r="U682" i="8"/>
  <c r="T682" i="8"/>
  <c r="S682" i="8"/>
  <c r="R682" i="8"/>
  <c r="Q682" i="8"/>
  <c r="P682" i="8"/>
  <c r="U681" i="8"/>
  <c r="T681" i="8"/>
  <c r="S681" i="8"/>
  <c r="R681" i="8"/>
  <c r="Q681" i="8"/>
  <c r="P681" i="8"/>
  <c r="U680" i="8"/>
  <c r="T680" i="8"/>
  <c r="S680" i="8"/>
  <c r="R680" i="8"/>
  <c r="Q680" i="8"/>
  <c r="P680" i="8"/>
  <c r="U679" i="8"/>
  <c r="T679" i="8"/>
  <c r="S679" i="8"/>
  <c r="R679" i="8"/>
  <c r="Q679" i="8"/>
  <c r="P679" i="8"/>
  <c r="U678" i="8"/>
  <c r="T678" i="8"/>
  <c r="S678" i="8"/>
  <c r="R678" i="8"/>
  <c r="Q678" i="8"/>
  <c r="P678" i="8"/>
  <c r="U677" i="8"/>
  <c r="T677" i="8"/>
  <c r="S677" i="8"/>
  <c r="R677" i="8"/>
  <c r="Q677" i="8"/>
  <c r="P677" i="8"/>
  <c r="U676" i="8"/>
  <c r="T676" i="8"/>
  <c r="S676" i="8"/>
  <c r="R676" i="8"/>
  <c r="Q676" i="8"/>
  <c r="P676" i="8"/>
  <c r="U675" i="8"/>
  <c r="T675" i="8"/>
  <c r="S675" i="8"/>
  <c r="R675" i="8"/>
  <c r="Q675" i="8"/>
  <c r="P675" i="8"/>
  <c r="U674" i="8"/>
  <c r="T674" i="8"/>
  <c r="S674" i="8"/>
  <c r="R674" i="8"/>
  <c r="Q674" i="8"/>
  <c r="P674" i="8"/>
  <c r="U673" i="8"/>
  <c r="T673" i="8"/>
  <c r="S673" i="8"/>
  <c r="R673" i="8"/>
  <c r="Q673" i="8"/>
  <c r="P673" i="8"/>
  <c r="U672" i="8"/>
  <c r="T672" i="8"/>
  <c r="S672" i="8"/>
  <c r="R672" i="8"/>
  <c r="Q672" i="8"/>
  <c r="P672" i="8"/>
  <c r="U671" i="8"/>
  <c r="T671" i="8"/>
  <c r="S671" i="8"/>
  <c r="R671" i="8"/>
  <c r="Q671" i="8"/>
  <c r="P671" i="8"/>
  <c r="U670" i="8"/>
  <c r="T670" i="8"/>
  <c r="S670" i="8"/>
  <c r="R670" i="8"/>
  <c r="Q670" i="8"/>
  <c r="P670" i="8"/>
  <c r="U669" i="8"/>
  <c r="T669" i="8"/>
  <c r="S669" i="8"/>
  <c r="R669" i="8"/>
  <c r="Q669" i="8"/>
  <c r="P669" i="8"/>
  <c r="U668" i="8"/>
  <c r="T668" i="8"/>
  <c r="S668" i="8"/>
  <c r="R668" i="8"/>
  <c r="Q668" i="8"/>
  <c r="P668" i="8"/>
  <c r="U667" i="8"/>
  <c r="T667" i="8"/>
  <c r="S667" i="8"/>
  <c r="R667" i="8"/>
  <c r="Q667" i="8"/>
  <c r="P667" i="8"/>
  <c r="U666" i="8"/>
  <c r="T666" i="8"/>
  <c r="S666" i="8"/>
  <c r="R666" i="8"/>
  <c r="Q666" i="8"/>
  <c r="P666" i="8"/>
  <c r="U665" i="8"/>
  <c r="T665" i="8"/>
  <c r="S665" i="8"/>
  <c r="R665" i="8"/>
  <c r="Q665" i="8"/>
  <c r="P665" i="8"/>
  <c r="U664" i="8"/>
  <c r="T664" i="8"/>
  <c r="S664" i="8"/>
  <c r="R664" i="8"/>
  <c r="Q664" i="8"/>
  <c r="P664" i="8"/>
  <c r="U663" i="8"/>
  <c r="T663" i="8"/>
  <c r="S663" i="8"/>
  <c r="R663" i="8"/>
  <c r="Q663" i="8"/>
  <c r="P663" i="8"/>
  <c r="U662" i="8"/>
  <c r="T662" i="8"/>
  <c r="S662" i="8"/>
  <c r="R662" i="8"/>
  <c r="Q662" i="8"/>
  <c r="P662" i="8"/>
  <c r="U661" i="8"/>
  <c r="T661" i="8"/>
  <c r="S661" i="8"/>
  <c r="R661" i="8"/>
  <c r="Q661" i="8"/>
  <c r="P661" i="8"/>
  <c r="U660" i="8"/>
  <c r="T660" i="8"/>
  <c r="S660" i="8"/>
  <c r="R660" i="8"/>
  <c r="Q660" i="8"/>
  <c r="P660" i="8"/>
  <c r="U659" i="8"/>
  <c r="T659" i="8"/>
  <c r="S659" i="8"/>
  <c r="R659" i="8"/>
  <c r="Q659" i="8"/>
  <c r="P659" i="8"/>
  <c r="U658" i="8"/>
  <c r="T658" i="8"/>
  <c r="S658" i="8"/>
  <c r="R658" i="8"/>
  <c r="Q658" i="8"/>
  <c r="P658" i="8"/>
  <c r="U657" i="8"/>
  <c r="T657" i="8"/>
  <c r="S657" i="8"/>
  <c r="R657" i="8"/>
  <c r="Q657" i="8"/>
  <c r="P657" i="8"/>
  <c r="U656" i="8"/>
  <c r="T656" i="8"/>
  <c r="S656" i="8"/>
  <c r="R656" i="8"/>
  <c r="Q656" i="8"/>
  <c r="P656" i="8"/>
  <c r="U655" i="8"/>
  <c r="T655" i="8"/>
  <c r="S655" i="8"/>
  <c r="R655" i="8"/>
  <c r="Q655" i="8"/>
  <c r="P655" i="8"/>
  <c r="U654" i="8"/>
  <c r="T654" i="8"/>
  <c r="S654" i="8"/>
  <c r="R654" i="8"/>
  <c r="Q654" i="8"/>
  <c r="P654" i="8"/>
  <c r="U653" i="8"/>
  <c r="T653" i="8"/>
  <c r="S653" i="8"/>
  <c r="R653" i="8"/>
  <c r="Q653" i="8"/>
  <c r="P653" i="8"/>
  <c r="U652" i="8"/>
  <c r="T652" i="8"/>
  <c r="S652" i="8"/>
  <c r="R652" i="8"/>
  <c r="Q652" i="8"/>
  <c r="P652" i="8"/>
  <c r="U651" i="8"/>
  <c r="T651" i="8"/>
  <c r="S651" i="8"/>
  <c r="R651" i="8"/>
  <c r="Q651" i="8"/>
  <c r="P651" i="8"/>
  <c r="U650" i="8"/>
  <c r="T650" i="8"/>
  <c r="S650" i="8"/>
  <c r="R650" i="8"/>
  <c r="Q650" i="8"/>
  <c r="P650" i="8"/>
  <c r="U649" i="8"/>
  <c r="T649" i="8"/>
  <c r="S649" i="8"/>
  <c r="R649" i="8"/>
  <c r="Q649" i="8"/>
  <c r="P649" i="8"/>
  <c r="U648" i="8"/>
  <c r="T648" i="8"/>
  <c r="S648" i="8"/>
  <c r="R648" i="8"/>
  <c r="Q648" i="8"/>
  <c r="P648" i="8"/>
  <c r="U647" i="8"/>
  <c r="T647" i="8"/>
  <c r="S647" i="8"/>
  <c r="R647" i="8"/>
  <c r="Q647" i="8"/>
  <c r="P647" i="8"/>
  <c r="U646" i="8"/>
  <c r="T646" i="8"/>
  <c r="S646" i="8"/>
  <c r="R646" i="8"/>
  <c r="Q646" i="8"/>
  <c r="P646" i="8"/>
  <c r="U645" i="8"/>
  <c r="T645" i="8"/>
  <c r="S645" i="8"/>
  <c r="R645" i="8"/>
  <c r="Q645" i="8"/>
  <c r="P645" i="8"/>
  <c r="U644" i="8"/>
  <c r="T644" i="8"/>
  <c r="S644" i="8"/>
  <c r="R644" i="8"/>
  <c r="Q644" i="8"/>
  <c r="P644" i="8"/>
  <c r="U643" i="8"/>
  <c r="T643" i="8"/>
  <c r="S643" i="8"/>
  <c r="R643" i="8"/>
  <c r="Q643" i="8"/>
  <c r="P643" i="8"/>
  <c r="U642" i="8"/>
  <c r="T642" i="8"/>
  <c r="S642" i="8"/>
  <c r="R642" i="8"/>
  <c r="Q642" i="8"/>
  <c r="P642" i="8"/>
  <c r="U641" i="8"/>
  <c r="T641" i="8"/>
  <c r="S641" i="8"/>
  <c r="R641" i="8"/>
  <c r="Q641" i="8"/>
  <c r="P641" i="8"/>
  <c r="U640" i="8"/>
  <c r="T640" i="8"/>
  <c r="S640" i="8"/>
  <c r="R640" i="8"/>
  <c r="Q640" i="8"/>
  <c r="P640" i="8"/>
  <c r="U639" i="8"/>
  <c r="T639" i="8"/>
  <c r="S639" i="8"/>
  <c r="R639" i="8"/>
  <c r="Q639" i="8"/>
  <c r="P639" i="8"/>
  <c r="U638" i="8"/>
  <c r="T638" i="8"/>
  <c r="S638" i="8"/>
  <c r="R638" i="8"/>
  <c r="Q638" i="8"/>
  <c r="P638" i="8"/>
  <c r="U637" i="8"/>
  <c r="T637" i="8"/>
  <c r="S637" i="8"/>
  <c r="R637" i="8"/>
  <c r="Q637" i="8"/>
  <c r="P637" i="8"/>
  <c r="U636" i="8"/>
  <c r="T636" i="8"/>
  <c r="S636" i="8"/>
  <c r="R636" i="8"/>
  <c r="Q636" i="8"/>
  <c r="P636" i="8"/>
  <c r="U635" i="8"/>
  <c r="T635" i="8"/>
  <c r="S635" i="8"/>
  <c r="R635" i="8"/>
  <c r="Q635" i="8"/>
  <c r="P635" i="8"/>
  <c r="U634" i="8"/>
  <c r="T634" i="8"/>
  <c r="S634" i="8"/>
  <c r="R634" i="8"/>
  <c r="Q634" i="8"/>
  <c r="P634" i="8"/>
  <c r="U633" i="8"/>
  <c r="T633" i="8"/>
  <c r="S633" i="8"/>
  <c r="R633" i="8"/>
  <c r="Q633" i="8"/>
  <c r="P633" i="8"/>
  <c r="U632" i="8"/>
  <c r="T632" i="8"/>
  <c r="S632" i="8"/>
  <c r="R632" i="8"/>
  <c r="Q632" i="8"/>
  <c r="P632" i="8"/>
  <c r="U631" i="8"/>
  <c r="T631" i="8"/>
  <c r="S631" i="8"/>
  <c r="R631" i="8"/>
  <c r="Q631" i="8"/>
  <c r="P631" i="8"/>
  <c r="U630" i="8"/>
  <c r="T630" i="8"/>
  <c r="S630" i="8"/>
  <c r="R630" i="8"/>
  <c r="Q630" i="8"/>
  <c r="P630" i="8"/>
  <c r="U629" i="8"/>
  <c r="T629" i="8"/>
  <c r="S629" i="8"/>
  <c r="R629" i="8"/>
  <c r="Q629" i="8"/>
  <c r="P629" i="8"/>
  <c r="U628" i="8"/>
  <c r="T628" i="8"/>
  <c r="S628" i="8"/>
  <c r="R628" i="8"/>
  <c r="Q628" i="8"/>
  <c r="P628" i="8"/>
  <c r="U627" i="8"/>
  <c r="T627" i="8"/>
  <c r="S627" i="8"/>
  <c r="R627" i="8"/>
  <c r="Q627" i="8"/>
  <c r="P627" i="8"/>
  <c r="U626" i="8"/>
  <c r="T626" i="8"/>
  <c r="S626" i="8"/>
  <c r="R626" i="8"/>
  <c r="Q626" i="8"/>
  <c r="P626" i="8"/>
  <c r="U625" i="8"/>
  <c r="T625" i="8"/>
  <c r="S625" i="8"/>
  <c r="R625" i="8"/>
  <c r="Q625" i="8"/>
  <c r="P625" i="8"/>
  <c r="U624" i="8"/>
  <c r="T624" i="8"/>
  <c r="S624" i="8"/>
  <c r="R624" i="8"/>
  <c r="Q624" i="8"/>
  <c r="P624" i="8"/>
  <c r="U623" i="8"/>
  <c r="T623" i="8"/>
  <c r="S623" i="8"/>
  <c r="R623" i="8"/>
  <c r="Q623" i="8"/>
  <c r="P623" i="8"/>
  <c r="U622" i="8"/>
  <c r="T622" i="8"/>
  <c r="S622" i="8"/>
  <c r="R622" i="8"/>
  <c r="Q622" i="8"/>
  <c r="P622" i="8"/>
  <c r="U621" i="8"/>
  <c r="T621" i="8"/>
  <c r="S621" i="8"/>
  <c r="R621" i="8"/>
  <c r="Q621" i="8"/>
  <c r="P621" i="8"/>
  <c r="U620" i="8"/>
  <c r="T620" i="8"/>
  <c r="S620" i="8"/>
  <c r="R620" i="8"/>
  <c r="Q620" i="8"/>
  <c r="P620" i="8"/>
  <c r="U619" i="8"/>
  <c r="T619" i="8"/>
  <c r="S619" i="8"/>
  <c r="R619" i="8"/>
  <c r="Q619" i="8"/>
  <c r="P619" i="8"/>
  <c r="U618" i="8"/>
  <c r="T618" i="8"/>
  <c r="S618" i="8"/>
  <c r="R618" i="8"/>
  <c r="Q618" i="8"/>
  <c r="P618" i="8"/>
  <c r="U617" i="8"/>
  <c r="T617" i="8"/>
  <c r="S617" i="8"/>
  <c r="R617" i="8"/>
  <c r="Q617" i="8"/>
  <c r="P617" i="8"/>
  <c r="U616" i="8"/>
  <c r="T616" i="8"/>
  <c r="S616" i="8"/>
  <c r="R616" i="8"/>
  <c r="Q616" i="8"/>
  <c r="P616" i="8"/>
  <c r="U615" i="8"/>
  <c r="T615" i="8"/>
  <c r="S615" i="8"/>
  <c r="R615" i="8"/>
  <c r="Q615" i="8"/>
  <c r="P615" i="8"/>
  <c r="U614" i="8"/>
  <c r="T614" i="8"/>
  <c r="S614" i="8"/>
  <c r="R614" i="8"/>
  <c r="Q614" i="8"/>
  <c r="P614" i="8"/>
  <c r="U613" i="8"/>
  <c r="T613" i="8"/>
  <c r="S613" i="8"/>
  <c r="R613" i="8"/>
  <c r="Q613" i="8"/>
  <c r="P613" i="8"/>
  <c r="U612" i="8"/>
  <c r="T612" i="8"/>
  <c r="S612" i="8"/>
  <c r="R612" i="8"/>
  <c r="Q612" i="8"/>
  <c r="P612" i="8"/>
  <c r="U611" i="8"/>
  <c r="T611" i="8"/>
  <c r="S611" i="8"/>
  <c r="R611" i="8"/>
  <c r="Q611" i="8"/>
  <c r="P611" i="8"/>
  <c r="U610" i="8"/>
  <c r="T610" i="8"/>
  <c r="S610" i="8"/>
  <c r="R610" i="8"/>
  <c r="Q610" i="8"/>
  <c r="P610" i="8"/>
  <c r="U609" i="8"/>
  <c r="T609" i="8"/>
  <c r="S609" i="8"/>
  <c r="R609" i="8"/>
  <c r="Q609" i="8"/>
  <c r="P609" i="8"/>
  <c r="U608" i="8"/>
  <c r="T608" i="8"/>
  <c r="S608" i="8"/>
  <c r="R608" i="8"/>
  <c r="Q608" i="8"/>
  <c r="P608" i="8"/>
  <c r="U607" i="8"/>
  <c r="T607" i="8"/>
  <c r="S607" i="8"/>
  <c r="R607" i="8"/>
  <c r="Q607" i="8"/>
  <c r="P607" i="8"/>
  <c r="U606" i="8"/>
  <c r="T606" i="8"/>
  <c r="S606" i="8"/>
  <c r="R606" i="8"/>
  <c r="Q606" i="8"/>
  <c r="P606" i="8"/>
  <c r="U605" i="8"/>
  <c r="T605" i="8"/>
  <c r="S605" i="8"/>
  <c r="R605" i="8"/>
  <c r="Q605" i="8"/>
  <c r="P605" i="8"/>
  <c r="U604" i="8"/>
  <c r="T604" i="8"/>
  <c r="S604" i="8"/>
  <c r="R604" i="8"/>
  <c r="Q604" i="8"/>
  <c r="P604" i="8"/>
  <c r="U603" i="8"/>
  <c r="T603" i="8"/>
  <c r="S603" i="8"/>
  <c r="R603" i="8"/>
  <c r="Q603" i="8"/>
  <c r="P603" i="8"/>
  <c r="U602" i="8"/>
  <c r="T602" i="8"/>
  <c r="S602" i="8"/>
  <c r="R602" i="8"/>
  <c r="Q602" i="8"/>
  <c r="P602" i="8"/>
  <c r="U601" i="8"/>
  <c r="T601" i="8"/>
  <c r="S601" i="8"/>
  <c r="R601" i="8"/>
  <c r="Q601" i="8"/>
  <c r="P601" i="8"/>
  <c r="U600" i="8"/>
  <c r="T600" i="8"/>
  <c r="S600" i="8"/>
  <c r="R600" i="8"/>
  <c r="Q600" i="8"/>
  <c r="P600" i="8"/>
  <c r="U599" i="8"/>
  <c r="T599" i="8"/>
  <c r="S599" i="8"/>
  <c r="R599" i="8"/>
  <c r="Q599" i="8"/>
  <c r="P599" i="8"/>
  <c r="U598" i="8"/>
  <c r="T598" i="8"/>
  <c r="S598" i="8"/>
  <c r="R598" i="8"/>
  <c r="Q598" i="8"/>
  <c r="P598" i="8"/>
  <c r="U597" i="8"/>
  <c r="T597" i="8"/>
  <c r="S597" i="8"/>
  <c r="R597" i="8"/>
  <c r="Q597" i="8"/>
  <c r="P597" i="8"/>
  <c r="U596" i="8"/>
  <c r="T596" i="8"/>
  <c r="S596" i="8"/>
  <c r="R596" i="8"/>
  <c r="Q596" i="8"/>
  <c r="P596" i="8"/>
  <c r="U595" i="8"/>
  <c r="T595" i="8"/>
  <c r="S595" i="8"/>
  <c r="R595" i="8"/>
  <c r="Q595" i="8"/>
  <c r="P595" i="8"/>
  <c r="U594" i="8"/>
  <c r="T594" i="8"/>
  <c r="S594" i="8"/>
  <c r="R594" i="8"/>
  <c r="Q594" i="8"/>
  <c r="P594" i="8"/>
  <c r="U593" i="8"/>
  <c r="T593" i="8"/>
  <c r="S593" i="8"/>
  <c r="R593" i="8"/>
  <c r="Q593" i="8"/>
  <c r="P593" i="8"/>
  <c r="U592" i="8"/>
  <c r="T592" i="8"/>
  <c r="S592" i="8"/>
  <c r="R592" i="8"/>
  <c r="Q592" i="8"/>
  <c r="P592" i="8"/>
  <c r="U591" i="8"/>
  <c r="T591" i="8"/>
  <c r="S591" i="8"/>
  <c r="R591" i="8"/>
  <c r="Q591" i="8"/>
  <c r="P591" i="8"/>
  <c r="U590" i="8"/>
  <c r="T590" i="8"/>
  <c r="S590" i="8"/>
  <c r="R590" i="8"/>
  <c r="Q590" i="8"/>
  <c r="P590" i="8"/>
  <c r="U589" i="8"/>
  <c r="T589" i="8"/>
  <c r="S589" i="8"/>
  <c r="R589" i="8"/>
  <c r="Q589" i="8"/>
  <c r="P589" i="8"/>
  <c r="U588" i="8"/>
  <c r="T588" i="8"/>
  <c r="S588" i="8"/>
  <c r="R588" i="8"/>
  <c r="Q588" i="8"/>
  <c r="P588" i="8"/>
  <c r="U587" i="8"/>
  <c r="T587" i="8"/>
  <c r="S587" i="8"/>
  <c r="R587" i="8"/>
  <c r="Q587" i="8"/>
  <c r="P587" i="8"/>
  <c r="U586" i="8"/>
  <c r="T586" i="8"/>
  <c r="S586" i="8"/>
  <c r="R586" i="8"/>
  <c r="Q586" i="8"/>
  <c r="P586" i="8"/>
  <c r="U585" i="8"/>
  <c r="T585" i="8"/>
  <c r="S585" i="8"/>
  <c r="R585" i="8"/>
  <c r="Q585" i="8"/>
  <c r="P585" i="8"/>
  <c r="U584" i="8"/>
  <c r="T584" i="8"/>
  <c r="S584" i="8"/>
  <c r="R584" i="8"/>
  <c r="Q584" i="8"/>
  <c r="P584" i="8"/>
  <c r="U583" i="8"/>
  <c r="T583" i="8"/>
  <c r="S583" i="8"/>
  <c r="R583" i="8"/>
  <c r="Q583" i="8"/>
  <c r="P583" i="8"/>
  <c r="U582" i="8"/>
  <c r="T582" i="8"/>
  <c r="S582" i="8"/>
  <c r="R582" i="8"/>
  <c r="Q582" i="8"/>
  <c r="P582" i="8"/>
  <c r="U581" i="8"/>
  <c r="T581" i="8"/>
  <c r="S581" i="8"/>
  <c r="R581" i="8"/>
  <c r="Q581" i="8"/>
  <c r="P581" i="8"/>
  <c r="U580" i="8"/>
  <c r="T580" i="8"/>
  <c r="S580" i="8"/>
  <c r="R580" i="8"/>
  <c r="Q580" i="8"/>
  <c r="P580" i="8"/>
  <c r="U579" i="8"/>
  <c r="T579" i="8"/>
  <c r="S579" i="8"/>
  <c r="R579" i="8"/>
  <c r="Q579" i="8"/>
  <c r="P579" i="8"/>
  <c r="U578" i="8"/>
  <c r="T578" i="8"/>
  <c r="S578" i="8"/>
  <c r="R578" i="8"/>
  <c r="Q578" i="8"/>
  <c r="P578" i="8"/>
  <c r="U577" i="8"/>
  <c r="T577" i="8"/>
  <c r="S577" i="8"/>
  <c r="R577" i="8"/>
  <c r="Q577" i="8"/>
  <c r="P577" i="8"/>
  <c r="U576" i="8"/>
  <c r="T576" i="8"/>
  <c r="S576" i="8"/>
  <c r="R576" i="8"/>
  <c r="Q576" i="8"/>
  <c r="P576" i="8"/>
  <c r="U575" i="8"/>
  <c r="T575" i="8"/>
  <c r="S575" i="8"/>
  <c r="R575" i="8"/>
  <c r="Q575" i="8"/>
  <c r="P575" i="8"/>
  <c r="U574" i="8"/>
  <c r="T574" i="8"/>
  <c r="S574" i="8"/>
  <c r="R574" i="8"/>
  <c r="Q574" i="8"/>
  <c r="P574" i="8"/>
  <c r="U573" i="8"/>
  <c r="T573" i="8"/>
  <c r="S573" i="8"/>
  <c r="R573" i="8"/>
  <c r="Q573" i="8"/>
  <c r="P573" i="8"/>
  <c r="U572" i="8"/>
  <c r="T572" i="8"/>
  <c r="S572" i="8"/>
  <c r="R572" i="8"/>
  <c r="Q572" i="8"/>
  <c r="P572" i="8"/>
  <c r="U571" i="8"/>
  <c r="T571" i="8"/>
  <c r="S571" i="8"/>
  <c r="R571" i="8"/>
  <c r="Q571" i="8"/>
  <c r="P571" i="8"/>
  <c r="U570" i="8"/>
  <c r="T570" i="8"/>
  <c r="S570" i="8"/>
  <c r="R570" i="8"/>
  <c r="Q570" i="8"/>
  <c r="P570" i="8"/>
  <c r="U569" i="8"/>
  <c r="T569" i="8"/>
  <c r="S569" i="8"/>
  <c r="R569" i="8"/>
  <c r="Q569" i="8"/>
  <c r="P569" i="8"/>
  <c r="U568" i="8"/>
  <c r="T568" i="8"/>
  <c r="S568" i="8"/>
  <c r="R568" i="8"/>
  <c r="Q568" i="8"/>
  <c r="P568" i="8"/>
  <c r="U567" i="8"/>
  <c r="T567" i="8"/>
  <c r="S567" i="8"/>
  <c r="R567" i="8"/>
  <c r="Q567" i="8"/>
  <c r="P567" i="8"/>
  <c r="U566" i="8"/>
  <c r="T566" i="8"/>
  <c r="S566" i="8"/>
  <c r="R566" i="8"/>
  <c r="Q566" i="8"/>
  <c r="P566" i="8"/>
  <c r="U565" i="8"/>
  <c r="T565" i="8"/>
  <c r="S565" i="8"/>
  <c r="R565" i="8"/>
  <c r="Q565" i="8"/>
  <c r="P565" i="8"/>
  <c r="U564" i="8"/>
  <c r="T564" i="8"/>
  <c r="S564" i="8"/>
  <c r="R564" i="8"/>
  <c r="Q564" i="8"/>
  <c r="P564" i="8"/>
  <c r="U563" i="8"/>
  <c r="T563" i="8"/>
  <c r="S563" i="8"/>
  <c r="R563" i="8"/>
  <c r="Q563" i="8"/>
  <c r="P563" i="8"/>
  <c r="U562" i="8"/>
  <c r="T562" i="8"/>
  <c r="S562" i="8"/>
  <c r="R562" i="8"/>
  <c r="Q562" i="8"/>
  <c r="P562" i="8"/>
  <c r="U561" i="8"/>
  <c r="T561" i="8"/>
  <c r="S561" i="8"/>
  <c r="R561" i="8"/>
  <c r="Q561" i="8"/>
  <c r="P561" i="8"/>
  <c r="U560" i="8"/>
  <c r="T560" i="8"/>
  <c r="S560" i="8"/>
  <c r="R560" i="8"/>
  <c r="Q560" i="8"/>
  <c r="P560" i="8"/>
  <c r="U559" i="8"/>
  <c r="T559" i="8"/>
  <c r="S559" i="8"/>
  <c r="R559" i="8"/>
  <c r="Q559" i="8"/>
  <c r="P559" i="8"/>
  <c r="U558" i="8"/>
  <c r="T558" i="8"/>
  <c r="S558" i="8"/>
  <c r="R558" i="8"/>
  <c r="Q558" i="8"/>
  <c r="P558" i="8"/>
  <c r="U557" i="8"/>
  <c r="T557" i="8"/>
  <c r="S557" i="8"/>
  <c r="R557" i="8"/>
  <c r="Q557" i="8"/>
  <c r="P557" i="8"/>
  <c r="U556" i="8"/>
  <c r="T556" i="8"/>
  <c r="S556" i="8"/>
  <c r="R556" i="8"/>
  <c r="Q556" i="8"/>
  <c r="P556" i="8"/>
  <c r="U555" i="8"/>
  <c r="T555" i="8"/>
  <c r="S555" i="8"/>
  <c r="R555" i="8"/>
  <c r="Q555" i="8"/>
  <c r="P555" i="8"/>
  <c r="U554" i="8"/>
  <c r="T554" i="8"/>
  <c r="S554" i="8"/>
  <c r="R554" i="8"/>
  <c r="Q554" i="8"/>
  <c r="P554" i="8"/>
  <c r="U553" i="8"/>
  <c r="T553" i="8"/>
  <c r="S553" i="8"/>
  <c r="R553" i="8"/>
  <c r="Q553" i="8"/>
  <c r="P553" i="8"/>
  <c r="U552" i="8"/>
  <c r="T552" i="8"/>
  <c r="S552" i="8"/>
  <c r="R552" i="8"/>
  <c r="Q552" i="8"/>
  <c r="P552" i="8"/>
  <c r="U551" i="8"/>
  <c r="T551" i="8"/>
  <c r="S551" i="8"/>
  <c r="R551" i="8"/>
  <c r="Q551" i="8"/>
  <c r="P551" i="8"/>
  <c r="U550" i="8"/>
  <c r="T550" i="8"/>
  <c r="S550" i="8"/>
  <c r="R550" i="8"/>
  <c r="Q550" i="8"/>
  <c r="P550" i="8"/>
  <c r="U549" i="8"/>
  <c r="T549" i="8"/>
  <c r="S549" i="8"/>
  <c r="R549" i="8"/>
  <c r="Q549" i="8"/>
  <c r="P549" i="8"/>
  <c r="U548" i="8"/>
  <c r="T548" i="8"/>
  <c r="S548" i="8"/>
  <c r="R548" i="8"/>
  <c r="Q548" i="8"/>
  <c r="P548" i="8"/>
  <c r="U547" i="8"/>
  <c r="T547" i="8"/>
  <c r="S547" i="8"/>
  <c r="R547" i="8"/>
  <c r="Q547" i="8"/>
  <c r="P547" i="8"/>
  <c r="U546" i="8"/>
  <c r="T546" i="8"/>
  <c r="S546" i="8"/>
  <c r="R546" i="8"/>
  <c r="Q546" i="8"/>
  <c r="P546" i="8"/>
  <c r="U545" i="8"/>
  <c r="T545" i="8"/>
  <c r="S545" i="8"/>
  <c r="R545" i="8"/>
  <c r="Q545" i="8"/>
  <c r="P545" i="8"/>
  <c r="U544" i="8"/>
  <c r="T544" i="8"/>
  <c r="S544" i="8"/>
  <c r="R544" i="8"/>
  <c r="Q544" i="8"/>
  <c r="P544" i="8"/>
  <c r="U543" i="8"/>
  <c r="T543" i="8"/>
  <c r="S543" i="8"/>
  <c r="R543" i="8"/>
  <c r="Q543" i="8"/>
  <c r="P543" i="8"/>
  <c r="U542" i="8"/>
  <c r="T542" i="8"/>
  <c r="S542" i="8"/>
  <c r="R542" i="8"/>
  <c r="Q542" i="8"/>
  <c r="P542" i="8"/>
  <c r="U541" i="8"/>
  <c r="T541" i="8"/>
  <c r="S541" i="8"/>
  <c r="R541" i="8"/>
  <c r="Q541" i="8"/>
  <c r="P541" i="8"/>
  <c r="U540" i="8"/>
  <c r="T540" i="8"/>
  <c r="S540" i="8"/>
  <c r="R540" i="8"/>
  <c r="Q540" i="8"/>
  <c r="P540" i="8"/>
  <c r="U539" i="8"/>
  <c r="T539" i="8"/>
  <c r="S539" i="8"/>
  <c r="R539" i="8"/>
  <c r="Q539" i="8"/>
  <c r="P539" i="8"/>
  <c r="U538" i="8"/>
  <c r="T538" i="8"/>
  <c r="S538" i="8"/>
  <c r="R538" i="8"/>
  <c r="Q538" i="8"/>
  <c r="P538" i="8"/>
  <c r="U537" i="8"/>
  <c r="T537" i="8"/>
  <c r="S537" i="8"/>
  <c r="R537" i="8"/>
  <c r="Q537" i="8"/>
  <c r="P537" i="8"/>
  <c r="U536" i="8"/>
  <c r="T536" i="8"/>
  <c r="S536" i="8"/>
  <c r="R536" i="8"/>
  <c r="Q536" i="8"/>
  <c r="P536" i="8"/>
  <c r="U535" i="8"/>
  <c r="T535" i="8"/>
  <c r="S535" i="8"/>
  <c r="R535" i="8"/>
  <c r="Q535" i="8"/>
  <c r="P535" i="8"/>
  <c r="U534" i="8"/>
  <c r="T534" i="8"/>
  <c r="S534" i="8"/>
  <c r="R534" i="8"/>
  <c r="Q534" i="8"/>
  <c r="P534" i="8"/>
  <c r="U533" i="8"/>
  <c r="T533" i="8"/>
  <c r="S533" i="8"/>
  <c r="R533" i="8"/>
  <c r="Q533" i="8"/>
  <c r="P533" i="8"/>
  <c r="U532" i="8"/>
  <c r="T532" i="8"/>
  <c r="S532" i="8"/>
  <c r="R532" i="8"/>
  <c r="Q532" i="8"/>
  <c r="P532" i="8"/>
  <c r="U531" i="8"/>
  <c r="T531" i="8"/>
  <c r="S531" i="8"/>
  <c r="R531" i="8"/>
  <c r="Q531" i="8"/>
  <c r="P531" i="8"/>
  <c r="U530" i="8"/>
  <c r="T530" i="8"/>
  <c r="S530" i="8"/>
  <c r="R530" i="8"/>
  <c r="Q530" i="8"/>
  <c r="P530" i="8"/>
  <c r="U529" i="8"/>
  <c r="T529" i="8"/>
  <c r="S529" i="8"/>
  <c r="R529" i="8"/>
  <c r="Q529" i="8"/>
  <c r="P529" i="8"/>
  <c r="U528" i="8"/>
  <c r="T528" i="8"/>
  <c r="S528" i="8"/>
  <c r="R528" i="8"/>
  <c r="Q528" i="8"/>
  <c r="P528" i="8"/>
  <c r="U527" i="8"/>
  <c r="T527" i="8"/>
  <c r="S527" i="8"/>
  <c r="R527" i="8"/>
  <c r="Q527" i="8"/>
  <c r="P527" i="8"/>
  <c r="U526" i="8"/>
  <c r="T526" i="8"/>
  <c r="S526" i="8"/>
  <c r="R526" i="8"/>
  <c r="Q526" i="8"/>
  <c r="P526" i="8"/>
  <c r="U525" i="8"/>
  <c r="T525" i="8"/>
  <c r="S525" i="8"/>
  <c r="R525" i="8"/>
  <c r="Q525" i="8"/>
  <c r="P525" i="8"/>
  <c r="U524" i="8"/>
  <c r="T524" i="8"/>
  <c r="S524" i="8"/>
  <c r="R524" i="8"/>
  <c r="Q524" i="8"/>
  <c r="P524" i="8"/>
  <c r="U523" i="8"/>
  <c r="T523" i="8"/>
  <c r="S523" i="8"/>
  <c r="R523" i="8"/>
  <c r="Q523" i="8"/>
  <c r="P523" i="8"/>
  <c r="U522" i="8"/>
  <c r="T522" i="8"/>
  <c r="S522" i="8"/>
  <c r="R522" i="8"/>
  <c r="Q522" i="8"/>
  <c r="P522" i="8"/>
  <c r="U521" i="8"/>
  <c r="T521" i="8"/>
  <c r="S521" i="8"/>
  <c r="R521" i="8"/>
  <c r="Q521" i="8"/>
  <c r="P521" i="8"/>
  <c r="U520" i="8"/>
  <c r="T520" i="8"/>
  <c r="S520" i="8"/>
  <c r="R520" i="8"/>
  <c r="Q520" i="8"/>
  <c r="P520" i="8"/>
  <c r="U519" i="8"/>
  <c r="T519" i="8"/>
  <c r="S519" i="8"/>
  <c r="R519" i="8"/>
  <c r="Q519" i="8"/>
  <c r="P519" i="8"/>
  <c r="U518" i="8"/>
  <c r="T518" i="8"/>
  <c r="S518" i="8"/>
  <c r="R518" i="8"/>
  <c r="Q518" i="8"/>
  <c r="P518" i="8"/>
  <c r="U517" i="8"/>
  <c r="T517" i="8"/>
  <c r="S517" i="8"/>
  <c r="R517" i="8"/>
  <c r="Q517" i="8"/>
  <c r="P517" i="8"/>
  <c r="U516" i="8"/>
  <c r="T516" i="8"/>
  <c r="S516" i="8"/>
  <c r="R516" i="8"/>
  <c r="Q516" i="8"/>
  <c r="P516" i="8"/>
  <c r="U515" i="8"/>
  <c r="T515" i="8"/>
  <c r="S515" i="8"/>
  <c r="R515" i="8"/>
  <c r="Q515" i="8"/>
  <c r="P515" i="8"/>
  <c r="U514" i="8"/>
  <c r="T514" i="8"/>
  <c r="S514" i="8"/>
  <c r="R514" i="8"/>
  <c r="Q514" i="8"/>
  <c r="P514" i="8"/>
  <c r="U513" i="8"/>
  <c r="T513" i="8"/>
  <c r="S513" i="8"/>
  <c r="R513" i="8"/>
  <c r="Q513" i="8"/>
  <c r="P513" i="8"/>
  <c r="U512" i="8"/>
  <c r="T512" i="8"/>
  <c r="S512" i="8"/>
  <c r="R512" i="8"/>
  <c r="Q512" i="8"/>
  <c r="P512" i="8"/>
  <c r="U511" i="8"/>
  <c r="T511" i="8"/>
  <c r="S511" i="8"/>
  <c r="R511" i="8"/>
  <c r="Q511" i="8"/>
  <c r="P511" i="8"/>
  <c r="U510" i="8"/>
  <c r="T510" i="8"/>
  <c r="S510" i="8"/>
  <c r="R510" i="8"/>
  <c r="Q510" i="8"/>
  <c r="P510" i="8"/>
  <c r="U509" i="8"/>
  <c r="T509" i="8"/>
  <c r="S509" i="8"/>
  <c r="R509" i="8"/>
  <c r="Q509" i="8"/>
  <c r="P509" i="8"/>
  <c r="U508" i="8"/>
  <c r="T508" i="8"/>
  <c r="S508" i="8"/>
  <c r="R508" i="8"/>
  <c r="Q508" i="8"/>
  <c r="P508" i="8"/>
  <c r="U507" i="8"/>
  <c r="T507" i="8"/>
  <c r="S507" i="8"/>
  <c r="R507" i="8"/>
  <c r="Q507" i="8"/>
  <c r="P507" i="8"/>
  <c r="U506" i="8"/>
  <c r="T506" i="8"/>
  <c r="S506" i="8"/>
  <c r="R506" i="8"/>
  <c r="Q506" i="8"/>
  <c r="P506" i="8"/>
  <c r="U505" i="8"/>
  <c r="T505" i="8"/>
  <c r="S505" i="8"/>
  <c r="R505" i="8"/>
  <c r="Q505" i="8"/>
  <c r="P505" i="8"/>
  <c r="U504" i="8"/>
  <c r="T504" i="8"/>
  <c r="S504" i="8"/>
  <c r="R504" i="8"/>
  <c r="Q504" i="8"/>
  <c r="P504" i="8"/>
  <c r="U503" i="8"/>
  <c r="T503" i="8"/>
  <c r="S503" i="8"/>
  <c r="R503" i="8"/>
  <c r="Q503" i="8"/>
  <c r="P503" i="8"/>
  <c r="U502" i="8"/>
  <c r="T502" i="8"/>
  <c r="S502" i="8"/>
  <c r="R502" i="8"/>
  <c r="Q502" i="8"/>
  <c r="P502" i="8"/>
  <c r="U501" i="8"/>
  <c r="T501" i="8"/>
  <c r="S501" i="8"/>
  <c r="R501" i="8"/>
  <c r="Q501" i="8"/>
  <c r="P501" i="8"/>
  <c r="U500" i="8"/>
  <c r="T500" i="8"/>
  <c r="S500" i="8"/>
  <c r="R500" i="8"/>
  <c r="Q500" i="8"/>
  <c r="P500" i="8"/>
  <c r="U499" i="8"/>
  <c r="T499" i="8"/>
  <c r="S499" i="8"/>
  <c r="R499" i="8"/>
  <c r="Q499" i="8"/>
  <c r="P499" i="8"/>
  <c r="U498" i="8"/>
  <c r="T498" i="8"/>
  <c r="S498" i="8"/>
  <c r="R498" i="8"/>
  <c r="Q498" i="8"/>
  <c r="P498" i="8"/>
  <c r="U497" i="8"/>
  <c r="T497" i="8"/>
  <c r="S497" i="8"/>
  <c r="R497" i="8"/>
  <c r="Q497" i="8"/>
  <c r="P497" i="8"/>
  <c r="U496" i="8"/>
  <c r="T496" i="8"/>
  <c r="S496" i="8"/>
  <c r="R496" i="8"/>
  <c r="Q496" i="8"/>
  <c r="P496" i="8"/>
  <c r="U495" i="8"/>
  <c r="T495" i="8"/>
  <c r="S495" i="8"/>
  <c r="R495" i="8"/>
  <c r="Q495" i="8"/>
  <c r="P495" i="8"/>
  <c r="U494" i="8"/>
  <c r="T494" i="8"/>
  <c r="S494" i="8"/>
  <c r="R494" i="8"/>
  <c r="Q494" i="8"/>
  <c r="P494" i="8"/>
  <c r="U493" i="8"/>
  <c r="T493" i="8"/>
  <c r="S493" i="8"/>
  <c r="R493" i="8"/>
  <c r="Q493" i="8"/>
  <c r="P493" i="8"/>
  <c r="U492" i="8"/>
  <c r="T492" i="8"/>
  <c r="S492" i="8"/>
  <c r="R492" i="8"/>
  <c r="Q492" i="8"/>
  <c r="P492" i="8"/>
  <c r="U491" i="8"/>
  <c r="T491" i="8"/>
  <c r="S491" i="8"/>
  <c r="R491" i="8"/>
  <c r="Q491" i="8"/>
  <c r="P491" i="8"/>
  <c r="U490" i="8"/>
  <c r="T490" i="8"/>
  <c r="S490" i="8"/>
  <c r="R490" i="8"/>
  <c r="Q490" i="8"/>
  <c r="P490" i="8"/>
  <c r="U489" i="8"/>
  <c r="T489" i="8"/>
  <c r="S489" i="8"/>
  <c r="R489" i="8"/>
  <c r="Q489" i="8"/>
  <c r="P489" i="8"/>
  <c r="U488" i="8"/>
  <c r="T488" i="8"/>
  <c r="S488" i="8"/>
  <c r="R488" i="8"/>
  <c r="Q488" i="8"/>
  <c r="P488" i="8"/>
  <c r="U487" i="8"/>
  <c r="T487" i="8"/>
  <c r="S487" i="8"/>
  <c r="R487" i="8"/>
  <c r="Q487" i="8"/>
  <c r="P487" i="8"/>
  <c r="U486" i="8"/>
  <c r="T486" i="8"/>
  <c r="S486" i="8"/>
  <c r="R486" i="8"/>
  <c r="Q486" i="8"/>
  <c r="P486" i="8"/>
  <c r="U485" i="8"/>
  <c r="T485" i="8"/>
  <c r="S485" i="8"/>
  <c r="R485" i="8"/>
  <c r="Q485" i="8"/>
  <c r="P485" i="8"/>
  <c r="U484" i="8"/>
  <c r="T484" i="8"/>
  <c r="S484" i="8"/>
  <c r="R484" i="8"/>
  <c r="Q484" i="8"/>
  <c r="P484" i="8"/>
  <c r="U483" i="8"/>
  <c r="T483" i="8"/>
  <c r="S483" i="8"/>
  <c r="R483" i="8"/>
  <c r="Q483" i="8"/>
  <c r="P483" i="8"/>
  <c r="U482" i="8"/>
  <c r="T482" i="8"/>
  <c r="S482" i="8"/>
  <c r="R482" i="8"/>
  <c r="Q482" i="8"/>
  <c r="P482" i="8"/>
  <c r="U481" i="8"/>
  <c r="T481" i="8"/>
  <c r="S481" i="8"/>
  <c r="R481" i="8"/>
  <c r="Q481" i="8"/>
  <c r="P481" i="8"/>
  <c r="U480" i="8"/>
  <c r="T480" i="8"/>
  <c r="S480" i="8"/>
  <c r="R480" i="8"/>
  <c r="Q480" i="8"/>
  <c r="P480" i="8"/>
  <c r="U479" i="8"/>
  <c r="T479" i="8"/>
  <c r="S479" i="8"/>
  <c r="R479" i="8"/>
  <c r="Q479" i="8"/>
  <c r="P479" i="8"/>
  <c r="U478" i="8"/>
  <c r="T478" i="8"/>
  <c r="S478" i="8"/>
  <c r="R478" i="8"/>
  <c r="Q478" i="8"/>
  <c r="P478" i="8"/>
  <c r="U477" i="8"/>
  <c r="T477" i="8"/>
  <c r="S477" i="8"/>
  <c r="R477" i="8"/>
  <c r="Q477" i="8"/>
  <c r="P477" i="8"/>
  <c r="U476" i="8"/>
  <c r="T476" i="8"/>
  <c r="S476" i="8"/>
  <c r="R476" i="8"/>
  <c r="Q476" i="8"/>
  <c r="P476" i="8"/>
  <c r="U475" i="8"/>
  <c r="T475" i="8"/>
  <c r="S475" i="8"/>
  <c r="R475" i="8"/>
  <c r="Q475" i="8"/>
  <c r="P475" i="8"/>
  <c r="U474" i="8"/>
  <c r="T474" i="8"/>
  <c r="S474" i="8"/>
  <c r="R474" i="8"/>
  <c r="Q474" i="8"/>
  <c r="P474" i="8"/>
  <c r="U473" i="8"/>
  <c r="T473" i="8"/>
  <c r="S473" i="8"/>
  <c r="R473" i="8"/>
  <c r="Q473" i="8"/>
  <c r="P473" i="8"/>
  <c r="U472" i="8"/>
  <c r="T472" i="8"/>
  <c r="S472" i="8"/>
  <c r="R472" i="8"/>
  <c r="Q472" i="8"/>
  <c r="P472" i="8"/>
  <c r="U471" i="8"/>
  <c r="T471" i="8"/>
  <c r="S471" i="8"/>
  <c r="R471" i="8"/>
  <c r="Q471" i="8"/>
  <c r="P471" i="8"/>
  <c r="U470" i="8"/>
  <c r="T470" i="8"/>
  <c r="S470" i="8"/>
  <c r="R470" i="8"/>
  <c r="Q470" i="8"/>
  <c r="P470" i="8"/>
  <c r="U469" i="8"/>
  <c r="T469" i="8"/>
  <c r="S469" i="8"/>
  <c r="R469" i="8"/>
  <c r="Q469" i="8"/>
  <c r="P469" i="8"/>
  <c r="U468" i="8"/>
  <c r="T468" i="8"/>
  <c r="S468" i="8"/>
  <c r="R468" i="8"/>
  <c r="Q468" i="8"/>
  <c r="P468" i="8"/>
  <c r="U467" i="8"/>
  <c r="T467" i="8"/>
  <c r="S467" i="8"/>
  <c r="R467" i="8"/>
  <c r="Q467" i="8"/>
  <c r="P467" i="8"/>
  <c r="U466" i="8"/>
  <c r="T466" i="8"/>
  <c r="S466" i="8"/>
  <c r="R466" i="8"/>
  <c r="Q466" i="8"/>
  <c r="P466" i="8"/>
  <c r="U465" i="8"/>
  <c r="T465" i="8"/>
  <c r="S465" i="8"/>
  <c r="R465" i="8"/>
  <c r="Q465" i="8"/>
  <c r="P465" i="8"/>
  <c r="U464" i="8"/>
  <c r="T464" i="8"/>
  <c r="S464" i="8"/>
  <c r="R464" i="8"/>
  <c r="Q464" i="8"/>
  <c r="P464" i="8"/>
  <c r="U463" i="8"/>
  <c r="T463" i="8"/>
  <c r="S463" i="8"/>
  <c r="R463" i="8"/>
  <c r="Q463" i="8"/>
  <c r="P463" i="8"/>
  <c r="U462" i="8"/>
  <c r="T462" i="8"/>
  <c r="S462" i="8"/>
  <c r="R462" i="8"/>
  <c r="Q462" i="8"/>
  <c r="P462" i="8"/>
  <c r="U461" i="8"/>
  <c r="T461" i="8"/>
  <c r="S461" i="8"/>
  <c r="R461" i="8"/>
  <c r="Q461" i="8"/>
  <c r="P461" i="8"/>
  <c r="U460" i="8"/>
  <c r="T460" i="8"/>
  <c r="S460" i="8"/>
  <c r="R460" i="8"/>
  <c r="Q460" i="8"/>
  <c r="P460" i="8"/>
  <c r="U459" i="8"/>
  <c r="T459" i="8"/>
  <c r="S459" i="8"/>
  <c r="R459" i="8"/>
  <c r="Q459" i="8"/>
  <c r="P459" i="8"/>
  <c r="U458" i="8"/>
  <c r="T458" i="8"/>
  <c r="S458" i="8"/>
  <c r="R458" i="8"/>
  <c r="Q458" i="8"/>
  <c r="P458" i="8"/>
  <c r="U457" i="8"/>
  <c r="T457" i="8"/>
  <c r="S457" i="8"/>
  <c r="R457" i="8"/>
  <c r="Q457" i="8"/>
  <c r="P457" i="8"/>
  <c r="U456" i="8"/>
  <c r="T456" i="8"/>
  <c r="S456" i="8"/>
  <c r="R456" i="8"/>
  <c r="Q456" i="8"/>
  <c r="P456" i="8"/>
  <c r="U455" i="8"/>
  <c r="T455" i="8"/>
  <c r="S455" i="8"/>
  <c r="R455" i="8"/>
  <c r="Q455" i="8"/>
  <c r="P455" i="8"/>
  <c r="U454" i="8"/>
  <c r="T454" i="8"/>
  <c r="S454" i="8"/>
  <c r="R454" i="8"/>
  <c r="Q454" i="8"/>
  <c r="P454" i="8"/>
  <c r="U453" i="8"/>
  <c r="T453" i="8"/>
  <c r="S453" i="8"/>
  <c r="R453" i="8"/>
  <c r="Q453" i="8"/>
  <c r="P453" i="8"/>
  <c r="U452" i="8"/>
  <c r="T452" i="8"/>
  <c r="S452" i="8"/>
  <c r="R452" i="8"/>
  <c r="Q452" i="8"/>
  <c r="P452" i="8"/>
  <c r="U451" i="8"/>
  <c r="T451" i="8"/>
  <c r="S451" i="8"/>
  <c r="R451" i="8"/>
  <c r="Q451" i="8"/>
  <c r="P451" i="8"/>
  <c r="U450" i="8"/>
  <c r="T450" i="8"/>
  <c r="S450" i="8"/>
  <c r="R450" i="8"/>
  <c r="Q450" i="8"/>
  <c r="P450" i="8"/>
  <c r="U449" i="8"/>
  <c r="T449" i="8"/>
  <c r="S449" i="8"/>
  <c r="R449" i="8"/>
  <c r="Q449" i="8"/>
  <c r="P449" i="8"/>
  <c r="U448" i="8"/>
  <c r="T448" i="8"/>
  <c r="S448" i="8"/>
  <c r="R448" i="8"/>
  <c r="Q448" i="8"/>
  <c r="P448" i="8"/>
  <c r="U447" i="8"/>
  <c r="T447" i="8"/>
  <c r="S447" i="8"/>
  <c r="R447" i="8"/>
  <c r="Q447" i="8"/>
  <c r="P447" i="8"/>
  <c r="U446" i="8"/>
  <c r="T446" i="8"/>
  <c r="S446" i="8"/>
  <c r="R446" i="8"/>
  <c r="Q446" i="8"/>
  <c r="P446" i="8"/>
  <c r="U445" i="8"/>
  <c r="T445" i="8"/>
  <c r="S445" i="8"/>
  <c r="R445" i="8"/>
  <c r="Q445" i="8"/>
  <c r="P445" i="8"/>
  <c r="U444" i="8"/>
  <c r="T444" i="8"/>
  <c r="S444" i="8"/>
  <c r="R444" i="8"/>
  <c r="Q444" i="8"/>
  <c r="P444" i="8"/>
  <c r="U443" i="8"/>
  <c r="T443" i="8"/>
  <c r="S443" i="8"/>
  <c r="R443" i="8"/>
  <c r="Q443" i="8"/>
  <c r="P443" i="8"/>
  <c r="U442" i="8"/>
  <c r="T442" i="8"/>
  <c r="S442" i="8"/>
  <c r="R442" i="8"/>
  <c r="Q442" i="8"/>
  <c r="P442" i="8"/>
  <c r="U441" i="8"/>
  <c r="T441" i="8"/>
  <c r="S441" i="8"/>
  <c r="R441" i="8"/>
  <c r="Q441" i="8"/>
  <c r="P441" i="8"/>
  <c r="U440" i="8"/>
  <c r="T440" i="8"/>
  <c r="S440" i="8"/>
  <c r="R440" i="8"/>
  <c r="Q440" i="8"/>
  <c r="P440" i="8"/>
  <c r="U439" i="8"/>
  <c r="T439" i="8"/>
  <c r="S439" i="8"/>
  <c r="R439" i="8"/>
  <c r="Q439" i="8"/>
  <c r="P439" i="8"/>
  <c r="U438" i="8"/>
  <c r="T438" i="8"/>
  <c r="S438" i="8"/>
  <c r="R438" i="8"/>
  <c r="Q438" i="8"/>
  <c r="P438" i="8"/>
  <c r="U437" i="8"/>
  <c r="T437" i="8"/>
  <c r="S437" i="8"/>
  <c r="R437" i="8"/>
  <c r="Q437" i="8"/>
  <c r="P437" i="8"/>
  <c r="U436" i="8"/>
  <c r="T436" i="8"/>
  <c r="S436" i="8"/>
  <c r="R436" i="8"/>
  <c r="Q436" i="8"/>
  <c r="P436" i="8"/>
  <c r="U435" i="8"/>
  <c r="T435" i="8"/>
  <c r="S435" i="8"/>
  <c r="R435" i="8"/>
  <c r="Q435" i="8"/>
  <c r="P435" i="8"/>
  <c r="U434" i="8"/>
  <c r="T434" i="8"/>
  <c r="S434" i="8"/>
  <c r="R434" i="8"/>
  <c r="Q434" i="8"/>
  <c r="P434" i="8"/>
  <c r="U433" i="8"/>
  <c r="T433" i="8"/>
  <c r="S433" i="8"/>
  <c r="R433" i="8"/>
  <c r="Q433" i="8"/>
  <c r="P433" i="8"/>
  <c r="U432" i="8"/>
  <c r="T432" i="8"/>
  <c r="S432" i="8"/>
  <c r="R432" i="8"/>
  <c r="Q432" i="8"/>
  <c r="P432" i="8"/>
  <c r="U431" i="8"/>
  <c r="T431" i="8"/>
  <c r="S431" i="8"/>
  <c r="R431" i="8"/>
  <c r="Q431" i="8"/>
  <c r="P431" i="8"/>
  <c r="U430" i="8"/>
  <c r="T430" i="8"/>
  <c r="S430" i="8"/>
  <c r="R430" i="8"/>
  <c r="Q430" i="8"/>
  <c r="P430" i="8"/>
  <c r="U429" i="8"/>
  <c r="T429" i="8"/>
  <c r="S429" i="8"/>
  <c r="R429" i="8"/>
  <c r="Q429" i="8"/>
  <c r="P429" i="8"/>
  <c r="U428" i="8"/>
  <c r="T428" i="8"/>
  <c r="S428" i="8"/>
  <c r="R428" i="8"/>
  <c r="Q428" i="8"/>
  <c r="P428" i="8"/>
  <c r="U427" i="8"/>
  <c r="T427" i="8"/>
  <c r="S427" i="8"/>
  <c r="R427" i="8"/>
  <c r="Q427" i="8"/>
  <c r="P427" i="8"/>
  <c r="U426" i="8"/>
  <c r="T426" i="8"/>
  <c r="S426" i="8"/>
  <c r="R426" i="8"/>
  <c r="Q426" i="8"/>
  <c r="P426" i="8"/>
  <c r="U425" i="8"/>
  <c r="T425" i="8"/>
  <c r="S425" i="8"/>
  <c r="R425" i="8"/>
  <c r="Q425" i="8"/>
  <c r="P425" i="8"/>
  <c r="U424" i="8"/>
  <c r="T424" i="8"/>
  <c r="S424" i="8"/>
  <c r="R424" i="8"/>
  <c r="Q424" i="8"/>
  <c r="P424" i="8"/>
  <c r="U423" i="8"/>
  <c r="T423" i="8"/>
  <c r="S423" i="8"/>
  <c r="R423" i="8"/>
  <c r="Q423" i="8"/>
  <c r="P423" i="8"/>
  <c r="U422" i="8"/>
  <c r="T422" i="8"/>
  <c r="S422" i="8"/>
  <c r="R422" i="8"/>
  <c r="Q422" i="8"/>
  <c r="P422" i="8"/>
  <c r="U421" i="8"/>
  <c r="T421" i="8"/>
  <c r="S421" i="8"/>
  <c r="R421" i="8"/>
  <c r="Q421" i="8"/>
  <c r="P421" i="8"/>
  <c r="U420" i="8"/>
  <c r="T420" i="8"/>
  <c r="S420" i="8"/>
  <c r="R420" i="8"/>
  <c r="Q420" i="8"/>
  <c r="P420" i="8"/>
  <c r="U419" i="8"/>
  <c r="T419" i="8"/>
  <c r="S419" i="8"/>
  <c r="R419" i="8"/>
  <c r="Q419" i="8"/>
  <c r="P419" i="8"/>
  <c r="U418" i="8"/>
  <c r="T418" i="8"/>
  <c r="S418" i="8"/>
  <c r="R418" i="8"/>
  <c r="Q418" i="8"/>
  <c r="P418" i="8"/>
  <c r="U417" i="8"/>
  <c r="T417" i="8"/>
  <c r="S417" i="8"/>
  <c r="R417" i="8"/>
  <c r="Q417" i="8"/>
  <c r="P417" i="8"/>
  <c r="U416" i="8"/>
  <c r="T416" i="8"/>
  <c r="S416" i="8"/>
  <c r="R416" i="8"/>
  <c r="Q416" i="8"/>
  <c r="P416" i="8"/>
  <c r="U415" i="8"/>
  <c r="T415" i="8"/>
  <c r="S415" i="8"/>
  <c r="R415" i="8"/>
  <c r="Q415" i="8"/>
  <c r="P415" i="8"/>
  <c r="U414" i="8"/>
  <c r="T414" i="8"/>
  <c r="S414" i="8"/>
  <c r="R414" i="8"/>
  <c r="Q414" i="8"/>
  <c r="P414" i="8"/>
  <c r="U413" i="8"/>
  <c r="T413" i="8"/>
  <c r="S413" i="8"/>
  <c r="R413" i="8"/>
  <c r="Q413" i="8"/>
  <c r="P413" i="8"/>
  <c r="U412" i="8"/>
  <c r="T412" i="8"/>
  <c r="S412" i="8"/>
  <c r="R412" i="8"/>
  <c r="Q412" i="8"/>
  <c r="P412" i="8"/>
  <c r="U411" i="8"/>
  <c r="T411" i="8"/>
  <c r="S411" i="8"/>
  <c r="R411" i="8"/>
  <c r="Q411" i="8"/>
  <c r="P411" i="8"/>
  <c r="U410" i="8"/>
  <c r="T410" i="8"/>
  <c r="S410" i="8"/>
  <c r="R410" i="8"/>
  <c r="Q410" i="8"/>
  <c r="P410" i="8"/>
  <c r="U409" i="8"/>
  <c r="T409" i="8"/>
  <c r="S409" i="8"/>
  <c r="R409" i="8"/>
  <c r="Q409" i="8"/>
  <c r="P409" i="8"/>
  <c r="U408" i="8"/>
  <c r="T408" i="8"/>
  <c r="S408" i="8"/>
  <c r="R408" i="8"/>
  <c r="Q408" i="8"/>
  <c r="P408" i="8"/>
  <c r="U407" i="8"/>
  <c r="T407" i="8"/>
  <c r="S407" i="8"/>
  <c r="R407" i="8"/>
  <c r="Q407" i="8"/>
  <c r="P407" i="8"/>
  <c r="U406" i="8"/>
  <c r="T406" i="8"/>
  <c r="S406" i="8"/>
  <c r="R406" i="8"/>
  <c r="Q406" i="8"/>
  <c r="P406" i="8"/>
  <c r="U405" i="8"/>
  <c r="T405" i="8"/>
  <c r="S405" i="8"/>
  <c r="R405" i="8"/>
  <c r="Q405" i="8"/>
  <c r="P405" i="8"/>
  <c r="U404" i="8"/>
  <c r="T404" i="8"/>
  <c r="S404" i="8"/>
  <c r="R404" i="8"/>
  <c r="Q404" i="8"/>
  <c r="P404" i="8"/>
  <c r="U403" i="8"/>
  <c r="T403" i="8"/>
  <c r="S403" i="8"/>
  <c r="R403" i="8"/>
  <c r="Q403" i="8"/>
  <c r="P403" i="8"/>
  <c r="U402" i="8"/>
  <c r="T402" i="8"/>
  <c r="S402" i="8"/>
  <c r="R402" i="8"/>
  <c r="Q402" i="8"/>
  <c r="P402" i="8"/>
  <c r="U401" i="8"/>
  <c r="T401" i="8"/>
  <c r="S401" i="8"/>
  <c r="R401" i="8"/>
  <c r="Q401" i="8"/>
  <c r="P401" i="8"/>
  <c r="U400" i="8"/>
  <c r="T400" i="8"/>
  <c r="S400" i="8"/>
  <c r="R400" i="8"/>
  <c r="Q400" i="8"/>
  <c r="P400" i="8"/>
  <c r="U399" i="8"/>
  <c r="T399" i="8"/>
  <c r="S399" i="8"/>
  <c r="R399" i="8"/>
  <c r="Q399" i="8"/>
  <c r="P399" i="8"/>
  <c r="U398" i="8"/>
  <c r="T398" i="8"/>
  <c r="S398" i="8"/>
  <c r="R398" i="8"/>
  <c r="Q398" i="8"/>
  <c r="P398" i="8"/>
  <c r="U397" i="8"/>
  <c r="T397" i="8"/>
  <c r="S397" i="8"/>
  <c r="R397" i="8"/>
  <c r="Q397" i="8"/>
  <c r="P397" i="8"/>
  <c r="U396" i="8"/>
  <c r="T396" i="8"/>
  <c r="S396" i="8"/>
  <c r="R396" i="8"/>
  <c r="Q396" i="8"/>
  <c r="P396" i="8"/>
  <c r="U395" i="8"/>
  <c r="T395" i="8"/>
  <c r="S395" i="8"/>
  <c r="R395" i="8"/>
  <c r="Q395" i="8"/>
  <c r="P395" i="8"/>
  <c r="U394" i="8"/>
  <c r="T394" i="8"/>
  <c r="S394" i="8"/>
  <c r="R394" i="8"/>
  <c r="Q394" i="8"/>
  <c r="P394" i="8"/>
  <c r="U393" i="8"/>
  <c r="T393" i="8"/>
  <c r="S393" i="8"/>
  <c r="R393" i="8"/>
  <c r="Q393" i="8"/>
  <c r="P393" i="8"/>
  <c r="U392" i="8"/>
  <c r="T392" i="8"/>
  <c r="S392" i="8"/>
  <c r="R392" i="8"/>
  <c r="Q392" i="8"/>
  <c r="P392" i="8"/>
  <c r="U391" i="8"/>
  <c r="T391" i="8"/>
  <c r="S391" i="8"/>
  <c r="R391" i="8"/>
  <c r="Q391" i="8"/>
  <c r="P391" i="8"/>
  <c r="U390" i="8"/>
  <c r="T390" i="8"/>
  <c r="S390" i="8"/>
  <c r="R390" i="8"/>
  <c r="Q390" i="8"/>
  <c r="P390" i="8"/>
  <c r="U389" i="8"/>
  <c r="T389" i="8"/>
  <c r="S389" i="8"/>
  <c r="R389" i="8"/>
  <c r="Q389" i="8"/>
  <c r="P389" i="8"/>
  <c r="U388" i="8"/>
  <c r="T388" i="8"/>
  <c r="S388" i="8"/>
  <c r="R388" i="8"/>
  <c r="Q388" i="8"/>
  <c r="P388" i="8"/>
  <c r="U387" i="8"/>
  <c r="T387" i="8"/>
  <c r="S387" i="8"/>
  <c r="R387" i="8"/>
  <c r="Q387" i="8"/>
  <c r="P387" i="8"/>
  <c r="U386" i="8"/>
  <c r="T386" i="8"/>
  <c r="S386" i="8"/>
  <c r="R386" i="8"/>
  <c r="Q386" i="8"/>
  <c r="P386" i="8"/>
  <c r="U385" i="8"/>
  <c r="T385" i="8"/>
  <c r="S385" i="8"/>
  <c r="R385" i="8"/>
  <c r="Q385" i="8"/>
  <c r="P385" i="8"/>
  <c r="U384" i="8"/>
  <c r="T384" i="8"/>
  <c r="S384" i="8"/>
  <c r="R384" i="8"/>
  <c r="Q384" i="8"/>
  <c r="P384" i="8"/>
  <c r="U383" i="8"/>
  <c r="T383" i="8"/>
  <c r="S383" i="8"/>
  <c r="R383" i="8"/>
  <c r="Q383" i="8"/>
  <c r="P383" i="8"/>
  <c r="U382" i="8"/>
  <c r="T382" i="8"/>
  <c r="S382" i="8"/>
  <c r="R382" i="8"/>
  <c r="Q382" i="8"/>
  <c r="P382" i="8"/>
  <c r="U381" i="8"/>
  <c r="T381" i="8"/>
  <c r="S381" i="8"/>
  <c r="R381" i="8"/>
  <c r="Q381" i="8"/>
  <c r="P381" i="8"/>
  <c r="U380" i="8"/>
  <c r="T380" i="8"/>
  <c r="S380" i="8"/>
  <c r="R380" i="8"/>
  <c r="Q380" i="8"/>
  <c r="P380" i="8"/>
  <c r="U379" i="8"/>
  <c r="T379" i="8"/>
  <c r="S379" i="8"/>
  <c r="R379" i="8"/>
  <c r="Q379" i="8"/>
  <c r="P379" i="8"/>
  <c r="U378" i="8"/>
  <c r="T378" i="8"/>
  <c r="S378" i="8"/>
  <c r="R378" i="8"/>
  <c r="Q378" i="8"/>
  <c r="P378" i="8"/>
  <c r="U377" i="8"/>
  <c r="T377" i="8"/>
  <c r="S377" i="8"/>
  <c r="R377" i="8"/>
  <c r="Q377" i="8"/>
  <c r="P377" i="8"/>
  <c r="U376" i="8"/>
  <c r="T376" i="8"/>
  <c r="S376" i="8"/>
  <c r="R376" i="8"/>
  <c r="Q376" i="8"/>
  <c r="P376" i="8"/>
  <c r="U375" i="8"/>
  <c r="T375" i="8"/>
  <c r="S375" i="8"/>
  <c r="R375" i="8"/>
  <c r="Q375" i="8"/>
  <c r="P375" i="8"/>
  <c r="U374" i="8"/>
  <c r="T374" i="8"/>
  <c r="S374" i="8"/>
  <c r="R374" i="8"/>
  <c r="Q374" i="8"/>
  <c r="P374" i="8"/>
  <c r="U373" i="8"/>
  <c r="T373" i="8"/>
  <c r="S373" i="8"/>
  <c r="R373" i="8"/>
  <c r="Q373" i="8"/>
  <c r="P373" i="8"/>
  <c r="U372" i="8"/>
  <c r="T372" i="8"/>
  <c r="S372" i="8"/>
  <c r="R372" i="8"/>
  <c r="Q372" i="8"/>
  <c r="P372" i="8"/>
  <c r="U371" i="8"/>
  <c r="T371" i="8"/>
  <c r="S371" i="8"/>
  <c r="R371" i="8"/>
  <c r="Q371" i="8"/>
  <c r="P371" i="8"/>
  <c r="U370" i="8"/>
  <c r="T370" i="8"/>
  <c r="S370" i="8"/>
  <c r="R370" i="8"/>
  <c r="Q370" i="8"/>
  <c r="P370" i="8"/>
  <c r="U369" i="8"/>
  <c r="T369" i="8"/>
  <c r="S369" i="8"/>
  <c r="R369" i="8"/>
  <c r="Q369" i="8"/>
  <c r="P369" i="8"/>
  <c r="U368" i="8"/>
  <c r="T368" i="8"/>
  <c r="S368" i="8"/>
  <c r="R368" i="8"/>
  <c r="Q368" i="8"/>
  <c r="P368" i="8"/>
  <c r="U367" i="8"/>
  <c r="T367" i="8"/>
  <c r="S367" i="8"/>
  <c r="R367" i="8"/>
  <c r="Q367" i="8"/>
  <c r="P367" i="8"/>
  <c r="U366" i="8"/>
  <c r="T366" i="8"/>
  <c r="S366" i="8"/>
  <c r="R366" i="8"/>
  <c r="Q366" i="8"/>
  <c r="P366" i="8"/>
  <c r="U365" i="8"/>
  <c r="T365" i="8"/>
  <c r="S365" i="8"/>
  <c r="R365" i="8"/>
  <c r="Q365" i="8"/>
  <c r="P365" i="8"/>
  <c r="U364" i="8"/>
  <c r="T364" i="8"/>
  <c r="S364" i="8"/>
  <c r="R364" i="8"/>
  <c r="Q364" i="8"/>
  <c r="P364" i="8"/>
  <c r="U363" i="8"/>
  <c r="T363" i="8"/>
  <c r="S363" i="8"/>
  <c r="R363" i="8"/>
  <c r="Q363" i="8"/>
  <c r="P363" i="8"/>
  <c r="U362" i="8"/>
  <c r="T362" i="8"/>
  <c r="S362" i="8"/>
  <c r="R362" i="8"/>
  <c r="Q362" i="8"/>
  <c r="P362" i="8"/>
  <c r="U361" i="8"/>
  <c r="T361" i="8"/>
  <c r="S361" i="8"/>
  <c r="R361" i="8"/>
  <c r="Q361" i="8"/>
  <c r="P361" i="8"/>
  <c r="U360" i="8"/>
  <c r="T360" i="8"/>
  <c r="S360" i="8"/>
  <c r="R360" i="8"/>
  <c r="Q360" i="8"/>
  <c r="P360" i="8"/>
  <c r="U359" i="8"/>
  <c r="T359" i="8"/>
  <c r="S359" i="8"/>
  <c r="R359" i="8"/>
  <c r="Q359" i="8"/>
  <c r="P359" i="8"/>
  <c r="U358" i="8"/>
  <c r="T358" i="8"/>
  <c r="S358" i="8"/>
  <c r="R358" i="8"/>
  <c r="Q358" i="8"/>
  <c r="P358" i="8"/>
  <c r="U357" i="8"/>
  <c r="T357" i="8"/>
  <c r="S357" i="8"/>
  <c r="R357" i="8"/>
  <c r="Q357" i="8"/>
  <c r="P357" i="8"/>
  <c r="U356" i="8"/>
  <c r="T356" i="8"/>
  <c r="S356" i="8"/>
  <c r="R356" i="8"/>
  <c r="Q356" i="8"/>
  <c r="P356" i="8"/>
  <c r="U355" i="8"/>
  <c r="T355" i="8"/>
  <c r="S355" i="8"/>
  <c r="R355" i="8"/>
  <c r="Q355" i="8"/>
  <c r="P355" i="8"/>
  <c r="U354" i="8"/>
  <c r="T354" i="8"/>
  <c r="S354" i="8"/>
  <c r="R354" i="8"/>
  <c r="Q354" i="8"/>
  <c r="P354" i="8"/>
  <c r="U353" i="8"/>
  <c r="T353" i="8"/>
  <c r="S353" i="8"/>
  <c r="R353" i="8"/>
  <c r="Q353" i="8"/>
  <c r="P353" i="8"/>
  <c r="U352" i="8"/>
  <c r="T352" i="8"/>
  <c r="S352" i="8"/>
  <c r="R352" i="8"/>
  <c r="Q352" i="8"/>
  <c r="P352" i="8"/>
  <c r="U351" i="8"/>
  <c r="T351" i="8"/>
  <c r="S351" i="8"/>
  <c r="R351" i="8"/>
  <c r="Q351" i="8"/>
  <c r="P351" i="8"/>
  <c r="U350" i="8"/>
  <c r="T350" i="8"/>
  <c r="S350" i="8"/>
  <c r="R350" i="8"/>
  <c r="Q350" i="8"/>
  <c r="P350" i="8"/>
  <c r="U349" i="8"/>
  <c r="T349" i="8"/>
  <c r="S349" i="8"/>
  <c r="R349" i="8"/>
  <c r="Q349" i="8"/>
  <c r="P349" i="8"/>
  <c r="U348" i="8"/>
  <c r="T348" i="8"/>
  <c r="S348" i="8"/>
  <c r="R348" i="8"/>
  <c r="Q348" i="8"/>
  <c r="P348" i="8"/>
  <c r="U347" i="8"/>
  <c r="T347" i="8"/>
  <c r="S347" i="8"/>
  <c r="R347" i="8"/>
  <c r="Q347" i="8"/>
  <c r="P347" i="8"/>
  <c r="U346" i="8"/>
  <c r="T346" i="8"/>
  <c r="S346" i="8"/>
  <c r="R346" i="8"/>
  <c r="Q346" i="8"/>
  <c r="P346" i="8"/>
  <c r="U345" i="8"/>
  <c r="T345" i="8"/>
  <c r="S345" i="8"/>
  <c r="R345" i="8"/>
  <c r="Q345" i="8"/>
  <c r="P345" i="8"/>
  <c r="U344" i="8"/>
  <c r="T344" i="8"/>
  <c r="S344" i="8"/>
  <c r="R344" i="8"/>
  <c r="Q344" i="8"/>
  <c r="P344" i="8"/>
  <c r="U343" i="8"/>
  <c r="T343" i="8"/>
  <c r="S343" i="8"/>
  <c r="R343" i="8"/>
  <c r="Q343" i="8"/>
  <c r="P343" i="8"/>
  <c r="U342" i="8"/>
  <c r="T342" i="8"/>
  <c r="S342" i="8"/>
  <c r="R342" i="8"/>
  <c r="Q342" i="8"/>
  <c r="P342" i="8"/>
  <c r="U341" i="8"/>
  <c r="T341" i="8"/>
  <c r="S341" i="8"/>
  <c r="R341" i="8"/>
  <c r="Q341" i="8"/>
  <c r="P341" i="8"/>
  <c r="U340" i="8"/>
  <c r="T340" i="8"/>
  <c r="S340" i="8"/>
  <c r="R340" i="8"/>
  <c r="Q340" i="8"/>
  <c r="P340" i="8"/>
  <c r="U339" i="8"/>
  <c r="T339" i="8"/>
  <c r="S339" i="8"/>
  <c r="R339" i="8"/>
  <c r="Q339" i="8"/>
  <c r="P339" i="8"/>
  <c r="U338" i="8"/>
  <c r="T338" i="8"/>
  <c r="S338" i="8"/>
  <c r="R338" i="8"/>
  <c r="Q338" i="8"/>
  <c r="P338" i="8"/>
  <c r="U337" i="8"/>
  <c r="T337" i="8"/>
  <c r="S337" i="8"/>
  <c r="R337" i="8"/>
  <c r="Q337" i="8"/>
  <c r="P337" i="8"/>
  <c r="U336" i="8"/>
  <c r="T336" i="8"/>
  <c r="S336" i="8"/>
  <c r="R336" i="8"/>
  <c r="Q336" i="8"/>
  <c r="P336" i="8"/>
  <c r="U335" i="8"/>
  <c r="T335" i="8"/>
  <c r="S335" i="8"/>
  <c r="R335" i="8"/>
  <c r="Q335" i="8"/>
  <c r="P335" i="8"/>
  <c r="U334" i="8"/>
  <c r="T334" i="8"/>
  <c r="S334" i="8"/>
  <c r="R334" i="8"/>
  <c r="Q334" i="8"/>
  <c r="P334" i="8"/>
  <c r="U333" i="8"/>
  <c r="T333" i="8"/>
  <c r="S333" i="8"/>
  <c r="R333" i="8"/>
  <c r="Q333" i="8"/>
  <c r="P333" i="8"/>
  <c r="U332" i="8"/>
  <c r="T332" i="8"/>
  <c r="S332" i="8"/>
  <c r="R332" i="8"/>
  <c r="Q332" i="8"/>
  <c r="P332" i="8"/>
  <c r="U331" i="8"/>
  <c r="T331" i="8"/>
  <c r="S331" i="8"/>
  <c r="R331" i="8"/>
  <c r="Q331" i="8"/>
  <c r="P331" i="8"/>
  <c r="U330" i="8"/>
  <c r="T330" i="8"/>
  <c r="S330" i="8"/>
  <c r="R330" i="8"/>
  <c r="Q330" i="8"/>
  <c r="P330" i="8"/>
  <c r="U329" i="8"/>
  <c r="T329" i="8"/>
  <c r="S329" i="8"/>
  <c r="R329" i="8"/>
  <c r="Q329" i="8"/>
  <c r="P329" i="8"/>
  <c r="U328" i="8"/>
  <c r="T328" i="8"/>
  <c r="S328" i="8"/>
  <c r="R328" i="8"/>
  <c r="Q328" i="8"/>
  <c r="P328" i="8"/>
  <c r="U327" i="8"/>
  <c r="T327" i="8"/>
  <c r="S327" i="8"/>
  <c r="R327" i="8"/>
  <c r="Q327" i="8"/>
  <c r="P327" i="8"/>
  <c r="U326" i="8"/>
  <c r="T326" i="8"/>
  <c r="S326" i="8"/>
  <c r="R326" i="8"/>
  <c r="Q326" i="8"/>
  <c r="P326" i="8"/>
  <c r="U325" i="8"/>
  <c r="T325" i="8"/>
  <c r="S325" i="8"/>
  <c r="R325" i="8"/>
  <c r="Q325" i="8"/>
  <c r="P325" i="8"/>
  <c r="U324" i="8"/>
  <c r="T324" i="8"/>
  <c r="S324" i="8"/>
  <c r="R324" i="8"/>
  <c r="Q324" i="8"/>
  <c r="P324" i="8"/>
  <c r="U323" i="8"/>
  <c r="T323" i="8"/>
  <c r="S323" i="8"/>
  <c r="R323" i="8"/>
  <c r="Q323" i="8"/>
  <c r="P323" i="8"/>
  <c r="U322" i="8"/>
  <c r="T322" i="8"/>
  <c r="S322" i="8"/>
  <c r="R322" i="8"/>
  <c r="Q322" i="8"/>
  <c r="P322" i="8"/>
  <c r="U321" i="8"/>
  <c r="T321" i="8"/>
  <c r="S321" i="8"/>
  <c r="R321" i="8"/>
  <c r="Q321" i="8"/>
  <c r="P321" i="8"/>
  <c r="U320" i="8"/>
  <c r="T320" i="8"/>
  <c r="S320" i="8"/>
  <c r="R320" i="8"/>
  <c r="Q320" i="8"/>
  <c r="P320" i="8"/>
  <c r="U319" i="8"/>
  <c r="T319" i="8"/>
  <c r="S319" i="8"/>
  <c r="R319" i="8"/>
  <c r="Q319" i="8"/>
  <c r="P319" i="8"/>
  <c r="U318" i="8"/>
  <c r="T318" i="8"/>
  <c r="S318" i="8"/>
  <c r="R318" i="8"/>
  <c r="Q318" i="8"/>
  <c r="P318" i="8"/>
  <c r="U317" i="8"/>
  <c r="T317" i="8"/>
  <c r="S317" i="8"/>
  <c r="R317" i="8"/>
  <c r="Q317" i="8"/>
  <c r="P317" i="8"/>
  <c r="U316" i="8"/>
  <c r="T316" i="8"/>
  <c r="S316" i="8"/>
  <c r="R316" i="8"/>
  <c r="Q316" i="8"/>
  <c r="P316" i="8"/>
  <c r="U315" i="8"/>
  <c r="T315" i="8"/>
  <c r="S315" i="8"/>
  <c r="R315" i="8"/>
  <c r="Q315" i="8"/>
  <c r="P315" i="8"/>
  <c r="U314" i="8"/>
  <c r="T314" i="8"/>
  <c r="S314" i="8"/>
  <c r="R314" i="8"/>
  <c r="Q314" i="8"/>
  <c r="P314" i="8"/>
  <c r="U313" i="8"/>
  <c r="T313" i="8"/>
  <c r="S313" i="8"/>
  <c r="R313" i="8"/>
  <c r="Q313" i="8"/>
  <c r="P313" i="8"/>
  <c r="U312" i="8"/>
  <c r="T312" i="8"/>
  <c r="S312" i="8"/>
  <c r="R312" i="8"/>
  <c r="Q312" i="8"/>
  <c r="P312" i="8"/>
  <c r="U311" i="8"/>
  <c r="T311" i="8"/>
  <c r="S311" i="8"/>
  <c r="R311" i="8"/>
  <c r="Q311" i="8"/>
  <c r="P311" i="8"/>
  <c r="U310" i="8"/>
  <c r="T310" i="8"/>
  <c r="S310" i="8"/>
  <c r="R310" i="8"/>
  <c r="Q310" i="8"/>
  <c r="P310" i="8"/>
  <c r="U309" i="8"/>
  <c r="T309" i="8"/>
  <c r="S309" i="8"/>
  <c r="R309" i="8"/>
  <c r="Q309" i="8"/>
  <c r="P309" i="8"/>
  <c r="U308" i="8"/>
  <c r="T308" i="8"/>
  <c r="S308" i="8"/>
  <c r="R308" i="8"/>
  <c r="Q308" i="8"/>
  <c r="P308" i="8"/>
  <c r="U307" i="8"/>
  <c r="T307" i="8"/>
  <c r="S307" i="8"/>
  <c r="R307" i="8"/>
  <c r="Q307" i="8"/>
  <c r="P307" i="8"/>
  <c r="U306" i="8"/>
  <c r="T306" i="8"/>
  <c r="S306" i="8"/>
  <c r="R306" i="8"/>
  <c r="Q306" i="8"/>
  <c r="P306" i="8"/>
  <c r="U305" i="8"/>
  <c r="T305" i="8"/>
  <c r="S305" i="8"/>
  <c r="R305" i="8"/>
  <c r="Q305" i="8"/>
  <c r="P305" i="8"/>
  <c r="U304" i="8"/>
  <c r="T304" i="8"/>
  <c r="S304" i="8"/>
  <c r="R304" i="8"/>
  <c r="Q304" i="8"/>
  <c r="P304" i="8"/>
  <c r="U303" i="8"/>
  <c r="T303" i="8"/>
  <c r="S303" i="8"/>
  <c r="R303" i="8"/>
  <c r="Q303" i="8"/>
  <c r="P303" i="8"/>
  <c r="U302" i="8"/>
  <c r="T302" i="8"/>
  <c r="S302" i="8"/>
  <c r="R302" i="8"/>
  <c r="Q302" i="8"/>
  <c r="P302" i="8"/>
  <c r="U301" i="8"/>
  <c r="T301" i="8"/>
  <c r="S301" i="8"/>
  <c r="R301" i="8"/>
  <c r="Q301" i="8"/>
  <c r="P301" i="8"/>
  <c r="U300" i="8"/>
  <c r="T300" i="8"/>
  <c r="S300" i="8"/>
  <c r="R300" i="8"/>
  <c r="Q300" i="8"/>
  <c r="P300" i="8"/>
  <c r="U299" i="8"/>
  <c r="T299" i="8"/>
  <c r="S299" i="8"/>
  <c r="R299" i="8"/>
  <c r="Q299" i="8"/>
  <c r="P299" i="8"/>
  <c r="U298" i="8"/>
  <c r="T298" i="8"/>
  <c r="S298" i="8"/>
  <c r="R298" i="8"/>
  <c r="Q298" i="8"/>
  <c r="P298" i="8"/>
  <c r="U297" i="8"/>
  <c r="T297" i="8"/>
  <c r="S297" i="8"/>
  <c r="R297" i="8"/>
  <c r="Q297" i="8"/>
  <c r="P297" i="8"/>
  <c r="U296" i="8"/>
  <c r="T296" i="8"/>
  <c r="S296" i="8"/>
  <c r="R296" i="8"/>
  <c r="Q296" i="8"/>
  <c r="P296" i="8"/>
  <c r="U295" i="8"/>
  <c r="T295" i="8"/>
  <c r="S295" i="8"/>
  <c r="R295" i="8"/>
  <c r="Q295" i="8"/>
  <c r="P295" i="8"/>
  <c r="U294" i="8"/>
  <c r="T294" i="8"/>
  <c r="S294" i="8"/>
  <c r="R294" i="8"/>
  <c r="Q294" i="8"/>
  <c r="P294" i="8"/>
  <c r="U293" i="8"/>
  <c r="T293" i="8"/>
  <c r="S293" i="8"/>
  <c r="R293" i="8"/>
  <c r="Q293" i="8"/>
  <c r="P293" i="8"/>
  <c r="U292" i="8"/>
  <c r="T292" i="8"/>
  <c r="S292" i="8"/>
  <c r="R292" i="8"/>
  <c r="Q292" i="8"/>
  <c r="P292" i="8"/>
  <c r="U291" i="8"/>
  <c r="T291" i="8"/>
  <c r="S291" i="8"/>
  <c r="R291" i="8"/>
  <c r="Q291" i="8"/>
  <c r="P291" i="8"/>
  <c r="U290" i="8"/>
  <c r="T290" i="8"/>
  <c r="S290" i="8"/>
  <c r="R290" i="8"/>
  <c r="Q290" i="8"/>
  <c r="P290" i="8"/>
  <c r="U289" i="8"/>
  <c r="T289" i="8"/>
  <c r="S289" i="8"/>
  <c r="R289" i="8"/>
  <c r="Q289" i="8"/>
  <c r="P289" i="8"/>
  <c r="U288" i="8"/>
  <c r="T288" i="8"/>
  <c r="S288" i="8"/>
  <c r="R288" i="8"/>
  <c r="Q288" i="8"/>
  <c r="P288" i="8"/>
  <c r="U287" i="8"/>
  <c r="T287" i="8"/>
  <c r="S287" i="8"/>
  <c r="R287" i="8"/>
  <c r="Q287" i="8"/>
  <c r="P287" i="8"/>
  <c r="U286" i="8"/>
  <c r="T286" i="8"/>
  <c r="S286" i="8"/>
  <c r="R286" i="8"/>
  <c r="Q286" i="8"/>
  <c r="P286" i="8"/>
  <c r="U285" i="8"/>
  <c r="T285" i="8"/>
  <c r="S285" i="8"/>
  <c r="R285" i="8"/>
  <c r="Q285" i="8"/>
  <c r="P285" i="8"/>
  <c r="U284" i="8"/>
  <c r="T284" i="8"/>
  <c r="S284" i="8"/>
  <c r="R284" i="8"/>
  <c r="Q284" i="8"/>
  <c r="P284" i="8"/>
  <c r="U283" i="8"/>
  <c r="T283" i="8"/>
  <c r="S283" i="8"/>
  <c r="R283" i="8"/>
  <c r="Q283" i="8"/>
  <c r="P283" i="8"/>
  <c r="U282" i="8"/>
  <c r="T282" i="8"/>
  <c r="S282" i="8"/>
  <c r="R282" i="8"/>
  <c r="Q282" i="8"/>
  <c r="P282" i="8"/>
  <c r="U281" i="8"/>
  <c r="T281" i="8"/>
  <c r="S281" i="8"/>
  <c r="R281" i="8"/>
  <c r="Q281" i="8"/>
  <c r="P281" i="8"/>
  <c r="U280" i="8"/>
  <c r="T280" i="8"/>
  <c r="S280" i="8"/>
  <c r="R280" i="8"/>
  <c r="Q280" i="8"/>
  <c r="P280" i="8"/>
  <c r="U279" i="8"/>
  <c r="T279" i="8"/>
  <c r="S279" i="8"/>
  <c r="R279" i="8"/>
  <c r="Q279" i="8"/>
  <c r="P279" i="8"/>
  <c r="U278" i="8"/>
  <c r="T278" i="8"/>
  <c r="S278" i="8"/>
  <c r="R278" i="8"/>
  <c r="Q278" i="8"/>
  <c r="P278" i="8"/>
  <c r="U277" i="8"/>
  <c r="T277" i="8"/>
  <c r="S277" i="8"/>
  <c r="R277" i="8"/>
  <c r="Q277" i="8"/>
  <c r="P277" i="8"/>
  <c r="U276" i="8"/>
  <c r="T276" i="8"/>
  <c r="S276" i="8"/>
  <c r="R276" i="8"/>
  <c r="Q276" i="8"/>
  <c r="P276" i="8"/>
  <c r="U275" i="8"/>
  <c r="T275" i="8"/>
  <c r="S275" i="8"/>
  <c r="R275" i="8"/>
  <c r="Q275" i="8"/>
  <c r="P275" i="8"/>
  <c r="U274" i="8"/>
  <c r="T274" i="8"/>
  <c r="S274" i="8"/>
  <c r="R274" i="8"/>
  <c r="Q274" i="8"/>
  <c r="P274" i="8"/>
  <c r="U273" i="8"/>
  <c r="T273" i="8"/>
  <c r="S273" i="8"/>
  <c r="R273" i="8"/>
  <c r="Q273" i="8"/>
  <c r="P273" i="8"/>
  <c r="U272" i="8"/>
  <c r="T272" i="8"/>
  <c r="S272" i="8"/>
  <c r="R272" i="8"/>
  <c r="Q272" i="8"/>
  <c r="P272" i="8"/>
  <c r="U271" i="8"/>
  <c r="T271" i="8"/>
  <c r="S271" i="8"/>
  <c r="R271" i="8"/>
  <c r="Q271" i="8"/>
  <c r="P271" i="8"/>
  <c r="U270" i="8"/>
  <c r="T270" i="8"/>
  <c r="S270" i="8"/>
  <c r="R270" i="8"/>
  <c r="Q270" i="8"/>
  <c r="P270" i="8"/>
  <c r="U269" i="8"/>
  <c r="T269" i="8"/>
  <c r="S269" i="8"/>
  <c r="R269" i="8"/>
  <c r="Q269" i="8"/>
  <c r="P269" i="8"/>
  <c r="U268" i="8"/>
  <c r="T268" i="8"/>
  <c r="S268" i="8"/>
  <c r="R268" i="8"/>
  <c r="Q268" i="8"/>
  <c r="P268" i="8"/>
  <c r="U267" i="8"/>
  <c r="T267" i="8"/>
  <c r="S267" i="8"/>
  <c r="R267" i="8"/>
  <c r="Q267" i="8"/>
  <c r="P267" i="8"/>
  <c r="U266" i="8"/>
  <c r="T266" i="8"/>
  <c r="S266" i="8"/>
  <c r="R266" i="8"/>
  <c r="Q266" i="8"/>
  <c r="P266" i="8"/>
  <c r="U265" i="8"/>
  <c r="T265" i="8"/>
  <c r="S265" i="8"/>
  <c r="R265" i="8"/>
  <c r="Q265" i="8"/>
  <c r="P265" i="8"/>
  <c r="U264" i="8"/>
  <c r="T264" i="8"/>
  <c r="S264" i="8"/>
  <c r="R264" i="8"/>
  <c r="Q264" i="8"/>
  <c r="P264" i="8"/>
  <c r="U263" i="8"/>
  <c r="T263" i="8"/>
  <c r="S263" i="8"/>
  <c r="R263" i="8"/>
  <c r="Q263" i="8"/>
  <c r="P263" i="8"/>
  <c r="U262" i="8"/>
  <c r="T262" i="8"/>
  <c r="S262" i="8"/>
  <c r="R262" i="8"/>
  <c r="Q262" i="8"/>
  <c r="P262" i="8"/>
  <c r="U261" i="8"/>
  <c r="T261" i="8"/>
  <c r="S261" i="8"/>
  <c r="R261" i="8"/>
  <c r="Q261" i="8"/>
  <c r="P261" i="8"/>
  <c r="U260" i="8"/>
  <c r="T260" i="8"/>
  <c r="S260" i="8"/>
  <c r="R260" i="8"/>
  <c r="Q260" i="8"/>
  <c r="P260" i="8"/>
  <c r="U259" i="8"/>
  <c r="T259" i="8"/>
  <c r="S259" i="8"/>
  <c r="R259" i="8"/>
  <c r="Q259" i="8"/>
  <c r="P259" i="8"/>
  <c r="U258" i="8"/>
  <c r="T258" i="8"/>
  <c r="S258" i="8"/>
  <c r="R258" i="8"/>
  <c r="Q258" i="8"/>
  <c r="P258" i="8"/>
  <c r="U257" i="8"/>
  <c r="T257" i="8"/>
  <c r="S257" i="8"/>
  <c r="R257" i="8"/>
  <c r="Q257" i="8"/>
  <c r="P257" i="8"/>
  <c r="U256" i="8"/>
  <c r="T256" i="8"/>
  <c r="S256" i="8"/>
  <c r="R256" i="8"/>
  <c r="Q256" i="8"/>
  <c r="P256" i="8"/>
  <c r="U255" i="8"/>
  <c r="T255" i="8"/>
  <c r="S255" i="8"/>
  <c r="R255" i="8"/>
  <c r="Q255" i="8"/>
  <c r="P255" i="8"/>
  <c r="U254" i="8"/>
  <c r="T254" i="8"/>
  <c r="S254" i="8"/>
  <c r="R254" i="8"/>
  <c r="Q254" i="8"/>
  <c r="P254" i="8"/>
  <c r="U253" i="8"/>
  <c r="T253" i="8"/>
  <c r="S253" i="8"/>
  <c r="R253" i="8"/>
  <c r="Q253" i="8"/>
  <c r="P253" i="8"/>
  <c r="U252" i="8"/>
  <c r="T252" i="8"/>
  <c r="S252" i="8"/>
  <c r="R252" i="8"/>
  <c r="Q252" i="8"/>
  <c r="P252" i="8"/>
  <c r="U251" i="8"/>
  <c r="T251" i="8"/>
  <c r="S251" i="8"/>
  <c r="R251" i="8"/>
  <c r="Q251" i="8"/>
  <c r="P251" i="8"/>
  <c r="U250" i="8"/>
  <c r="T250" i="8"/>
  <c r="S250" i="8"/>
  <c r="R250" i="8"/>
  <c r="Q250" i="8"/>
  <c r="P250" i="8"/>
  <c r="U249" i="8"/>
  <c r="T249" i="8"/>
  <c r="S249" i="8"/>
  <c r="R249" i="8"/>
  <c r="Q249" i="8"/>
  <c r="P249" i="8"/>
  <c r="U248" i="8"/>
  <c r="T248" i="8"/>
  <c r="S248" i="8"/>
  <c r="R248" i="8"/>
  <c r="Q248" i="8"/>
  <c r="P248" i="8"/>
  <c r="U247" i="8"/>
  <c r="T247" i="8"/>
  <c r="S247" i="8"/>
  <c r="R247" i="8"/>
  <c r="Q247" i="8"/>
  <c r="P247" i="8"/>
  <c r="U246" i="8"/>
  <c r="T246" i="8"/>
  <c r="S246" i="8"/>
  <c r="R246" i="8"/>
  <c r="Q246" i="8"/>
  <c r="P246" i="8"/>
  <c r="U245" i="8"/>
  <c r="T245" i="8"/>
  <c r="S245" i="8"/>
  <c r="R245" i="8"/>
  <c r="Q245" i="8"/>
  <c r="P245" i="8"/>
  <c r="U244" i="8"/>
  <c r="T244" i="8"/>
  <c r="S244" i="8"/>
  <c r="R244" i="8"/>
  <c r="Q244" i="8"/>
  <c r="P244" i="8"/>
  <c r="U243" i="8"/>
  <c r="T243" i="8"/>
  <c r="S243" i="8"/>
  <c r="R243" i="8"/>
  <c r="Q243" i="8"/>
  <c r="P243" i="8"/>
  <c r="U242" i="8"/>
  <c r="T242" i="8"/>
  <c r="S242" i="8"/>
  <c r="R242" i="8"/>
  <c r="Q242" i="8"/>
  <c r="P242" i="8"/>
  <c r="U241" i="8"/>
  <c r="T241" i="8"/>
  <c r="S241" i="8"/>
  <c r="R241" i="8"/>
  <c r="Q241" i="8"/>
  <c r="P241" i="8"/>
  <c r="U240" i="8"/>
  <c r="T240" i="8"/>
  <c r="S240" i="8"/>
  <c r="R240" i="8"/>
  <c r="Q240" i="8"/>
  <c r="P240" i="8"/>
  <c r="U239" i="8"/>
  <c r="T239" i="8"/>
  <c r="S239" i="8"/>
  <c r="R239" i="8"/>
  <c r="Q239" i="8"/>
  <c r="P239" i="8"/>
  <c r="U238" i="8"/>
  <c r="T238" i="8"/>
  <c r="S238" i="8"/>
  <c r="R238" i="8"/>
  <c r="Q238" i="8"/>
  <c r="P238" i="8"/>
  <c r="U237" i="8"/>
  <c r="T237" i="8"/>
  <c r="S237" i="8"/>
  <c r="R237" i="8"/>
  <c r="Q237" i="8"/>
  <c r="P237" i="8"/>
  <c r="U236" i="8"/>
  <c r="T236" i="8"/>
  <c r="S236" i="8"/>
  <c r="R236" i="8"/>
  <c r="Q236" i="8"/>
  <c r="P236" i="8"/>
  <c r="U235" i="8"/>
  <c r="T235" i="8"/>
  <c r="S235" i="8"/>
  <c r="R235" i="8"/>
  <c r="Q235" i="8"/>
  <c r="P235" i="8"/>
  <c r="U234" i="8"/>
  <c r="T234" i="8"/>
  <c r="S234" i="8"/>
  <c r="R234" i="8"/>
  <c r="Q234" i="8"/>
  <c r="P234" i="8"/>
  <c r="U233" i="8"/>
  <c r="T233" i="8"/>
  <c r="S233" i="8"/>
  <c r="R233" i="8"/>
  <c r="Q233" i="8"/>
  <c r="P233" i="8"/>
  <c r="U232" i="8"/>
  <c r="T232" i="8"/>
  <c r="S232" i="8"/>
  <c r="R232" i="8"/>
  <c r="Q232" i="8"/>
  <c r="P232" i="8"/>
  <c r="U231" i="8"/>
  <c r="T231" i="8"/>
  <c r="S231" i="8"/>
  <c r="R231" i="8"/>
  <c r="Q231" i="8"/>
  <c r="P231" i="8"/>
  <c r="U230" i="8"/>
  <c r="T230" i="8"/>
  <c r="S230" i="8"/>
  <c r="R230" i="8"/>
  <c r="Q230" i="8"/>
  <c r="P230" i="8"/>
  <c r="U229" i="8"/>
  <c r="T229" i="8"/>
  <c r="S229" i="8"/>
  <c r="R229" i="8"/>
  <c r="Q229" i="8"/>
  <c r="P229" i="8"/>
  <c r="U228" i="8"/>
  <c r="T228" i="8"/>
  <c r="S228" i="8"/>
  <c r="R228" i="8"/>
  <c r="Q228" i="8"/>
  <c r="P228" i="8"/>
  <c r="U227" i="8"/>
  <c r="T227" i="8"/>
  <c r="S227" i="8"/>
  <c r="R227" i="8"/>
  <c r="Q227" i="8"/>
  <c r="P227" i="8"/>
  <c r="U226" i="8"/>
  <c r="T226" i="8"/>
  <c r="S226" i="8"/>
  <c r="R226" i="8"/>
  <c r="Q226" i="8"/>
  <c r="P226" i="8"/>
  <c r="U225" i="8"/>
  <c r="T225" i="8"/>
  <c r="S225" i="8"/>
  <c r="R225" i="8"/>
  <c r="Q225" i="8"/>
  <c r="P225" i="8"/>
  <c r="U224" i="8"/>
  <c r="T224" i="8"/>
  <c r="S224" i="8"/>
  <c r="R224" i="8"/>
  <c r="Q224" i="8"/>
  <c r="P224" i="8"/>
  <c r="U223" i="8"/>
  <c r="T223" i="8"/>
  <c r="S223" i="8"/>
  <c r="R223" i="8"/>
  <c r="Q223" i="8"/>
  <c r="P223" i="8"/>
  <c r="U222" i="8"/>
  <c r="T222" i="8"/>
  <c r="S222" i="8"/>
  <c r="R222" i="8"/>
  <c r="Q222" i="8"/>
  <c r="P222" i="8"/>
  <c r="U221" i="8"/>
  <c r="T221" i="8"/>
  <c r="S221" i="8"/>
  <c r="R221" i="8"/>
  <c r="Q221" i="8"/>
  <c r="P221" i="8"/>
  <c r="U220" i="8"/>
  <c r="T220" i="8"/>
  <c r="S220" i="8"/>
  <c r="R220" i="8"/>
  <c r="Q220" i="8"/>
  <c r="P220" i="8"/>
  <c r="U219" i="8"/>
  <c r="T219" i="8"/>
  <c r="S219" i="8"/>
  <c r="R219" i="8"/>
  <c r="Q219" i="8"/>
  <c r="P219" i="8"/>
  <c r="U218" i="8"/>
  <c r="T218" i="8"/>
  <c r="S218" i="8"/>
  <c r="R218" i="8"/>
  <c r="Q218" i="8"/>
  <c r="P218" i="8"/>
  <c r="U217" i="8"/>
  <c r="T217" i="8"/>
  <c r="S217" i="8"/>
  <c r="R217" i="8"/>
  <c r="Q217" i="8"/>
  <c r="P217" i="8"/>
  <c r="U216" i="8"/>
  <c r="T216" i="8"/>
  <c r="S216" i="8"/>
  <c r="R216" i="8"/>
  <c r="Q216" i="8"/>
  <c r="P216" i="8"/>
  <c r="U215" i="8"/>
  <c r="T215" i="8"/>
  <c r="S215" i="8"/>
  <c r="R215" i="8"/>
  <c r="Q215" i="8"/>
  <c r="P215" i="8"/>
  <c r="U214" i="8"/>
  <c r="T214" i="8"/>
  <c r="S214" i="8"/>
  <c r="R214" i="8"/>
  <c r="Q214" i="8"/>
  <c r="P214" i="8"/>
  <c r="U213" i="8"/>
  <c r="T213" i="8"/>
  <c r="S213" i="8"/>
  <c r="R213" i="8"/>
  <c r="Q213" i="8"/>
  <c r="P213" i="8"/>
  <c r="U212" i="8"/>
  <c r="T212" i="8"/>
  <c r="S212" i="8"/>
  <c r="R212" i="8"/>
  <c r="Q212" i="8"/>
  <c r="P212" i="8"/>
  <c r="U211" i="8"/>
  <c r="T211" i="8"/>
  <c r="S211" i="8"/>
  <c r="R211" i="8"/>
  <c r="Q211" i="8"/>
  <c r="P211" i="8"/>
  <c r="U210" i="8"/>
  <c r="T210" i="8"/>
  <c r="S210" i="8"/>
  <c r="R210" i="8"/>
  <c r="Q210" i="8"/>
  <c r="P210" i="8"/>
  <c r="U209" i="8"/>
  <c r="T209" i="8"/>
  <c r="S209" i="8"/>
  <c r="R209" i="8"/>
  <c r="Q209" i="8"/>
  <c r="P209" i="8"/>
  <c r="U208" i="8"/>
  <c r="T208" i="8"/>
  <c r="S208" i="8"/>
  <c r="R208" i="8"/>
  <c r="Q208" i="8"/>
  <c r="P208" i="8"/>
  <c r="U207" i="8"/>
  <c r="T207" i="8"/>
  <c r="S207" i="8"/>
  <c r="R207" i="8"/>
  <c r="Q207" i="8"/>
  <c r="P207" i="8"/>
  <c r="U206" i="8"/>
  <c r="T206" i="8"/>
  <c r="S206" i="8"/>
  <c r="R206" i="8"/>
  <c r="Q206" i="8"/>
  <c r="P206" i="8"/>
  <c r="U205" i="8"/>
  <c r="T205" i="8"/>
  <c r="S205" i="8"/>
  <c r="R205" i="8"/>
  <c r="Q205" i="8"/>
  <c r="P205" i="8"/>
  <c r="U204" i="8"/>
  <c r="T204" i="8"/>
  <c r="S204" i="8"/>
  <c r="R204" i="8"/>
  <c r="Q204" i="8"/>
  <c r="P204" i="8"/>
  <c r="U203" i="8"/>
  <c r="T203" i="8"/>
  <c r="S203" i="8"/>
  <c r="R203" i="8"/>
  <c r="Q203" i="8"/>
  <c r="P203" i="8"/>
  <c r="U202" i="8"/>
  <c r="T202" i="8"/>
  <c r="S202" i="8"/>
  <c r="R202" i="8"/>
  <c r="Q202" i="8"/>
  <c r="P202" i="8"/>
  <c r="U201" i="8"/>
  <c r="T201" i="8"/>
  <c r="S201" i="8"/>
  <c r="R201" i="8"/>
  <c r="Q201" i="8"/>
  <c r="P201" i="8"/>
  <c r="U200" i="8"/>
  <c r="T200" i="8"/>
  <c r="S200" i="8"/>
  <c r="R200" i="8"/>
  <c r="Q200" i="8"/>
  <c r="P200" i="8"/>
  <c r="U199" i="8"/>
  <c r="T199" i="8"/>
  <c r="S199" i="8"/>
  <c r="R199" i="8"/>
  <c r="Q199" i="8"/>
  <c r="P199" i="8"/>
  <c r="U198" i="8"/>
  <c r="T198" i="8"/>
  <c r="S198" i="8"/>
  <c r="R198" i="8"/>
  <c r="Q198" i="8"/>
  <c r="P198" i="8"/>
  <c r="U197" i="8"/>
  <c r="T197" i="8"/>
  <c r="S197" i="8"/>
  <c r="R197" i="8"/>
  <c r="Q197" i="8"/>
  <c r="P197" i="8"/>
  <c r="U196" i="8"/>
  <c r="T196" i="8"/>
  <c r="S196" i="8"/>
  <c r="R196" i="8"/>
  <c r="Q196" i="8"/>
  <c r="P196" i="8"/>
  <c r="U195" i="8"/>
  <c r="T195" i="8"/>
  <c r="S195" i="8"/>
  <c r="R195" i="8"/>
  <c r="Q195" i="8"/>
  <c r="P195" i="8"/>
  <c r="U194" i="8"/>
  <c r="T194" i="8"/>
  <c r="S194" i="8"/>
  <c r="R194" i="8"/>
  <c r="Q194" i="8"/>
  <c r="P194" i="8"/>
  <c r="U193" i="8"/>
  <c r="T193" i="8"/>
  <c r="S193" i="8"/>
  <c r="R193" i="8"/>
  <c r="Q193" i="8"/>
  <c r="P193" i="8"/>
  <c r="U192" i="8"/>
  <c r="T192" i="8"/>
  <c r="S192" i="8"/>
  <c r="R192" i="8"/>
  <c r="Q192" i="8"/>
  <c r="P192" i="8"/>
  <c r="U191" i="8"/>
  <c r="T191" i="8"/>
  <c r="S191" i="8"/>
  <c r="R191" i="8"/>
  <c r="Q191" i="8"/>
  <c r="P191" i="8"/>
  <c r="U190" i="8"/>
  <c r="T190" i="8"/>
  <c r="S190" i="8"/>
  <c r="R190" i="8"/>
  <c r="Q190" i="8"/>
  <c r="P190" i="8"/>
  <c r="U189" i="8"/>
  <c r="T189" i="8"/>
  <c r="S189" i="8"/>
  <c r="R189" i="8"/>
  <c r="Q189" i="8"/>
  <c r="P189" i="8"/>
  <c r="U188" i="8"/>
  <c r="T188" i="8"/>
  <c r="S188" i="8"/>
  <c r="R188" i="8"/>
  <c r="Q188" i="8"/>
  <c r="P188" i="8"/>
  <c r="U187" i="8"/>
  <c r="T187" i="8"/>
  <c r="S187" i="8"/>
  <c r="R187" i="8"/>
  <c r="Q187" i="8"/>
  <c r="P187" i="8"/>
  <c r="U186" i="8"/>
  <c r="T186" i="8"/>
  <c r="S186" i="8"/>
  <c r="R186" i="8"/>
  <c r="Q186" i="8"/>
  <c r="P186" i="8"/>
  <c r="U185" i="8"/>
  <c r="T185" i="8"/>
  <c r="S185" i="8"/>
  <c r="R185" i="8"/>
  <c r="Q185" i="8"/>
  <c r="P185" i="8"/>
  <c r="U184" i="8"/>
  <c r="T184" i="8"/>
  <c r="S184" i="8"/>
  <c r="R184" i="8"/>
  <c r="Q184" i="8"/>
  <c r="P184" i="8"/>
  <c r="U183" i="8"/>
  <c r="T183" i="8"/>
  <c r="S183" i="8"/>
  <c r="R183" i="8"/>
  <c r="Q183" i="8"/>
  <c r="P183" i="8"/>
  <c r="U182" i="8"/>
  <c r="T182" i="8"/>
  <c r="S182" i="8"/>
  <c r="R182" i="8"/>
  <c r="Q182" i="8"/>
  <c r="P182" i="8"/>
  <c r="U181" i="8"/>
  <c r="T181" i="8"/>
  <c r="S181" i="8"/>
  <c r="R181" i="8"/>
  <c r="Q181" i="8"/>
  <c r="P181" i="8"/>
  <c r="U180" i="8"/>
  <c r="T180" i="8"/>
  <c r="S180" i="8"/>
  <c r="R180" i="8"/>
  <c r="Q180" i="8"/>
  <c r="P180" i="8"/>
  <c r="U179" i="8"/>
  <c r="T179" i="8"/>
  <c r="S179" i="8"/>
  <c r="R179" i="8"/>
  <c r="Q179" i="8"/>
  <c r="P179" i="8"/>
  <c r="U178" i="8"/>
  <c r="T178" i="8"/>
  <c r="S178" i="8"/>
  <c r="R178" i="8"/>
  <c r="Q178" i="8"/>
  <c r="P178" i="8"/>
  <c r="U177" i="8"/>
  <c r="T177" i="8"/>
  <c r="S177" i="8"/>
  <c r="R177" i="8"/>
  <c r="Q177" i="8"/>
  <c r="P177" i="8"/>
  <c r="U176" i="8"/>
  <c r="T176" i="8"/>
  <c r="S176" i="8"/>
  <c r="R176" i="8"/>
  <c r="Q176" i="8"/>
  <c r="P176" i="8"/>
  <c r="U175" i="8"/>
  <c r="T175" i="8"/>
  <c r="S175" i="8"/>
  <c r="R175" i="8"/>
  <c r="Q175" i="8"/>
  <c r="P175" i="8"/>
  <c r="U174" i="8"/>
  <c r="T174" i="8"/>
  <c r="S174" i="8"/>
  <c r="R174" i="8"/>
  <c r="Q174" i="8"/>
  <c r="P174" i="8"/>
  <c r="U173" i="8"/>
  <c r="T173" i="8"/>
  <c r="S173" i="8"/>
  <c r="R173" i="8"/>
  <c r="Q173" i="8"/>
  <c r="P173" i="8"/>
  <c r="U172" i="8"/>
  <c r="T172" i="8"/>
  <c r="S172" i="8"/>
  <c r="R172" i="8"/>
  <c r="Q172" i="8"/>
  <c r="P172" i="8"/>
  <c r="U171" i="8"/>
  <c r="T171" i="8"/>
  <c r="S171" i="8"/>
  <c r="R171" i="8"/>
  <c r="Q171" i="8"/>
  <c r="P171" i="8"/>
  <c r="U170" i="8"/>
  <c r="T170" i="8"/>
  <c r="S170" i="8"/>
  <c r="R170" i="8"/>
  <c r="Q170" i="8"/>
  <c r="P170" i="8"/>
  <c r="U169" i="8"/>
  <c r="T169" i="8"/>
  <c r="S169" i="8"/>
  <c r="R169" i="8"/>
  <c r="Q169" i="8"/>
  <c r="P169" i="8"/>
  <c r="U168" i="8"/>
  <c r="T168" i="8"/>
  <c r="S168" i="8"/>
  <c r="R168" i="8"/>
  <c r="Q168" i="8"/>
  <c r="P168" i="8"/>
  <c r="U167" i="8"/>
  <c r="T167" i="8"/>
  <c r="S167" i="8"/>
  <c r="R167" i="8"/>
  <c r="Q167" i="8"/>
  <c r="P167" i="8"/>
  <c r="U166" i="8"/>
  <c r="T166" i="8"/>
  <c r="S166" i="8"/>
  <c r="R166" i="8"/>
  <c r="Q166" i="8"/>
  <c r="P166" i="8"/>
  <c r="U165" i="8"/>
  <c r="T165" i="8"/>
  <c r="S165" i="8"/>
  <c r="R165" i="8"/>
  <c r="Q165" i="8"/>
  <c r="P165" i="8"/>
  <c r="U164" i="8"/>
  <c r="T164" i="8"/>
  <c r="S164" i="8"/>
  <c r="R164" i="8"/>
  <c r="Q164" i="8"/>
  <c r="P164" i="8"/>
  <c r="U163" i="8"/>
  <c r="T163" i="8"/>
  <c r="S163" i="8"/>
  <c r="R163" i="8"/>
  <c r="Q163" i="8"/>
  <c r="P163" i="8"/>
  <c r="U162" i="8"/>
  <c r="T162" i="8"/>
  <c r="S162" i="8"/>
  <c r="R162" i="8"/>
  <c r="Q162" i="8"/>
  <c r="P162" i="8"/>
  <c r="U161" i="8"/>
  <c r="T161" i="8"/>
  <c r="S161" i="8"/>
  <c r="R161" i="8"/>
  <c r="Q161" i="8"/>
  <c r="P161" i="8"/>
  <c r="U160" i="8"/>
  <c r="T160" i="8"/>
  <c r="S160" i="8"/>
  <c r="R160" i="8"/>
  <c r="Q160" i="8"/>
  <c r="P160" i="8"/>
  <c r="U159" i="8"/>
  <c r="T159" i="8"/>
  <c r="S159" i="8"/>
  <c r="R159" i="8"/>
  <c r="Q159" i="8"/>
  <c r="P159" i="8"/>
  <c r="U158" i="8"/>
  <c r="T158" i="8"/>
  <c r="S158" i="8"/>
  <c r="R158" i="8"/>
  <c r="Q158" i="8"/>
  <c r="P158" i="8"/>
  <c r="U157" i="8"/>
  <c r="T157" i="8"/>
  <c r="S157" i="8"/>
  <c r="R157" i="8"/>
  <c r="Q157" i="8"/>
  <c r="P157" i="8"/>
  <c r="U156" i="8"/>
  <c r="T156" i="8"/>
  <c r="S156" i="8"/>
  <c r="R156" i="8"/>
  <c r="Q156" i="8"/>
  <c r="P156" i="8"/>
  <c r="U155" i="8"/>
  <c r="T155" i="8"/>
  <c r="S155" i="8"/>
  <c r="R155" i="8"/>
  <c r="Q155" i="8"/>
  <c r="P155" i="8"/>
  <c r="U154" i="8"/>
  <c r="T154" i="8"/>
  <c r="S154" i="8"/>
  <c r="R154" i="8"/>
  <c r="Q154" i="8"/>
  <c r="P154" i="8"/>
  <c r="U153" i="8"/>
  <c r="T153" i="8"/>
  <c r="S153" i="8"/>
  <c r="R153" i="8"/>
  <c r="Q153" i="8"/>
  <c r="P153" i="8"/>
  <c r="U152" i="8"/>
  <c r="T152" i="8"/>
  <c r="S152" i="8"/>
  <c r="R152" i="8"/>
  <c r="Q152" i="8"/>
  <c r="P152" i="8"/>
  <c r="U151" i="8"/>
  <c r="T151" i="8"/>
  <c r="S151" i="8"/>
  <c r="R151" i="8"/>
  <c r="Q151" i="8"/>
  <c r="P151" i="8"/>
  <c r="U150" i="8"/>
  <c r="T150" i="8"/>
  <c r="S150" i="8"/>
  <c r="R150" i="8"/>
  <c r="Q150" i="8"/>
  <c r="P150" i="8"/>
  <c r="U149" i="8"/>
  <c r="T149" i="8"/>
  <c r="S149" i="8"/>
  <c r="R149" i="8"/>
  <c r="Q149" i="8"/>
  <c r="P149" i="8"/>
  <c r="U148" i="8"/>
  <c r="T148" i="8"/>
  <c r="S148" i="8"/>
  <c r="R148" i="8"/>
  <c r="Q148" i="8"/>
  <c r="P148" i="8"/>
  <c r="U147" i="8"/>
  <c r="T147" i="8"/>
  <c r="S147" i="8"/>
  <c r="R147" i="8"/>
  <c r="Q147" i="8"/>
  <c r="P147" i="8"/>
  <c r="U146" i="8"/>
  <c r="T146" i="8"/>
  <c r="S146" i="8"/>
  <c r="R146" i="8"/>
  <c r="Q146" i="8"/>
  <c r="P146" i="8"/>
  <c r="U145" i="8"/>
  <c r="T145" i="8"/>
  <c r="S145" i="8"/>
  <c r="R145" i="8"/>
  <c r="Q145" i="8"/>
  <c r="P145" i="8"/>
  <c r="U144" i="8"/>
  <c r="T144" i="8"/>
  <c r="S144" i="8"/>
  <c r="R144" i="8"/>
  <c r="Q144" i="8"/>
  <c r="P144" i="8"/>
  <c r="U143" i="8"/>
  <c r="T143" i="8"/>
  <c r="S143" i="8"/>
  <c r="R143" i="8"/>
  <c r="Q143" i="8"/>
  <c r="P143" i="8"/>
  <c r="U142" i="8"/>
  <c r="T142" i="8"/>
  <c r="S142" i="8"/>
  <c r="R142" i="8"/>
  <c r="Q142" i="8"/>
  <c r="P142" i="8"/>
  <c r="U141" i="8"/>
  <c r="T141" i="8"/>
  <c r="S141" i="8"/>
  <c r="R141" i="8"/>
  <c r="Q141" i="8"/>
  <c r="P141" i="8"/>
  <c r="U140" i="8"/>
  <c r="T140" i="8"/>
  <c r="S140" i="8"/>
  <c r="R140" i="8"/>
  <c r="Q140" i="8"/>
  <c r="P140" i="8"/>
  <c r="U139" i="8"/>
  <c r="T139" i="8"/>
  <c r="S139" i="8"/>
  <c r="R139" i="8"/>
  <c r="Q139" i="8"/>
  <c r="P139" i="8"/>
  <c r="U138" i="8"/>
  <c r="T138" i="8"/>
  <c r="S138" i="8"/>
  <c r="R138" i="8"/>
  <c r="Q138" i="8"/>
  <c r="P138" i="8"/>
  <c r="U137" i="8"/>
  <c r="T137" i="8"/>
  <c r="S137" i="8"/>
  <c r="R137" i="8"/>
  <c r="Q137" i="8"/>
  <c r="P137" i="8"/>
  <c r="U136" i="8"/>
  <c r="T136" i="8"/>
  <c r="S136" i="8"/>
  <c r="R136" i="8"/>
  <c r="Q136" i="8"/>
  <c r="P136" i="8"/>
  <c r="U135" i="8"/>
  <c r="T135" i="8"/>
  <c r="S135" i="8"/>
  <c r="R135" i="8"/>
  <c r="Q135" i="8"/>
  <c r="P135" i="8"/>
  <c r="U134" i="8"/>
  <c r="T134" i="8"/>
  <c r="S134" i="8"/>
  <c r="R134" i="8"/>
  <c r="Q134" i="8"/>
  <c r="P134" i="8"/>
  <c r="U133" i="8"/>
  <c r="T133" i="8"/>
  <c r="S133" i="8"/>
  <c r="R133" i="8"/>
  <c r="Q133" i="8"/>
  <c r="P133" i="8"/>
  <c r="U132" i="8"/>
  <c r="T132" i="8"/>
  <c r="S132" i="8"/>
  <c r="R132" i="8"/>
  <c r="Q132" i="8"/>
  <c r="P132" i="8"/>
  <c r="U131" i="8"/>
  <c r="T131" i="8"/>
  <c r="S131" i="8"/>
  <c r="R131" i="8"/>
  <c r="Q131" i="8"/>
  <c r="P131" i="8"/>
  <c r="U130" i="8"/>
  <c r="T130" i="8"/>
  <c r="S130" i="8"/>
  <c r="R130" i="8"/>
  <c r="Q130" i="8"/>
  <c r="P130" i="8"/>
  <c r="U129" i="8"/>
  <c r="T129" i="8"/>
  <c r="S129" i="8"/>
  <c r="R129" i="8"/>
  <c r="Q129" i="8"/>
  <c r="P129" i="8"/>
  <c r="U128" i="8"/>
  <c r="T128" i="8"/>
  <c r="S128" i="8"/>
  <c r="R128" i="8"/>
  <c r="Q128" i="8"/>
  <c r="P128" i="8"/>
  <c r="U127" i="8"/>
  <c r="T127" i="8"/>
  <c r="S127" i="8"/>
  <c r="R127" i="8"/>
  <c r="Q127" i="8"/>
  <c r="P127" i="8"/>
  <c r="U126" i="8"/>
  <c r="T126" i="8"/>
  <c r="S126" i="8"/>
  <c r="R126" i="8"/>
  <c r="Q126" i="8"/>
  <c r="P126" i="8"/>
  <c r="U125" i="8"/>
  <c r="T125" i="8"/>
  <c r="S125" i="8"/>
  <c r="R125" i="8"/>
  <c r="Q125" i="8"/>
  <c r="P125" i="8"/>
  <c r="U124" i="8"/>
  <c r="T124" i="8"/>
  <c r="S124" i="8"/>
  <c r="R124" i="8"/>
  <c r="Q124" i="8"/>
  <c r="P124" i="8"/>
  <c r="U123" i="8"/>
  <c r="T123" i="8"/>
  <c r="S123" i="8"/>
  <c r="R123" i="8"/>
  <c r="Q123" i="8"/>
  <c r="P123" i="8"/>
  <c r="U122" i="8"/>
  <c r="T122" i="8"/>
  <c r="S122" i="8"/>
  <c r="R122" i="8"/>
  <c r="Q122" i="8"/>
  <c r="P122" i="8"/>
  <c r="U121" i="8"/>
  <c r="T121" i="8"/>
  <c r="S121" i="8"/>
  <c r="R121" i="8"/>
  <c r="Q121" i="8"/>
  <c r="P121" i="8"/>
  <c r="U120" i="8"/>
  <c r="T120" i="8"/>
  <c r="S120" i="8"/>
  <c r="R120" i="8"/>
  <c r="Q120" i="8"/>
  <c r="P120" i="8"/>
  <c r="U119" i="8"/>
  <c r="T119" i="8"/>
  <c r="S119" i="8"/>
  <c r="R119" i="8"/>
  <c r="Q119" i="8"/>
  <c r="P119" i="8"/>
  <c r="U118" i="8"/>
  <c r="T118" i="8"/>
  <c r="S118" i="8"/>
  <c r="R118" i="8"/>
  <c r="Q118" i="8"/>
  <c r="P118" i="8"/>
  <c r="U117" i="8"/>
  <c r="T117" i="8"/>
  <c r="S117" i="8"/>
  <c r="R117" i="8"/>
  <c r="Q117" i="8"/>
  <c r="P117" i="8"/>
  <c r="U116" i="8"/>
  <c r="T116" i="8"/>
  <c r="S116" i="8"/>
  <c r="R116" i="8"/>
  <c r="Q116" i="8"/>
  <c r="P116" i="8"/>
  <c r="U115" i="8"/>
  <c r="T115" i="8"/>
  <c r="S115" i="8"/>
  <c r="R115" i="8"/>
  <c r="Q115" i="8"/>
  <c r="P115" i="8"/>
  <c r="U114" i="8"/>
  <c r="T114" i="8"/>
  <c r="S114" i="8"/>
  <c r="R114" i="8"/>
  <c r="Q114" i="8"/>
  <c r="P114" i="8"/>
  <c r="U113" i="8"/>
  <c r="T113" i="8"/>
  <c r="S113" i="8"/>
  <c r="R113" i="8"/>
  <c r="Q113" i="8"/>
  <c r="P113" i="8"/>
  <c r="U112" i="8"/>
  <c r="T112" i="8"/>
  <c r="S112" i="8"/>
  <c r="R112" i="8"/>
  <c r="Q112" i="8"/>
  <c r="P112" i="8"/>
  <c r="U111" i="8"/>
  <c r="T111" i="8"/>
  <c r="S111" i="8"/>
  <c r="R111" i="8"/>
  <c r="Q111" i="8"/>
  <c r="P111" i="8"/>
  <c r="U110" i="8"/>
  <c r="T110" i="8"/>
  <c r="S110" i="8"/>
  <c r="R110" i="8"/>
  <c r="Q110" i="8"/>
  <c r="P110" i="8"/>
  <c r="U109" i="8"/>
  <c r="T109" i="8"/>
  <c r="S109" i="8"/>
  <c r="R109" i="8"/>
  <c r="Q109" i="8"/>
  <c r="P109" i="8"/>
  <c r="U108" i="8"/>
  <c r="T108" i="8"/>
  <c r="S108" i="8"/>
  <c r="R108" i="8"/>
  <c r="Q108" i="8"/>
  <c r="P108" i="8"/>
  <c r="U107" i="8"/>
  <c r="T107" i="8"/>
  <c r="S107" i="8"/>
  <c r="R107" i="8"/>
  <c r="Q107" i="8"/>
  <c r="P107" i="8"/>
  <c r="U106" i="8"/>
  <c r="T106" i="8"/>
  <c r="S106" i="8"/>
  <c r="R106" i="8"/>
  <c r="Q106" i="8"/>
  <c r="P106" i="8"/>
  <c r="U105" i="8"/>
  <c r="T105" i="8"/>
  <c r="S105" i="8"/>
  <c r="R105" i="8"/>
  <c r="Q105" i="8"/>
  <c r="P105" i="8"/>
  <c r="U104" i="8"/>
  <c r="T104" i="8"/>
  <c r="S104" i="8"/>
  <c r="R104" i="8"/>
  <c r="Q104" i="8"/>
  <c r="P104" i="8"/>
  <c r="U103" i="8"/>
  <c r="T103" i="8"/>
  <c r="S103" i="8"/>
  <c r="R103" i="8"/>
  <c r="Q103" i="8"/>
  <c r="P103" i="8"/>
  <c r="U102" i="8"/>
  <c r="T102" i="8"/>
  <c r="S102" i="8"/>
  <c r="R102" i="8"/>
  <c r="Q102" i="8"/>
  <c r="P102" i="8"/>
  <c r="U101" i="8"/>
  <c r="T101" i="8"/>
  <c r="S101" i="8"/>
  <c r="R101" i="8"/>
  <c r="Q101" i="8"/>
  <c r="P101" i="8"/>
  <c r="U100" i="8"/>
  <c r="T100" i="8"/>
  <c r="S100" i="8"/>
  <c r="R100" i="8"/>
  <c r="Q100" i="8"/>
  <c r="P100" i="8"/>
  <c r="U99" i="8"/>
  <c r="T99" i="8"/>
  <c r="S99" i="8"/>
  <c r="R99" i="8"/>
  <c r="Q99" i="8"/>
  <c r="P99" i="8"/>
  <c r="U98" i="8"/>
  <c r="T98" i="8"/>
  <c r="S98" i="8"/>
  <c r="R98" i="8"/>
  <c r="Q98" i="8"/>
  <c r="P98" i="8"/>
  <c r="U97" i="8"/>
  <c r="T97" i="8"/>
  <c r="S97" i="8"/>
  <c r="R97" i="8"/>
  <c r="Q97" i="8"/>
  <c r="P97" i="8"/>
  <c r="U96" i="8"/>
  <c r="T96" i="8"/>
  <c r="S96" i="8"/>
  <c r="R96" i="8"/>
  <c r="Q96" i="8"/>
  <c r="P96" i="8"/>
  <c r="U95" i="8"/>
  <c r="T95" i="8"/>
  <c r="S95" i="8"/>
  <c r="R95" i="8"/>
  <c r="Q95" i="8"/>
  <c r="P95" i="8"/>
  <c r="U94" i="8"/>
  <c r="T94" i="8"/>
  <c r="S94" i="8"/>
  <c r="R94" i="8"/>
  <c r="Q94" i="8"/>
  <c r="P94" i="8"/>
  <c r="U93" i="8"/>
  <c r="T93" i="8"/>
  <c r="S93" i="8"/>
  <c r="R93" i="8"/>
  <c r="Q93" i="8"/>
  <c r="P93" i="8"/>
  <c r="U92" i="8"/>
  <c r="T92" i="8"/>
  <c r="S92" i="8"/>
  <c r="R92" i="8"/>
  <c r="Q92" i="8"/>
  <c r="P92" i="8"/>
  <c r="U91" i="8"/>
  <c r="T91" i="8"/>
  <c r="S91" i="8"/>
  <c r="R91" i="8"/>
  <c r="Q91" i="8"/>
  <c r="P91" i="8"/>
  <c r="U90" i="8"/>
  <c r="T90" i="8"/>
  <c r="S90" i="8"/>
  <c r="R90" i="8"/>
  <c r="Q90" i="8"/>
  <c r="P90" i="8"/>
  <c r="U89" i="8"/>
  <c r="T89" i="8"/>
  <c r="S89" i="8"/>
  <c r="R89" i="8"/>
  <c r="Q89" i="8"/>
  <c r="P89" i="8"/>
  <c r="U88" i="8"/>
  <c r="T88" i="8"/>
  <c r="S88" i="8"/>
  <c r="R88" i="8"/>
  <c r="Q88" i="8"/>
  <c r="P88" i="8"/>
  <c r="U87" i="8"/>
  <c r="T87" i="8"/>
  <c r="S87" i="8"/>
  <c r="R87" i="8"/>
  <c r="Q87" i="8"/>
  <c r="P87" i="8"/>
  <c r="U86" i="8"/>
  <c r="T86" i="8"/>
  <c r="S86" i="8"/>
  <c r="R86" i="8"/>
  <c r="Q86" i="8"/>
  <c r="P86" i="8"/>
  <c r="U85" i="8"/>
  <c r="T85" i="8"/>
  <c r="S85" i="8"/>
  <c r="R85" i="8"/>
  <c r="Q85" i="8"/>
  <c r="P85" i="8"/>
  <c r="U84" i="8"/>
  <c r="T84" i="8"/>
  <c r="S84" i="8"/>
  <c r="R84" i="8"/>
  <c r="Q84" i="8"/>
  <c r="P84" i="8"/>
  <c r="U83" i="8"/>
  <c r="T83" i="8"/>
  <c r="S83" i="8"/>
  <c r="R83" i="8"/>
  <c r="Q83" i="8"/>
  <c r="P83" i="8"/>
  <c r="U82" i="8"/>
  <c r="T82" i="8"/>
  <c r="S82" i="8"/>
  <c r="R82" i="8"/>
  <c r="Q82" i="8"/>
  <c r="P82" i="8"/>
  <c r="U81" i="8"/>
  <c r="T81" i="8"/>
  <c r="S81" i="8"/>
  <c r="R81" i="8"/>
  <c r="Q81" i="8"/>
  <c r="P81" i="8"/>
  <c r="U80" i="8"/>
  <c r="T80" i="8"/>
  <c r="S80" i="8"/>
  <c r="R80" i="8"/>
  <c r="Q80" i="8"/>
  <c r="P80" i="8"/>
  <c r="U79" i="8"/>
  <c r="T79" i="8"/>
  <c r="S79" i="8"/>
  <c r="R79" i="8"/>
  <c r="Q79" i="8"/>
  <c r="P79" i="8"/>
  <c r="U78" i="8"/>
  <c r="T78" i="8"/>
  <c r="S78" i="8"/>
  <c r="R78" i="8"/>
  <c r="Q78" i="8"/>
  <c r="P78" i="8"/>
  <c r="U77" i="8"/>
  <c r="T77" i="8"/>
  <c r="S77" i="8"/>
  <c r="R77" i="8"/>
  <c r="Q77" i="8"/>
  <c r="P77" i="8"/>
  <c r="U76" i="8"/>
  <c r="T76" i="8"/>
  <c r="S76" i="8"/>
  <c r="R76" i="8"/>
  <c r="Q76" i="8"/>
  <c r="P76" i="8"/>
  <c r="U75" i="8"/>
  <c r="T75" i="8"/>
  <c r="S75" i="8"/>
  <c r="R75" i="8"/>
  <c r="Q75" i="8"/>
  <c r="P75" i="8"/>
  <c r="U74" i="8"/>
  <c r="T74" i="8"/>
  <c r="S74" i="8"/>
  <c r="R74" i="8"/>
  <c r="Q74" i="8"/>
  <c r="P74" i="8"/>
  <c r="U73" i="8"/>
  <c r="T73" i="8"/>
  <c r="S73" i="8"/>
  <c r="R73" i="8"/>
  <c r="Q73" i="8"/>
  <c r="P73" i="8"/>
  <c r="U72" i="8"/>
  <c r="T72" i="8"/>
  <c r="S72" i="8"/>
  <c r="R72" i="8"/>
  <c r="Q72" i="8"/>
  <c r="P72" i="8"/>
  <c r="U71" i="8"/>
  <c r="T71" i="8"/>
  <c r="S71" i="8"/>
  <c r="R71" i="8"/>
  <c r="Q71" i="8"/>
  <c r="P71" i="8"/>
  <c r="U70" i="8"/>
  <c r="T70" i="8"/>
  <c r="S70" i="8"/>
  <c r="R70" i="8"/>
  <c r="Q70" i="8"/>
  <c r="P70" i="8"/>
  <c r="U69" i="8"/>
  <c r="T69" i="8"/>
  <c r="S69" i="8"/>
  <c r="R69" i="8"/>
  <c r="Q69" i="8"/>
  <c r="P69" i="8"/>
  <c r="B84" i="5"/>
  <c r="G25" i="8"/>
  <c r="E9" i="10" s="1"/>
  <c r="D9" i="10"/>
  <c r="C9" i="10"/>
  <c r="B139" i="6"/>
  <c r="B131" i="6"/>
  <c r="B123" i="6"/>
  <c r="B115" i="6"/>
  <c r="B107" i="6"/>
  <c r="B9" i="4"/>
  <c r="C8" i="23" s="1"/>
  <c r="B8" i="4"/>
  <c r="C7" i="23" s="1"/>
  <c r="B7" i="4"/>
  <c r="C6" i="23" s="1"/>
  <c r="B6" i="4"/>
  <c r="D5" i="23" s="1"/>
  <c r="A2" i="3" a="1"/>
  <c r="K68" i="3" s="1"/>
  <c r="F6" i="23" l="1"/>
  <c r="D6" i="23"/>
  <c r="AN5" i="3"/>
  <c r="P6" i="18" s="1"/>
  <c r="AS10" i="3"/>
  <c r="AU16" i="3"/>
  <c r="N17" i="18" s="1"/>
  <c r="AN23" i="3"/>
  <c r="P24" i="18" s="1"/>
  <c r="BA32" i="3"/>
  <c r="AU40" i="3"/>
  <c r="N41" i="18" s="1"/>
  <c r="AA48" i="3"/>
  <c r="BA58" i="3"/>
  <c r="L2" i="3"/>
  <c r="AX5" i="3"/>
  <c r="AT10" i="3"/>
  <c r="BF16" i="3"/>
  <c r="AO23" i="3"/>
  <c r="Q24" i="18" s="1"/>
  <c r="BD32" i="3"/>
  <c r="BT32" i="3" s="1"/>
  <c r="BB40" i="3"/>
  <c r="AY48" i="3"/>
  <c r="AY61" i="3"/>
  <c r="BM20" i="3"/>
  <c r="AF57" i="3"/>
  <c r="S71" i="6" s="1"/>
  <c r="AG5" i="3"/>
  <c r="T19" i="6" s="1"/>
  <c r="AG7" i="3"/>
  <c r="T21" i="6" s="1"/>
  <c r="N35" i="3"/>
  <c r="AZ3" i="3"/>
  <c r="G28" i="3"/>
  <c r="AS65" i="3"/>
  <c r="BA3" i="3"/>
  <c r="I28" i="3"/>
  <c r="D66" i="3"/>
  <c r="BB3" i="3"/>
  <c r="AM35" i="3"/>
  <c r="O36" i="18" s="1"/>
  <c r="BC3" i="3"/>
  <c r="BS3" i="3" s="1"/>
  <c r="L28" i="3"/>
  <c r="M55" i="3"/>
  <c r="BO20" i="3"/>
  <c r="N55" i="3"/>
  <c r="A21" i="3"/>
  <c r="AK55" i="3"/>
  <c r="BC21" i="3"/>
  <c r="BS21" i="3" s="1"/>
  <c r="B10" i="3"/>
  <c r="CB10" i="3" s="1"/>
  <c r="S48" i="3"/>
  <c r="F62" i="6" s="1"/>
  <c r="P38" i="3"/>
  <c r="BO12" i="3"/>
  <c r="AZ43" i="3"/>
  <c r="H13" i="3"/>
  <c r="BA43" i="3"/>
  <c r="BL20" i="3"/>
  <c r="BK54" i="3"/>
  <c r="BZ54" i="3" s="1"/>
  <c r="AK14" i="3"/>
  <c r="C55" i="3"/>
  <c r="BB8" i="3"/>
  <c r="BE37" i="3"/>
  <c r="I4" i="3"/>
  <c r="M28" i="3"/>
  <c r="BE8" i="3"/>
  <c r="G38" i="3"/>
  <c r="BH8" i="3"/>
  <c r="M38" i="3"/>
  <c r="U23" i="3"/>
  <c r="H37" i="6" s="1"/>
  <c r="AK57" i="3"/>
  <c r="AP10" i="3"/>
  <c r="R11" i="18" s="1"/>
  <c r="AY30" i="3"/>
  <c r="AH5" i="3"/>
  <c r="U19" i="6" s="1"/>
  <c r="W23" i="3"/>
  <c r="J37" i="6" s="1"/>
  <c r="U48" i="3"/>
  <c r="H62" i="6" s="1"/>
  <c r="AR10" i="3"/>
  <c r="BI30" i="3"/>
  <c r="AV58" i="3"/>
  <c r="M2" i="3"/>
  <c r="BG16" i="3"/>
  <c r="W51" i="3"/>
  <c r="J65" i="6" s="1"/>
  <c r="BB6" i="3"/>
  <c r="AO25" i="3"/>
  <c r="Q26" i="18" s="1"/>
  <c r="BB61" i="3"/>
  <c r="V12" i="3"/>
  <c r="I26" i="6" s="1"/>
  <c r="BA42" i="3"/>
  <c r="S2" i="3"/>
  <c r="F16" i="6" s="1"/>
  <c r="BM6" i="3"/>
  <c r="W12" i="3"/>
  <c r="J26" i="6" s="1"/>
  <c r="AA18" i="3"/>
  <c r="AS25" i="3"/>
  <c r="BI32" i="3"/>
  <c r="BB42" i="3"/>
  <c r="Z51" i="3"/>
  <c r="BI61" i="3"/>
  <c r="AY3" i="3"/>
  <c r="R27" i="3"/>
  <c r="E41" i="6" s="1"/>
  <c r="AD65" i="3"/>
  <c r="Q79" i="6" s="1"/>
  <c r="R19" i="3"/>
  <c r="E33" i="6" s="1"/>
  <c r="AY54" i="3"/>
  <c r="AE8" i="3"/>
  <c r="R22" i="6" s="1"/>
  <c r="AL35" i="3"/>
  <c r="J28" i="3"/>
  <c r="E66" i="3"/>
  <c r="AL14" i="3"/>
  <c r="BQ14" i="3" s="1"/>
  <c r="P15" i="17" s="1"/>
  <c r="BE45" i="3"/>
  <c r="BC8" i="3"/>
  <c r="BS8" i="3" s="1"/>
  <c r="BF37" i="3"/>
  <c r="AS14" i="3"/>
  <c r="BH45" i="3"/>
  <c r="A5" i="3"/>
  <c r="BE29" i="3"/>
  <c r="AW14" i="3"/>
  <c r="Z28" i="6" s="1"/>
  <c r="N38" i="3"/>
  <c r="AL16" i="3"/>
  <c r="BQ16" i="3" s="1"/>
  <c r="T48" i="3"/>
  <c r="G62" i="6" s="1"/>
  <c r="AN16" i="3"/>
  <c r="P17" i="18" s="1"/>
  <c r="BG39" i="3"/>
  <c r="AK5" i="3"/>
  <c r="AR16" i="3"/>
  <c r="AS40" i="3"/>
  <c r="BA10" i="3"/>
  <c r="AN25" i="3"/>
  <c r="P26" i="18" s="1"/>
  <c r="BA61" i="3"/>
  <c r="U12" i="3"/>
  <c r="H26" i="6" s="1"/>
  <c r="BE40" i="3"/>
  <c r="P2" i="3"/>
  <c r="AP25" i="3"/>
  <c r="R26" i="18" s="1"/>
  <c r="Y51" i="3"/>
  <c r="BD2" i="3"/>
  <c r="BT2" i="3" s="1"/>
  <c r="BN6" i="3"/>
  <c r="X12" i="3"/>
  <c r="K26" i="6" s="1"/>
  <c r="B19" i="3"/>
  <c r="CB19" i="3" s="1"/>
  <c r="BG25" i="3"/>
  <c r="K35" i="3"/>
  <c r="BC42" i="3"/>
  <c r="BS42" i="3" s="1"/>
  <c r="AB51" i="3"/>
  <c r="O65" i="6" s="1"/>
  <c r="I63" i="3"/>
  <c r="Q19" i="3"/>
  <c r="BK53" i="3"/>
  <c r="BZ53" i="3" s="1"/>
  <c r="AB8" i="3"/>
  <c r="O22" i="6" s="1"/>
  <c r="AK35" i="3"/>
  <c r="S14" i="3"/>
  <c r="F28" i="6" s="1"/>
  <c r="AJ45" i="3"/>
  <c r="AF8" i="3"/>
  <c r="S22" i="6" s="1"/>
  <c r="AN45" i="3"/>
  <c r="P46" i="18" s="1"/>
  <c r="BN20" i="3"/>
  <c r="J66" i="3"/>
  <c r="AQ14" i="3"/>
  <c r="BF45" i="3"/>
  <c r="K4" i="3"/>
  <c r="BD29" i="3"/>
  <c r="AC43" i="6" s="1"/>
  <c r="AT14" i="3"/>
  <c r="AT46" i="3"/>
  <c r="AF5" i="3"/>
  <c r="S19" i="6" s="1"/>
  <c r="I30" i="3"/>
  <c r="V23" i="3"/>
  <c r="I37" i="6" s="1"/>
  <c r="AN57" i="3"/>
  <c r="P58" i="18" s="1"/>
  <c r="AQ10" i="3"/>
  <c r="BH30" i="3"/>
  <c r="AU58" i="3"/>
  <c r="N59" i="18" s="1"/>
  <c r="AE23" i="3"/>
  <c r="R37" i="6" s="1"/>
  <c r="V48" i="3"/>
  <c r="I62" i="6" s="1"/>
  <c r="AZ6" i="3"/>
  <c r="BR6" i="3" s="1"/>
  <c r="BE32" i="3"/>
  <c r="BC40" i="3"/>
  <c r="AB54" i="6" s="1"/>
  <c r="N2" i="3"/>
  <c r="L17" i="3"/>
  <c r="BF32" i="3"/>
  <c r="X51" i="3"/>
  <c r="K65" i="6" s="1"/>
  <c r="BL6" i="3"/>
  <c r="Y18" i="3"/>
  <c r="BH32" i="3"/>
  <c r="BE61" i="3"/>
  <c r="BE2" i="3"/>
  <c r="AF7" i="3"/>
  <c r="S21" i="6" s="1"/>
  <c r="Y12" i="3"/>
  <c r="D19" i="3"/>
  <c r="BO25" i="3"/>
  <c r="L35" i="3"/>
  <c r="AY43" i="3"/>
  <c r="AM51" i="3"/>
  <c r="O52" i="18" s="1"/>
  <c r="AA65" i="3"/>
  <c r="AA57" i="6"/>
  <c r="BR43" i="3"/>
  <c r="AA19" i="3"/>
  <c r="BD21" i="3"/>
  <c r="AC35" i="6" s="1"/>
  <c r="AP23" i="3"/>
  <c r="R24" i="18" s="1"/>
  <c r="R28" i="3"/>
  <c r="E42" i="6" s="1"/>
  <c r="BJ30" i="3"/>
  <c r="BB33" i="3"/>
  <c r="AN35" i="3"/>
  <c r="P36" i="18" s="1"/>
  <c r="G41" i="3"/>
  <c r="BB43" i="3"/>
  <c r="AU46" i="3"/>
  <c r="N47" i="18" s="1"/>
  <c r="AZ48" i="3"/>
  <c r="AA62" i="6" s="1"/>
  <c r="O55" i="3"/>
  <c r="BB58" i="3"/>
  <c r="K63" i="3"/>
  <c r="U66" i="3"/>
  <c r="H80" i="6" s="1"/>
  <c r="BF2" i="3"/>
  <c r="AY5" i="3"/>
  <c r="BK8" i="3"/>
  <c r="BZ8" i="3" s="1"/>
  <c r="BK10" i="3"/>
  <c r="BZ10" i="3" s="1"/>
  <c r="AX14" i="3"/>
  <c r="M17" i="3"/>
  <c r="BE21" i="3"/>
  <c r="S24" i="3"/>
  <c r="F38" i="6" s="1"/>
  <c r="N26" i="3"/>
  <c r="G31" i="3"/>
  <c r="BD33" i="3"/>
  <c r="AX35" i="3"/>
  <c r="H41" i="3"/>
  <c r="BD43" i="3"/>
  <c r="AV46" i="3"/>
  <c r="BO48" i="3"/>
  <c r="P55" i="3"/>
  <c r="BI58" i="3"/>
  <c r="L63" i="3"/>
  <c r="AP67" i="3"/>
  <c r="R68" i="18" s="1"/>
  <c r="AJ7" i="3"/>
  <c r="N8" i="17" s="1"/>
  <c r="BF21" i="3"/>
  <c r="AV38" i="3"/>
  <c r="BC67" i="3"/>
  <c r="BS67" i="3" s="1"/>
  <c r="X6" i="3"/>
  <c r="K20" i="6" s="1"/>
  <c r="AX11" i="3"/>
  <c r="AS15" i="3"/>
  <c r="D18" i="3"/>
  <c r="BL21" i="3"/>
  <c r="AM24" i="3"/>
  <c r="O25" i="18" s="1"/>
  <c r="H27" i="3"/>
  <c r="S29" i="3"/>
  <c r="F43" i="6" s="1"/>
  <c r="AN31" i="3"/>
  <c r="P32" i="18" s="1"/>
  <c r="BD36" i="3"/>
  <c r="AC50" i="6" s="1"/>
  <c r="AM39" i="3"/>
  <c r="O40" i="18" s="1"/>
  <c r="G42" i="3"/>
  <c r="O44" i="3"/>
  <c r="N47" i="3"/>
  <c r="J50" i="3"/>
  <c r="K53" i="3"/>
  <c r="AU56" i="3"/>
  <c r="N57" i="18" s="1"/>
  <c r="AJ59" i="3"/>
  <c r="AK63" i="3"/>
  <c r="B68" i="3"/>
  <c r="F3" i="3"/>
  <c r="BG4" i="3"/>
  <c r="Y6" i="3"/>
  <c r="AR7" i="3"/>
  <c r="AX9" i="3"/>
  <c r="AY11" i="3"/>
  <c r="T13" i="3"/>
  <c r="G27" i="6" s="1"/>
  <c r="AT15" i="3"/>
  <c r="E18" i="3"/>
  <c r="Y20" i="3"/>
  <c r="N22" i="3"/>
  <c r="AQ24" i="3"/>
  <c r="J27" i="3"/>
  <c r="AP29" i="3"/>
  <c r="R30" i="18" s="1"/>
  <c r="AQ31" i="3"/>
  <c r="F34" i="3"/>
  <c r="BE36" i="3"/>
  <c r="AX39" i="3"/>
  <c r="H42" i="3"/>
  <c r="BM44" i="3"/>
  <c r="O47" i="3"/>
  <c r="M48" i="15" s="1"/>
  <c r="K50" i="3"/>
  <c r="AH53" i="3"/>
  <c r="U67" i="6" s="1"/>
  <c r="AV56" i="3"/>
  <c r="AX60" i="3"/>
  <c r="C68" i="3"/>
  <c r="BO2" i="3"/>
  <c r="BA5" i="3"/>
  <c r="AM7" i="3"/>
  <c r="O8" i="18" s="1"/>
  <c r="AN9" i="3"/>
  <c r="P10" i="18" s="1"/>
  <c r="F11" i="3"/>
  <c r="AK15" i="3"/>
  <c r="U17" i="3"/>
  <c r="H31" i="6" s="1"/>
  <c r="AH19" i="3"/>
  <c r="U33" i="6" s="1"/>
  <c r="U24" i="3"/>
  <c r="H38" i="6" s="1"/>
  <c r="BN26" i="3"/>
  <c r="J31" i="3"/>
  <c r="AN36" i="3"/>
  <c r="P37" i="18" s="1"/>
  <c r="Q52" i="3"/>
  <c r="E3" i="3"/>
  <c r="AZ4" i="3"/>
  <c r="AA18" i="6" s="1"/>
  <c r="AW9" i="3"/>
  <c r="Z23" i="6" s="1"/>
  <c r="S13" i="3"/>
  <c r="F27" i="6" s="1"/>
  <c r="W20" i="3"/>
  <c r="J34" i="6" s="1"/>
  <c r="H3" i="3"/>
  <c r="BK4" i="3"/>
  <c r="BZ4" i="3" s="1"/>
  <c r="Z6" i="3"/>
  <c r="BB7" i="3"/>
  <c r="AY9" i="3"/>
  <c r="BO11" i="3"/>
  <c r="AT13" i="3"/>
  <c r="AU15" i="3"/>
  <c r="N16" i="18" s="1"/>
  <c r="K18" i="3"/>
  <c r="AK20" i="3"/>
  <c r="Z22" i="3"/>
  <c r="AR24" i="3"/>
  <c r="L27" i="3"/>
  <c r="AX29" i="3"/>
  <c r="M32" i="3"/>
  <c r="G34" i="3"/>
  <c r="BF36" i="3"/>
  <c r="AY39" i="3"/>
  <c r="I42" i="3"/>
  <c r="BN44" i="3"/>
  <c r="Q47" i="3"/>
  <c r="M50" i="3"/>
  <c r="AK53" i="3"/>
  <c r="AW56" i="3"/>
  <c r="AY60" i="3"/>
  <c r="BA63" i="3"/>
  <c r="F68" i="3"/>
  <c r="AL63" i="3"/>
  <c r="I3" i="3"/>
  <c r="BL4" i="3"/>
  <c r="AA6" i="3"/>
  <c r="BC7" i="3"/>
  <c r="AB21" i="6" s="1"/>
  <c r="AZ9" i="3"/>
  <c r="A12" i="3"/>
  <c r="AW13" i="3"/>
  <c r="Z27" i="6" s="1"/>
  <c r="BJ15" i="3"/>
  <c r="R18" i="3"/>
  <c r="E32" i="6" s="1"/>
  <c r="AS20" i="3"/>
  <c r="BG22" i="3"/>
  <c r="AS24" i="3"/>
  <c r="M27" i="3"/>
  <c r="AY29" i="3"/>
  <c r="O32" i="3"/>
  <c r="M33" i="15" s="1"/>
  <c r="H34" i="3"/>
  <c r="E37" i="3"/>
  <c r="AZ39" i="3"/>
  <c r="AA53" i="6" s="1"/>
  <c r="AG42" i="3"/>
  <c r="T56" i="6" s="1"/>
  <c r="E45" i="3"/>
  <c r="R47" i="3"/>
  <c r="E61" i="6" s="1"/>
  <c r="P50" i="3"/>
  <c r="AN53" i="3"/>
  <c r="P54" i="18" s="1"/>
  <c r="AX56" i="3"/>
  <c r="BA60" i="3"/>
  <c r="BA64" i="3"/>
  <c r="G68" i="3"/>
  <c r="A26" i="3"/>
  <c r="Q38" i="3"/>
  <c r="AN51" i="3"/>
  <c r="P52" i="18" s="1"/>
  <c r="L4" i="3"/>
  <c r="AH7" i="3"/>
  <c r="U21" i="6" s="1"/>
  <c r="I13" i="3"/>
  <c r="AB19" i="3"/>
  <c r="O33" i="6" s="1"/>
  <c r="S28" i="3"/>
  <c r="F42" i="6" s="1"/>
  <c r="AE38" i="3"/>
  <c r="R52" i="6" s="1"/>
  <c r="BE51" i="3"/>
  <c r="BH2" i="3"/>
  <c r="M4" i="3"/>
  <c r="AZ5" i="3"/>
  <c r="AA19" i="6" s="1"/>
  <c r="BM8" i="3"/>
  <c r="BM10" i="3"/>
  <c r="N13" i="3"/>
  <c r="AJ15" i="3"/>
  <c r="N17" i="3"/>
  <c r="AG19" i="3"/>
  <c r="T33" i="6" s="1"/>
  <c r="T24" i="3"/>
  <c r="G38" i="6" s="1"/>
  <c r="Q26" i="3"/>
  <c r="T28" i="3"/>
  <c r="G42" i="6" s="1"/>
  <c r="H31" i="3"/>
  <c r="BE33" i="3"/>
  <c r="AL36" i="3"/>
  <c r="BQ36" i="3" s="1"/>
  <c r="I41" i="3"/>
  <c r="BF43" i="3"/>
  <c r="BA46" i="3"/>
  <c r="AE49" i="3"/>
  <c r="R63" i="6" s="1"/>
  <c r="BN51" i="3"/>
  <c r="AF55" i="3"/>
  <c r="S69" i="6" s="1"/>
  <c r="BM58" i="3"/>
  <c r="M63" i="3"/>
  <c r="AG4" i="3"/>
  <c r="T18" i="6" s="1"/>
  <c r="O13" i="3"/>
  <c r="BH21" i="3"/>
  <c r="AX28" i="3"/>
  <c r="BF33" i="3"/>
  <c r="AW38" i="3"/>
  <c r="Z52" i="6" s="1"/>
  <c r="J41" i="3"/>
  <c r="BG43" i="3"/>
  <c r="BB46" i="3"/>
  <c r="AF49" i="3"/>
  <c r="S63" i="6" s="1"/>
  <c r="AI55" i="3"/>
  <c r="BP55" i="3" s="1"/>
  <c r="BN58" i="3"/>
  <c r="N63" i="3"/>
  <c r="BD67" i="3"/>
  <c r="BT67" i="3" s="1"/>
  <c r="A3" i="3"/>
  <c r="AH4" i="3"/>
  <c r="U18" i="6" s="1"/>
  <c r="BC5" i="3"/>
  <c r="AN7" i="3"/>
  <c r="P8" i="18" s="1"/>
  <c r="AO9" i="3"/>
  <c r="Q10" i="18" s="1"/>
  <c r="G11" i="3"/>
  <c r="P13" i="3"/>
  <c r="AL15" i="3"/>
  <c r="BQ15" i="3" s="1"/>
  <c r="P16" i="17" s="1"/>
  <c r="V17" i="3"/>
  <c r="I31" i="6" s="1"/>
  <c r="BD19" i="3"/>
  <c r="AC33" i="6" s="1"/>
  <c r="BI21" i="3"/>
  <c r="V24" i="3"/>
  <c r="I38" i="6" s="1"/>
  <c r="A27" i="3"/>
  <c r="AZ28" i="3"/>
  <c r="BR28" i="3" s="1"/>
  <c r="O31" i="3"/>
  <c r="BG33" i="3"/>
  <c r="AU36" i="3"/>
  <c r="N37" i="18" s="1"/>
  <c r="D39" i="3"/>
  <c r="L41" i="3"/>
  <c r="BH43" i="3"/>
  <c r="BL46" i="3"/>
  <c r="BK49" i="3"/>
  <c r="BZ49" i="3" s="1"/>
  <c r="BJ52" i="3"/>
  <c r="AC59" i="3"/>
  <c r="P73" i="6" s="1"/>
  <c r="AC63" i="3"/>
  <c r="P77" i="6" s="1"/>
  <c r="BE67" i="3"/>
  <c r="C3" i="3"/>
  <c r="AW4" i="3"/>
  <c r="BO5" i="3"/>
  <c r="AO7" i="3"/>
  <c r="Q8" i="18" s="1"/>
  <c r="AS9" i="3"/>
  <c r="H11" i="3"/>
  <c r="Q13" i="3"/>
  <c r="AQ15" i="3"/>
  <c r="B18" i="3"/>
  <c r="BE19" i="3"/>
  <c r="BJ21" i="3"/>
  <c r="X24" i="3"/>
  <c r="K38" i="6" s="1"/>
  <c r="F27" i="3"/>
  <c r="BB28" i="3"/>
  <c r="R31" i="3"/>
  <c r="E45" i="6" s="1"/>
  <c r="BH33" i="3"/>
  <c r="AV36" i="3"/>
  <c r="N39" i="3"/>
  <c r="AI41" i="3"/>
  <c r="V55" i="6" s="1"/>
  <c r="BI43" i="3"/>
  <c r="BM46" i="3"/>
  <c r="F50" i="3"/>
  <c r="BK52" i="3"/>
  <c r="BZ52" i="3" s="1"/>
  <c r="AL55" i="3"/>
  <c r="BQ55" i="3" s="1"/>
  <c r="AD59" i="3"/>
  <c r="Q73" i="6" s="1"/>
  <c r="AI63" i="3"/>
  <c r="V77" i="6" s="1"/>
  <c r="BL67" i="3"/>
  <c r="D3" i="3"/>
  <c r="AY4" i="3"/>
  <c r="A6" i="3"/>
  <c r="AP7" i="3"/>
  <c r="R8" i="18" s="1"/>
  <c r="AU9" i="3"/>
  <c r="N10" i="18" s="1"/>
  <c r="Y11" i="3"/>
  <c r="R13" i="3"/>
  <c r="E27" i="6" s="1"/>
  <c r="AR15" i="3"/>
  <c r="C18" i="3"/>
  <c r="BF19" i="3"/>
  <c r="BK21" i="3"/>
  <c r="BZ21" i="3" s="1"/>
  <c r="AE24" i="3"/>
  <c r="R38" i="6" s="1"/>
  <c r="G27" i="3"/>
  <c r="R29" i="3"/>
  <c r="E43" i="6" s="1"/>
  <c r="S31" i="3"/>
  <c r="F45" i="6" s="1"/>
  <c r="BI33" i="3"/>
  <c r="BC36" i="3"/>
  <c r="AB50" i="6" s="1"/>
  <c r="AL39" i="3"/>
  <c r="Y53" i="6" s="1"/>
  <c r="F42" i="3"/>
  <c r="H44" i="3"/>
  <c r="BN46" i="3"/>
  <c r="I50" i="3"/>
  <c r="BL52" i="3"/>
  <c r="AT56" i="3"/>
  <c r="AG59" i="3"/>
  <c r="T73" i="6" s="1"/>
  <c r="AJ63" i="3"/>
  <c r="BM67" i="3"/>
  <c r="AQ7" i="3"/>
  <c r="BK33" i="3"/>
  <c r="BZ33" i="3" s="1"/>
  <c r="R12" i="3"/>
  <c r="E26" i="6" s="1"/>
  <c r="AZ29" i="3"/>
  <c r="AA43" i="6" s="1"/>
  <c r="F45" i="3"/>
  <c r="AQ53" i="3"/>
  <c r="BB60" i="3"/>
  <c r="Z68" i="3"/>
  <c r="BN68" i="3"/>
  <c r="BO67" i="3"/>
  <c r="BJ66" i="3"/>
  <c r="BF65" i="3"/>
  <c r="BB64" i="3"/>
  <c r="BG63" i="3"/>
  <c r="AZ62" i="3"/>
  <c r="BG61" i="3"/>
  <c r="BJ60" i="3"/>
  <c r="BB59" i="3"/>
  <c r="BK58" i="3"/>
  <c r="BZ58" i="3" s="1"/>
  <c r="BL57" i="3"/>
  <c r="C57" i="3"/>
  <c r="N56" i="3"/>
  <c r="Q55" i="3"/>
  <c r="V54" i="3"/>
  <c r="I68" i="6" s="1"/>
  <c r="AG53" i="3"/>
  <c r="T67" i="6" s="1"/>
  <c r="AN52" i="3"/>
  <c r="P53" i="18" s="1"/>
  <c r="AR51" i="3"/>
  <c r="BD50" i="3"/>
  <c r="C50" i="3"/>
  <c r="J49" i="3"/>
  <c r="Y48" i="3"/>
  <c r="AS47" i="3"/>
  <c r="BE46" i="3"/>
  <c r="G46" i="3"/>
  <c r="AC45" i="3"/>
  <c r="P59" i="6" s="1"/>
  <c r="AI44" i="3"/>
  <c r="V58" i="6" s="1"/>
  <c r="BC43" i="3"/>
  <c r="AB57" i="6" s="1"/>
  <c r="F43" i="3"/>
  <c r="Y42" i="3"/>
  <c r="AQ41" i="3"/>
  <c r="BN40" i="3"/>
  <c r="I40" i="3"/>
  <c r="AD39" i="3"/>
  <c r="Q53" i="6" s="1"/>
  <c r="BA38" i="3"/>
  <c r="BK37" i="3"/>
  <c r="BZ37" i="3" s="1"/>
  <c r="Q37" i="3"/>
  <c r="AM36" i="3"/>
  <c r="O37" i="18" s="1"/>
  <c r="BB35" i="3"/>
  <c r="I35" i="3"/>
  <c r="AE34" i="3"/>
  <c r="R48" i="6" s="1"/>
  <c r="AV33" i="3"/>
  <c r="BK32" i="3"/>
  <c r="BZ32" i="3" s="1"/>
  <c r="S32" i="3"/>
  <c r="F46" i="6" s="1"/>
  <c r="AF31" i="3"/>
  <c r="S45" i="6" s="1"/>
  <c r="BE30" i="3"/>
  <c r="J30" i="3"/>
  <c r="U29" i="3"/>
  <c r="H43" i="6" s="1"/>
  <c r="AY28" i="3"/>
  <c r="H28" i="3"/>
  <c r="T27" i="3"/>
  <c r="G41" i="6" s="1"/>
  <c r="AY26" i="3"/>
  <c r="H26" i="3"/>
  <c r="AD25" i="3"/>
  <c r="Q39" i="6" s="1"/>
  <c r="BB24" i="3"/>
  <c r="N24" i="3"/>
  <c r="AF23" i="3"/>
  <c r="S37" i="6" s="1"/>
  <c r="BE22" i="3"/>
  <c r="Q22" i="3"/>
  <c r="AI21" i="3"/>
  <c r="V35" i="6" s="1"/>
  <c r="BJ20" i="3"/>
  <c r="T20" i="3"/>
  <c r="G34" i="6" s="1"/>
  <c r="AN19" i="3"/>
  <c r="P20" i="18" s="1"/>
  <c r="BM18" i="3"/>
  <c r="X18" i="3"/>
  <c r="K32" i="6" s="1"/>
  <c r="AR17" i="3"/>
  <c r="B17" i="3"/>
  <c r="CB17" i="3" s="1"/>
  <c r="AB16" i="3"/>
  <c r="O30" i="6" s="1"/>
  <c r="AV15" i="3"/>
  <c r="N15" i="3"/>
  <c r="AO14" i="3"/>
  <c r="Q15" i="18" s="1"/>
  <c r="BJ13" i="3"/>
  <c r="U13" i="3"/>
  <c r="H27" i="6" s="1"/>
  <c r="AW12" i="3"/>
  <c r="C12" i="3"/>
  <c r="AE11" i="3"/>
  <c r="R25" i="6" s="1"/>
  <c r="BL10" i="3"/>
  <c r="S10" i="3"/>
  <c r="F24" i="6" s="1"/>
  <c r="BB68" i="3"/>
  <c r="BB67" i="3"/>
  <c r="AN66" i="3"/>
  <c r="P67" i="18" s="1"/>
  <c r="AK65" i="3"/>
  <c r="AE64" i="3"/>
  <c r="R78" i="6" s="1"/>
  <c r="P63" i="3"/>
  <c r="Z62" i="3"/>
  <c r="M61" i="3"/>
  <c r="P60" i="3"/>
  <c r="W59" i="3"/>
  <c r="J73" i="6" s="1"/>
  <c r="O58" i="3"/>
  <c r="M59" i="15" s="1"/>
  <c r="Q57" i="3"/>
  <c r="S56" i="3"/>
  <c r="F70" i="6" s="1"/>
  <c r="AB55" i="3"/>
  <c r="O69" i="6" s="1"/>
  <c r="AH54" i="3"/>
  <c r="U68" i="6" s="1"/>
  <c r="AF53" i="3"/>
  <c r="S67" i="6" s="1"/>
  <c r="AK52" i="3"/>
  <c r="AE51" i="3"/>
  <c r="R65" i="6" s="1"/>
  <c r="AU50" i="3"/>
  <c r="N51" i="18" s="1"/>
  <c r="AZ49" i="3"/>
  <c r="AA63" i="6" s="1"/>
  <c r="BN48" i="3"/>
  <c r="O48" i="3"/>
  <c r="T47" i="3"/>
  <c r="G61" i="6" s="1"/>
  <c r="AI46" i="3"/>
  <c r="V60" i="6" s="1"/>
  <c r="AS45" i="3"/>
  <c r="BJ44" i="3"/>
  <c r="N44" i="3"/>
  <c r="X43" i="3"/>
  <c r="K57" i="6" s="1"/>
  <c r="AJ42" i="3"/>
  <c r="N43" i="17" s="1"/>
  <c r="AW41" i="3"/>
  <c r="E41" i="3"/>
  <c r="X40" i="3"/>
  <c r="K54" i="6" s="1"/>
  <c r="AH39" i="3"/>
  <c r="U53" i="6" s="1"/>
  <c r="BB38" i="3"/>
  <c r="BJ37" i="3"/>
  <c r="O37" i="3"/>
  <c r="M38" i="15" s="1"/>
  <c r="AJ36" i="3"/>
  <c r="AV35" i="3"/>
  <c r="C35" i="3"/>
  <c r="L34" i="3"/>
  <c r="AD33" i="3"/>
  <c r="Q47" i="6" s="1"/>
  <c r="AY32" i="3"/>
  <c r="BG31" i="3"/>
  <c r="M31" i="3"/>
  <c r="AD30" i="3"/>
  <c r="Q44" i="6" s="1"/>
  <c r="AR29" i="3"/>
  <c r="BO28" i="3"/>
  <c r="P28" i="3"/>
  <c r="AL27" i="3"/>
  <c r="BQ27" i="3" s="1"/>
  <c r="P28" i="17" s="1"/>
  <c r="BC26" i="3"/>
  <c r="BS26" i="3" s="1"/>
  <c r="L26" i="3"/>
  <c r="AK25" i="3"/>
  <c r="BC24" i="3"/>
  <c r="AB38" i="6" s="1"/>
  <c r="M24" i="3"/>
  <c r="Y23" i="3"/>
  <c r="BA22" i="3"/>
  <c r="L22" i="3"/>
  <c r="Y21" i="3"/>
  <c r="AW20" i="3"/>
  <c r="Z34" i="6" s="1"/>
  <c r="B20" i="3"/>
  <c r="CB20" i="3" s="1"/>
  <c r="Z19" i="3"/>
  <c r="AX18" i="3"/>
  <c r="A18" i="3"/>
  <c r="X17" i="3"/>
  <c r="K31" i="6" s="1"/>
  <c r="AP16" i="3"/>
  <c r="R17" i="18" s="1"/>
  <c r="A16" i="3"/>
  <c r="AA15" i="3"/>
  <c r="AV14" i="3"/>
  <c r="F14" i="3"/>
  <c r="AB13" i="3"/>
  <c r="O27" i="6" s="1"/>
  <c r="AZ12" i="3"/>
  <c r="AA26" i="6" s="1"/>
  <c r="Q12" i="3"/>
  <c r="AD11" i="3"/>
  <c r="Q25" i="6" s="1"/>
  <c r="BI10" i="3"/>
  <c r="O10" i="3"/>
  <c r="AR9" i="3"/>
  <c r="G9" i="3"/>
  <c r="AD8" i="3"/>
  <c r="Q22" i="6" s="1"/>
  <c r="BK7" i="3"/>
  <c r="BZ7" i="3" s="1"/>
  <c r="AU68" i="3"/>
  <c r="N69" i="18" s="1"/>
  <c r="AW67" i="3"/>
  <c r="Z81" i="6" s="1"/>
  <c r="AK66" i="3"/>
  <c r="AI65" i="3"/>
  <c r="S64" i="3"/>
  <c r="F78" i="6" s="1"/>
  <c r="O63" i="3"/>
  <c r="W62" i="3"/>
  <c r="J76" i="6" s="1"/>
  <c r="L61" i="3"/>
  <c r="L60" i="3"/>
  <c r="B59" i="3"/>
  <c r="CB59" i="3" s="1"/>
  <c r="N58" i="3"/>
  <c r="P57" i="3"/>
  <c r="Q56" i="3"/>
  <c r="T55" i="3"/>
  <c r="G69" i="6" s="1"/>
  <c r="S54" i="3"/>
  <c r="F68" i="6" s="1"/>
  <c r="Z53" i="3"/>
  <c r="AH52" i="3"/>
  <c r="U66" i="6" s="1"/>
  <c r="AD51" i="3"/>
  <c r="Q65" i="6" s="1"/>
  <c r="AR50" i="3"/>
  <c r="AW49" i="3"/>
  <c r="Z63" i="6" s="1"/>
  <c r="BL48" i="3"/>
  <c r="M48" i="3"/>
  <c r="S47" i="3"/>
  <c r="F61" i="6" s="1"/>
  <c r="AG46" i="3"/>
  <c r="T60" i="6" s="1"/>
  <c r="AR45" i="3"/>
  <c r="BH44" i="3"/>
  <c r="K44" i="3"/>
  <c r="W43" i="3"/>
  <c r="J57" i="6" s="1"/>
  <c r="AI42" i="3"/>
  <c r="AV41" i="3"/>
  <c r="B41" i="3"/>
  <c r="CB41" i="3" s="1"/>
  <c r="W40" i="3"/>
  <c r="J54" i="6" s="1"/>
  <c r="AE39" i="3"/>
  <c r="R53" i="6" s="1"/>
  <c r="AY38" i="3"/>
  <c r="BH37" i="3"/>
  <c r="L37" i="3"/>
  <c r="AH36" i="3"/>
  <c r="U50" i="6" s="1"/>
  <c r="AO35" i="3"/>
  <c r="Q36" i="18" s="1"/>
  <c r="B35" i="3"/>
  <c r="CB35" i="3" s="1"/>
  <c r="K34" i="3"/>
  <c r="AC33" i="3"/>
  <c r="P47" i="6" s="1"/>
  <c r="AX32" i="3"/>
  <c r="BF31" i="3"/>
  <c r="L31" i="3"/>
  <c r="AC30" i="3"/>
  <c r="P44" i="6" s="1"/>
  <c r="AQ29" i="3"/>
  <c r="BN28" i="3"/>
  <c r="N28" i="3"/>
  <c r="AK27" i="3"/>
  <c r="BB26" i="3"/>
  <c r="J26" i="3"/>
  <c r="AJ25" i="3"/>
  <c r="BA24" i="3"/>
  <c r="L24" i="3"/>
  <c r="X23" i="3"/>
  <c r="K37" i="6" s="1"/>
  <c r="AV22" i="3"/>
  <c r="BM21" i="3"/>
  <c r="X21" i="3"/>
  <c r="K35" i="6" s="1"/>
  <c r="AV20" i="3"/>
  <c r="A20" i="3"/>
  <c r="W19" i="3"/>
  <c r="J33" i="6" s="1"/>
  <c r="AO18" i="3"/>
  <c r="Q19" i="18" s="1"/>
  <c r="BO17" i="3"/>
  <c r="W17" i="3"/>
  <c r="J31" i="6" s="1"/>
  <c r="AO16" i="3"/>
  <c r="Q17" i="18" s="1"/>
  <c r="BO15" i="3"/>
  <c r="T15" i="3"/>
  <c r="G29" i="6" s="1"/>
  <c r="AU14" i="3"/>
  <c r="N15" i="18" s="1"/>
  <c r="E14" i="3"/>
  <c r="Y13" i="3"/>
  <c r="AX12" i="3"/>
  <c r="B12" i="3"/>
  <c r="AC11" i="3"/>
  <c r="P25" i="6" s="1"/>
  <c r="BB10" i="3"/>
  <c r="L10" i="3"/>
  <c r="AQ9" i="3"/>
  <c r="F9" i="3"/>
  <c r="AC8" i="3"/>
  <c r="P22" i="6" s="1"/>
  <c r="BJ7" i="3"/>
  <c r="X7" i="3"/>
  <c r="K21" i="6" s="1"/>
  <c r="AW6" i="3"/>
  <c r="Z20" i="6" s="1"/>
  <c r="AS68" i="3"/>
  <c r="Z67" i="3"/>
  <c r="T66" i="3"/>
  <c r="G80" i="6" s="1"/>
  <c r="C65" i="3"/>
  <c r="BH63" i="3"/>
  <c r="AR62" i="3"/>
  <c r="AW61" i="3"/>
  <c r="AB60" i="3"/>
  <c r="O74" i="6" s="1"/>
  <c r="AB59" i="3"/>
  <c r="O73" i="6" s="1"/>
  <c r="M58" i="3"/>
  <c r="BG56" i="3"/>
  <c r="D56" i="3"/>
  <c r="BI54" i="3"/>
  <c r="BO53" i="3"/>
  <c r="BI52" i="3"/>
  <c r="BM51" i="3"/>
  <c r="BE50" i="3"/>
  <c r="BH49" i="3"/>
  <c r="BK48" i="3"/>
  <c r="BZ48" i="3" s="1"/>
  <c r="BI47" i="3"/>
  <c r="M47" i="3"/>
  <c r="O46" i="3"/>
  <c r="AB45" i="3"/>
  <c r="O59" i="6" s="1"/>
  <c r="AB44" i="3"/>
  <c r="O58" i="6" s="1"/>
  <c r="AM43" i="3"/>
  <c r="O44" i="18" s="1"/>
  <c r="AT42" i="3"/>
  <c r="BO41" i="3"/>
  <c r="A41" i="3"/>
  <c r="F40" i="3"/>
  <c r="V39" i="3"/>
  <c r="I53" i="6" s="1"/>
  <c r="AB38" i="3"/>
  <c r="O52" i="6" s="1"/>
  <c r="AT37" i="3"/>
  <c r="BB36" i="3"/>
  <c r="C36" i="3"/>
  <c r="H35" i="3"/>
  <c r="S34" i="3"/>
  <c r="F48" i="6" s="1"/>
  <c r="AB33" i="3"/>
  <c r="O47" i="6" s="1"/>
  <c r="AG32" i="3"/>
  <c r="T46" i="6" s="1"/>
  <c r="BA31" i="3"/>
  <c r="BG30" i="3"/>
  <c r="G30" i="3"/>
  <c r="P29" i="3"/>
  <c r="AJ28" i="3"/>
  <c r="N29" i="17" s="1"/>
  <c r="AR27" i="3"/>
  <c r="BL26" i="3"/>
  <c r="I26" i="3"/>
  <c r="S25" i="3"/>
  <c r="F39" i="6" s="1"/>
  <c r="AP24" i="3"/>
  <c r="R25" i="18" s="1"/>
  <c r="BF23" i="3"/>
  <c r="L23" i="3"/>
  <c r="V22" i="3"/>
  <c r="I36" i="6" s="1"/>
  <c r="AT21" i="3"/>
  <c r="BH20" i="3"/>
  <c r="D20" i="3"/>
  <c r="V19" i="3"/>
  <c r="I33" i="6" s="1"/>
  <c r="AL18" i="3"/>
  <c r="BF17" i="3"/>
  <c r="D17" i="3"/>
  <c r="X16" i="3"/>
  <c r="K30" i="6" s="1"/>
  <c r="AP15" i="3"/>
  <c r="R16" i="18" s="1"/>
  <c r="BL14" i="3"/>
  <c r="P14" i="3"/>
  <c r="AD13" i="3"/>
  <c r="Q27" i="6" s="1"/>
  <c r="AV12" i="3"/>
  <c r="BN11" i="3"/>
  <c r="X11" i="3"/>
  <c r="K25" i="6" s="1"/>
  <c r="AO10" i="3"/>
  <c r="Q11" i="18" s="1"/>
  <c r="BN9" i="3"/>
  <c r="S9" i="3"/>
  <c r="F23" i="6" s="1"/>
  <c r="AV8" i="3"/>
  <c r="BO7" i="3"/>
  <c r="AD7" i="3"/>
  <c r="Q21" i="6" s="1"/>
  <c r="AY6" i="3"/>
  <c r="S6" i="3"/>
  <c r="F20" i="6" s="1"/>
  <c r="AW5" i="3"/>
  <c r="H5" i="3"/>
  <c r="AP4" i="3"/>
  <c r="R5" i="18" s="1"/>
  <c r="F4" i="3"/>
  <c r="AE3" i="3"/>
  <c r="R17" i="6" s="1"/>
  <c r="BN2" i="3"/>
  <c r="AE2" i="3"/>
  <c r="R16" i="6" s="1"/>
  <c r="BF30" i="3"/>
  <c r="AQ68" i="3"/>
  <c r="Y67" i="3"/>
  <c r="S66" i="3"/>
  <c r="F80" i="6" s="1"/>
  <c r="BO64" i="3"/>
  <c r="BD63" i="3"/>
  <c r="AC77" i="6" s="1"/>
  <c r="AQ62" i="3"/>
  <c r="AM61" i="3"/>
  <c r="O62" i="18" s="1"/>
  <c r="U60" i="3"/>
  <c r="H74" i="6" s="1"/>
  <c r="Y59" i="3"/>
  <c r="I58" i="3"/>
  <c r="BD56" i="3"/>
  <c r="AC70" i="6" s="1"/>
  <c r="C56" i="3"/>
  <c r="BH54" i="3"/>
  <c r="BM53" i="3"/>
  <c r="BG52" i="3"/>
  <c r="BL51" i="3"/>
  <c r="BC50" i="3"/>
  <c r="AB64" i="6" s="1"/>
  <c r="BG49" i="3"/>
  <c r="BE48" i="3"/>
  <c r="BG47" i="3"/>
  <c r="L47" i="3"/>
  <c r="L46" i="3"/>
  <c r="V45" i="3"/>
  <c r="I59" i="6" s="1"/>
  <c r="AA44" i="3"/>
  <c r="AJ43" i="3"/>
  <c r="N44" i="17" s="1"/>
  <c r="AS42" i="3"/>
  <c r="BM41" i="3"/>
  <c r="BO40" i="3"/>
  <c r="E40" i="3"/>
  <c r="Q39" i="3"/>
  <c r="AA38" i="3"/>
  <c r="AL37" i="3"/>
  <c r="BQ37" i="3" s="1"/>
  <c r="AY36" i="3"/>
  <c r="B36" i="3"/>
  <c r="CB36" i="3" s="1"/>
  <c r="G35" i="3"/>
  <c r="M34" i="3"/>
  <c r="Z33" i="3"/>
  <c r="AF32" i="3"/>
  <c r="S46" i="6" s="1"/>
  <c r="AZ31" i="3"/>
  <c r="AA45" i="6" s="1"/>
  <c r="F30" i="3"/>
  <c r="N29" i="3"/>
  <c r="AG28" i="3"/>
  <c r="T42" i="6" s="1"/>
  <c r="AQ27" i="3"/>
  <c r="BE26" i="3"/>
  <c r="G26" i="3"/>
  <c r="Q25" i="3"/>
  <c r="AO24" i="3"/>
  <c r="Q25" i="18" s="1"/>
  <c r="BD23" i="3"/>
  <c r="AC37" i="6" s="1"/>
  <c r="K23" i="3"/>
  <c r="U22" i="3"/>
  <c r="H36" i="6" s="1"/>
  <c r="AS21" i="3"/>
  <c r="BG20" i="3"/>
  <c r="C20" i="3"/>
  <c r="T19" i="3"/>
  <c r="G33" i="6" s="1"/>
  <c r="AK18" i="3"/>
  <c r="BE17" i="3"/>
  <c r="BO16" i="3"/>
  <c r="W16" i="3"/>
  <c r="J30" i="6" s="1"/>
  <c r="AO15" i="3"/>
  <c r="Q16" i="18" s="1"/>
  <c r="BE14" i="3"/>
  <c r="N14" i="3"/>
  <c r="AC13" i="3"/>
  <c r="P27" i="6" s="1"/>
  <c r="AU12" i="3"/>
  <c r="N13" i="18" s="1"/>
  <c r="BM11" i="3"/>
  <c r="W11" i="3"/>
  <c r="J25" i="6" s="1"/>
  <c r="AN10" i="3"/>
  <c r="P11" i="18" s="1"/>
  <c r="BM9" i="3"/>
  <c r="R9" i="3"/>
  <c r="E23" i="6" s="1"/>
  <c r="AU8" i="3"/>
  <c r="N9" i="18" s="1"/>
  <c r="BN7" i="3"/>
  <c r="AX6" i="3"/>
  <c r="R6" i="3"/>
  <c r="E20" i="6" s="1"/>
  <c r="AV5" i="3"/>
  <c r="G5" i="3"/>
  <c r="AO4" i="3"/>
  <c r="Q5" i="18" s="1"/>
  <c r="E4" i="3"/>
  <c r="AD3" i="3"/>
  <c r="Q17" i="6" s="1"/>
  <c r="BM2" i="3"/>
  <c r="AD2" i="3"/>
  <c r="Q16" i="6" s="1"/>
  <c r="AP68" i="3"/>
  <c r="R69" i="18" s="1"/>
  <c r="V67" i="3"/>
  <c r="I81" i="6" s="1"/>
  <c r="R66" i="3"/>
  <c r="E80" i="6" s="1"/>
  <c r="BF64" i="3"/>
  <c r="BC63" i="3"/>
  <c r="BS63" i="3" s="1"/>
  <c r="AO62" i="3"/>
  <c r="Q63" i="18" s="1"/>
  <c r="AI61" i="3"/>
  <c r="V75" i="6" s="1"/>
  <c r="R60" i="3"/>
  <c r="E74" i="6" s="1"/>
  <c r="A59" i="3"/>
  <c r="BM57" i="3"/>
  <c r="BB56" i="3"/>
  <c r="B56" i="3"/>
  <c r="BD54" i="3"/>
  <c r="BL53" i="3"/>
  <c r="BE52" i="3"/>
  <c r="BF51" i="3"/>
  <c r="BB50" i="3"/>
  <c r="AV49" i="3"/>
  <c r="BC48" i="3"/>
  <c r="AB62" i="6" s="1"/>
  <c r="BF47" i="3"/>
  <c r="B47" i="3"/>
  <c r="CB47" i="3" s="1"/>
  <c r="J46" i="3"/>
  <c r="T45" i="3"/>
  <c r="G59" i="6" s="1"/>
  <c r="Z44" i="3"/>
  <c r="AH43" i="3"/>
  <c r="U57" i="6" s="1"/>
  <c r="AQ42" i="3"/>
  <c r="AU41" i="3"/>
  <c r="N42" i="18" s="1"/>
  <c r="BI40" i="3"/>
  <c r="D40" i="3"/>
  <c r="P39" i="3"/>
  <c r="Z38" i="3"/>
  <c r="AK37" i="3"/>
  <c r="AW36" i="3"/>
  <c r="Z50" i="6" s="1"/>
  <c r="BK35" i="3"/>
  <c r="BZ35" i="3" s="1"/>
  <c r="F35" i="3"/>
  <c r="J34" i="3"/>
  <c r="Y33" i="3"/>
  <c r="AE32" i="3"/>
  <c r="R46" i="6" s="1"/>
  <c r="AW31" i="3"/>
  <c r="Z45" i="6" s="1"/>
  <c r="BB30" i="3"/>
  <c r="E30" i="3"/>
  <c r="M29" i="3"/>
  <c r="U28" i="3"/>
  <c r="H42" i="6" s="1"/>
  <c r="AP27" i="3"/>
  <c r="R28" i="18" s="1"/>
  <c r="BA26" i="3"/>
  <c r="B26" i="3"/>
  <c r="CB26" i="3" s="1"/>
  <c r="P25" i="3"/>
  <c r="AN24" i="3"/>
  <c r="BC23" i="3"/>
  <c r="AB37" i="6" s="1"/>
  <c r="J23" i="3"/>
  <c r="T22" i="3"/>
  <c r="G36" i="6" s="1"/>
  <c r="AH21" i="3"/>
  <c r="U35" i="6" s="1"/>
  <c r="BE20" i="3"/>
  <c r="BL19" i="3"/>
  <c r="S19" i="3"/>
  <c r="F33" i="6" s="1"/>
  <c r="AJ18" i="3"/>
  <c r="N19" i="17" s="1"/>
  <c r="BD17" i="3"/>
  <c r="BT17" i="3" s="1"/>
  <c r="BM16" i="3"/>
  <c r="N16" i="3"/>
  <c r="AM15" i="3"/>
  <c r="O16" i="18" s="1"/>
  <c r="AZ14" i="3"/>
  <c r="AA28" i="6" s="1"/>
  <c r="H14" i="3"/>
  <c r="W13" i="3"/>
  <c r="J27" i="6" s="1"/>
  <c r="AT12" i="3"/>
  <c r="BL11" i="3"/>
  <c r="T11" i="3"/>
  <c r="G25" i="6" s="1"/>
  <c r="AM10" i="3"/>
  <c r="O11" i="18" s="1"/>
  <c r="BB9" i="3"/>
  <c r="Q9" i="3"/>
  <c r="AS8" i="3"/>
  <c r="BM7" i="3"/>
  <c r="Z7" i="3"/>
  <c r="AV6" i="3"/>
  <c r="L6" i="3"/>
  <c r="AO5" i="3"/>
  <c r="Q6" i="18" s="1"/>
  <c r="F5" i="3"/>
  <c r="AK4" i="3"/>
  <c r="BN3" i="3"/>
  <c r="AC3" i="3"/>
  <c r="P17" i="6" s="1"/>
  <c r="BK2" i="3"/>
  <c r="BZ2" i="3" s="1"/>
  <c r="U2" i="3"/>
  <c r="H16" i="6" s="1"/>
  <c r="K66" i="3"/>
  <c r="BB63" i="3"/>
  <c r="AH61" i="3"/>
  <c r="U75" i="6" s="1"/>
  <c r="BO58" i="3"/>
  <c r="BK57" i="3"/>
  <c r="BZ57" i="3" s="1"/>
  <c r="BA56" i="3"/>
  <c r="BJ55" i="3"/>
  <c r="BA54" i="3"/>
  <c r="AM68" i="3"/>
  <c r="U67" i="3"/>
  <c r="H81" i="6" s="1"/>
  <c r="BD64" i="3"/>
  <c r="BT64" i="3" s="1"/>
  <c r="Q60" i="3"/>
  <c r="BI68" i="3"/>
  <c r="Q67" i="3"/>
  <c r="AR65" i="3"/>
  <c r="R64" i="3"/>
  <c r="E78" i="6" s="1"/>
  <c r="G63" i="3"/>
  <c r="AX61" i="3"/>
  <c r="H60" i="3"/>
  <c r="AT58" i="3"/>
  <c r="Z57" i="3"/>
  <c r="E56" i="3"/>
  <c r="AU54" i="3"/>
  <c r="N55" i="18" s="1"/>
  <c r="Y53" i="3"/>
  <c r="M52" i="3"/>
  <c r="BL50" i="3"/>
  <c r="BJ49" i="3"/>
  <c r="AW48" i="3"/>
  <c r="Z62" i="6" s="1"/>
  <c r="AT47" i="3"/>
  <c r="AS46" i="3"/>
  <c r="AI45" i="3"/>
  <c r="V59" i="6" s="1"/>
  <c r="AH44" i="3"/>
  <c r="U58" i="6" s="1"/>
  <c r="AB43" i="3"/>
  <c r="O57" i="6" s="1"/>
  <c r="AF42" i="3"/>
  <c r="S56" i="6" s="1"/>
  <c r="AH41" i="3"/>
  <c r="U55" i="6" s="1"/>
  <c r="AH40" i="3"/>
  <c r="U54" i="6" s="1"/>
  <c r="AK39" i="3"/>
  <c r="AD38" i="3"/>
  <c r="Q52" i="6" s="1"/>
  <c r="AD37" i="3"/>
  <c r="Q51" i="6" s="1"/>
  <c r="AK36" i="3"/>
  <c r="AJ35" i="3"/>
  <c r="AL34" i="3"/>
  <c r="BQ34" i="3" s="1"/>
  <c r="AL33" i="3"/>
  <c r="BQ33" i="3" s="1"/>
  <c r="AI32" i="3"/>
  <c r="V46" i="6" s="1"/>
  <c r="AE31" i="3"/>
  <c r="R45" i="6" s="1"/>
  <c r="AM30" i="3"/>
  <c r="O31" i="18" s="1"/>
  <c r="AO29" i="3"/>
  <c r="Q30" i="18" s="1"/>
  <c r="AS28" i="3"/>
  <c r="AZ27" i="3"/>
  <c r="BR27" i="3" s="1"/>
  <c r="AZ26" i="3"/>
  <c r="AA40" i="6" s="1"/>
  <c r="BF25" i="3"/>
  <c r="I25" i="3"/>
  <c r="P24" i="3"/>
  <c r="S23" i="3"/>
  <c r="F37" i="6" s="1"/>
  <c r="Y22" i="3"/>
  <c r="AF21" i="3"/>
  <c r="S35" i="6" s="1"/>
  <c r="AJ20" i="3"/>
  <c r="N21" i="17" s="1"/>
  <c r="AX19" i="3"/>
  <c r="BI18" i="3"/>
  <c r="BN17" i="3"/>
  <c r="F17" i="3"/>
  <c r="G16" i="3"/>
  <c r="R15" i="3"/>
  <c r="E29" i="6" s="1"/>
  <c r="AJ14" i="3"/>
  <c r="AS13" i="3"/>
  <c r="BH12" i="3"/>
  <c r="BK11" i="3"/>
  <c r="BZ11" i="3" s="1"/>
  <c r="E11" i="3"/>
  <c r="Y10" i="3"/>
  <c r="AM9" i="3"/>
  <c r="O10" i="18" s="1"/>
  <c r="BA8" i="3"/>
  <c r="C8" i="3"/>
  <c r="Q7" i="3"/>
  <c r="AR6" i="3"/>
  <c r="BN5" i="3"/>
  <c r="Z5" i="3"/>
  <c r="AV4" i="3"/>
  <c r="H4" i="3"/>
  <c r="AA3" i="3"/>
  <c r="AX2" i="3"/>
  <c r="J2" i="3"/>
  <c r="AN65" i="3"/>
  <c r="P66" i="18" s="1"/>
  <c r="V14" i="3"/>
  <c r="I28" i="6" s="1"/>
  <c r="AH68" i="3"/>
  <c r="U82" i="6" s="1"/>
  <c r="AK62" i="3"/>
  <c r="AN59" i="3"/>
  <c r="P60" i="18" s="1"/>
  <c r="BH68" i="3"/>
  <c r="P67" i="3"/>
  <c r="AQ65" i="3"/>
  <c r="P64" i="3"/>
  <c r="F63" i="3"/>
  <c r="V61" i="3"/>
  <c r="I75" i="6" s="1"/>
  <c r="G60" i="3"/>
  <c r="AP58" i="3"/>
  <c r="R59" i="18" s="1"/>
  <c r="Y57" i="3"/>
  <c r="BF55" i="3"/>
  <c r="AT54" i="3"/>
  <c r="X53" i="3"/>
  <c r="K67" i="6" s="1"/>
  <c r="D52" i="3"/>
  <c r="BK50" i="3"/>
  <c r="BZ50" i="3" s="1"/>
  <c r="AT49" i="3"/>
  <c r="AV48" i="3"/>
  <c r="AR47" i="3"/>
  <c r="AR46" i="3"/>
  <c r="AH45" i="3"/>
  <c r="U59" i="6" s="1"/>
  <c r="AG44" i="3"/>
  <c r="T58" i="6" s="1"/>
  <c r="AA43" i="3"/>
  <c r="AE42" i="3"/>
  <c r="R56" i="6" s="1"/>
  <c r="AF41" i="3"/>
  <c r="S55" i="6" s="1"/>
  <c r="AG40" i="3"/>
  <c r="T54" i="6" s="1"/>
  <c r="AB39" i="3"/>
  <c r="O53" i="6" s="1"/>
  <c r="AC38" i="3"/>
  <c r="P52" i="6" s="1"/>
  <c r="AC37" i="3"/>
  <c r="P51" i="6" s="1"/>
  <c r="AA36" i="3"/>
  <c r="AI35" i="3"/>
  <c r="V49" i="6" s="1"/>
  <c r="AK34" i="3"/>
  <c r="AI33" i="3"/>
  <c r="V47" i="6" s="1"/>
  <c r="AD32" i="3"/>
  <c r="Q46" i="6" s="1"/>
  <c r="AD31" i="3"/>
  <c r="Q45" i="6" s="1"/>
  <c r="AL30" i="3"/>
  <c r="BQ30" i="3" s="1"/>
  <c r="P31" i="17" s="1"/>
  <c r="AN29" i="3"/>
  <c r="P30" i="18" s="1"/>
  <c r="AQ28" i="3"/>
  <c r="AY27" i="3"/>
  <c r="AT26" i="3"/>
  <c r="BE25" i="3"/>
  <c r="H25" i="3"/>
  <c r="O24" i="3"/>
  <c r="M25" i="15" s="1"/>
  <c r="P23" i="3"/>
  <c r="W22" i="3"/>
  <c r="J36" i="6" s="1"/>
  <c r="Z21" i="3"/>
  <c r="AI20" i="3"/>
  <c r="BP20" i="3" s="1"/>
  <c r="AW19" i="3"/>
  <c r="Z33" i="6" s="1"/>
  <c r="BG18" i="3"/>
  <c r="BL17" i="3"/>
  <c r="BL16" i="3"/>
  <c r="E16" i="3"/>
  <c r="Q15" i="3"/>
  <c r="AI14" i="3"/>
  <c r="V28" i="6" s="1"/>
  <c r="AR13" i="3"/>
  <c r="BG12" i="3"/>
  <c r="BJ11" i="3"/>
  <c r="D11" i="3"/>
  <c r="R10" i="3"/>
  <c r="E24" i="6" s="1"/>
  <c r="AL9" i="3"/>
  <c r="AZ8" i="3"/>
  <c r="A8" i="3"/>
  <c r="N7" i="3"/>
  <c r="AQ6" i="3"/>
  <c r="BM5" i="3"/>
  <c r="Y5" i="3"/>
  <c r="AU4" i="3"/>
  <c r="N5" i="18" s="1"/>
  <c r="G4" i="3"/>
  <c r="Z3" i="3"/>
  <c r="AU2" i="3"/>
  <c r="N3" i="18" s="1"/>
  <c r="I2" i="3"/>
  <c r="I67" i="3"/>
  <c r="AN62" i="3"/>
  <c r="P63" i="18" s="1"/>
  <c r="AT59" i="3"/>
  <c r="AK54" i="3"/>
  <c r="BA50" i="3"/>
  <c r="AD48" i="3"/>
  <c r="Q62" i="6" s="1"/>
  <c r="AE46" i="3"/>
  <c r="R60" i="6" s="1"/>
  <c r="S44" i="3"/>
  <c r="F58" i="6" s="1"/>
  <c r="K42" i="3"/>
  <c r="Z40" i="3"/>
  <c r="W38" i="3"/>
  <c r="J52" i="6" s="1"/>
  <c r="AE35" i="3"/>
  <c r="R49" i="6" s="1"/>
  <c r="T33" i="3"/>
  <c r="G47" i="6" s="1"/>
  <c r="AA31" i="3"/>
  <c r="AK29" i="3"/>
  <c r="AI27" i="3"/>
  <c r="BP27" i="3" s="1"/>
  <c r="AU25" i="3"/>
  <c r="N26" i="18" s="1"/>
  <c r="BK23" i="3"/>
  <c r="BZ23" i="3" s="1"/>
  <c r="P22" i="3"/>
  <c r="AF20" i="3"/>
  <c r="S34" i="6" s="1"/>
  <c r="BD18" i="3"/>
  <c r="AC32" i="6" s="1"/>
  <c r="B16" i="3"/>
  <c r="AO13" i="3"/>
  <c r="Q14" i="18" s="1"/>
  <c r="BO10" i="3"/>
  <c r="AW8" i="3"/>
  <c r="Z22" i="6" s="1"/>
  <c r="J7" i="3"/>
  <c r="BG5" i="3"/>
  <c r="AQ4" i="3"/>
  <c r="V3" i="3"/>
  <c r="I17" i="6" s="1"/>
  <c r="E2" i="3"/>
  <c r="BF66" i="3"/>
  <c r="BF68" i="3"/>
  <c r="N67" i="3"/>
  <c r="AP65" i="3"/>
  <c r="R66" i="18" s="1"/>
  <c r="N64" i="3"/>
  <c r="AU62" i="3"/>
  <c r="N63" i="18" s="1"/>
  <c r="N61" i="3"/>
  <c r="AW59" i="3"/>
  <c r="Z73" i="6" s="1"/>
  <c r="AM58" i="3"/>
  <c r="O59" i="18" s="1"/>
  <c r="W57" i="3"/>
  <c r="J71" i="6" s="1"/>
  <c r="BE55" i="3"/>
  <c r="AS54" i="3"/>
  <c r="W53" i="3"/>
  <c r="J67" i="6" s="1"/>
  <c r="C52" i="3"/>
  <c r="BJ50" i="3"/>
  <c r="AS49" i="3"/>
  <c r="AL48" i="3"/>
  <c r="AQ47" i="3"/>
  <c r="AL46" i="3"/>
  <c r="AG45" i="3"/>
  <c r="T59" i="6" s="1"/>
  <c r="AE44" i="3"/>
  <c r="R58" i="6" s="1"/>
  <c r="Z43" i="3"/>
  <c r="N42" i="3"/>
  <c r="AC41" i="3"/>
  <c r="P55" i="6" s="1"/>
  <c r="AF40" i="3"/>
  <c r="S54" i="6" s="1"/>
  <c r="Z39" i="3"/>
  <c r="Y38" i="3"/>
  <c r="AB37" i="3"/>
  <c r="O51" i="6" s="1"/>
  <c r="Y36" i="3"/>
  <c r="AH35" i="3"/>
  <c r="U49" i="6" s="1"/>
  <c r="AJ34" i="3"/>
  <c r="N35" i="17" s="1"/>
  <c r="AF33" i="3"/>
  <c r="S47" i="6" s="1"/>
  <c r="AC32" i="3"/>
  <c r="P46" i="6" s="1"/>
  <c r="AC31" i="3"/>
  <c r="P45" i="6" s="1"/>
  <c r="AK30" i="3"/>
  <c r="AM29" i="3"/>
  <c r="O30" i="18" s="1"/>
  <c r="AN28" i="3"/>
  <c r="P29" i="18" s="1"/>
  <c r="AS27" i="3"/>
  <c r="AR26" i="3"/>
  <c r="BD25" i="3"/>
  <c r="AC39" i="6" s="1"/>
  <c r="B25" i="3"/>
  <c r="CB25" i="3" s="1"/>
  <c r="I24" i="3"/>
  <c r="O23" i="3"/>
  <c r="S22" i="3"/>
  <c r="F36" i="6" s="1"/>
  <c r="W21" i="3"/>
  <c r="J35" i="6" s="1"/>
  <c r="AH20" i="3"/>
  <c r="U34" i="6" s="1"/>
  <c r="AV19" i="3"/>
  <c r="BF18" i="3"/>
  <c r="BJ17" i="3"/>
  <c r="BK16" i="3"/>
  <c r="BZ16" i="3" s="1"/>
  <c r="D16" i="3"/>
  <c r="P15" i="3"/>
  <c r="Y14" i="3"/>
  <c r="AQ13" i="3"/>
  <c r="BA12" i="3"/>
  <c r="BH11" i="3"/>
  <c r="C11" i="3"/>
  <c r="P10" i="3"/>
  <c r="AH9" i="3"/>
  <c r="U23" i="6" s="1"/>
  <c r="AY8" i="3"/>
  <c r="BL7" i="3"/>
  <c r="L7" i="3"/>
  <c r="AO6" i="3"/>
  <c r="Q7" i="18" s="1"/>
  <c r="BL5" i="3"/>
  <c r="X5" i="3"/>
  <c r="K19" i="6" s="1"/>
  <c r="AT4" i="3"/>
  <c r="BL3" i="3"/>
  <c r="Y3" i="3"/>
  <c r="AT2" i="3"/>
  <c r="H2" i="3"/>
  <c r="M67" i="3"/>
  <c r="AO65" i="3"/>
  <c r="Q66" i="18" s="1"/>
  <c r="M64" i="3"/>
  <c r="K61" i="3"/>
  <c r="AU59" i="3"/>
  <c r="N60" i="18" s="1"/>
  <c r="AL58" i="3"/>
  <c r="O57" i="3"/>
  <c r="M58" i="15" s="1"/>
  <c r="AR55" i="3"/>
  <c r="AQ54" i="3"/>
  <c r="B52" i="3"/>
  <c r="BI50" i="3"/>
  <c r="AL49" i="3"/>
  <c r="BQ49" i="3" s="1"/>
  <c r="AE48" i="3"/>
  <c r="R62" i="6" s="1"/>
  <c r="AP47" i="3"/>
  <c r="R48" i="18" s="1"/>
  <c r="AF46" i="3"/>
  <c r="S60" i="6" s="1"/>
  <c r="AF45" i="3"/>
  <c r="S59" i="6" s="1"/>
  <c r="Y44" i="3"/>
  <c r="V43" i="3"/>
  <c r="I57" i="6" s="1"/>
  <c r="L42" i="3"/>
  <c r="AB41" i="3"/>
  <c r="O55" i="6" s="1"/>
  <c r="AC40" i="3"/>
  <c r="P54" i="6" s="1"/>
  <c r="X38" i="3"/>
  <c r="K52" i="6" s="1"/>
  <c r="AA37" i="3"/>
  <c r="Q36" i="3"/>
  <c r="AF35" i="3"/>
  <c r="S49" i="6" s="1"/>
  <c r="AI34" i="3"/>
  <c r="BP34" i="3" s="1"/>
  <c r="AE33" i="3"/>
  <c r="R47" i="6" s="1"/>
  <c r="AA32" i="3"/>
  <c r="AB31" i="3"/>
  <c r="O45" i="6" s="1"/>
  <c r="AE30" i="3"/>
  <c r="R44" i="6" s="1"/>
  <c r="AL29" i="3"/>
  <c r="AM28" i="3"/>
  <c r="O29" i="18" s="1"/>
  <c r="AO27" i="3"/>
  <c r="Q28" i="18" s="1"/>
  <c r="AQ26" i="3"/>
  <c r="BC25" i="3"/>
  <c r="BS25" i="3" s="1"/>
  <c r="BH24" i="3"/>
  <c r="B24" i="3"/>
  <c r="N23" i="3"/>
  <c r="R22" i="3"/>
  <c r="E36" i="6" s="1"/>
  <c r="V21" i="3"/>
  <c r="I35" i="6" s="1"/>
  <c r="AG20" i="3"/>
  <c r="T34" i="6" s="1"/>
  <c r="AL19" i="3"/>
  <c r="BE18" i="3"/>
  <c r="BH17" i="3"/>
  <c r="BJ16" i="3"/>
  <c r="C16" i="3"/>
  <c r="O15" i="3"/>
  <c r="AP13" i="3"/>
  <c r="R14" i="18" s="1"/>
  <c r="AS12" i="3"/>
  <c r="BG11" i="3"/>
  <c r="B11" i="3"/>
  <c r="CB11" i="3" s="1"/>
  <c r="J10" i="3"/>
  <c r="AA9" i="3"/>
  <c r="AX8" i="3"/>
  <c r="BI7" i="3"/>
  <c r="K7" i="3"/>
  <c r="AN6" i="3"/>
  <c r="P7" i="18" s="1"/>
  <c r="BJ5" i="3"/>
  <c r="V5" i="3"/>
  <c r="I19" i="6" s="1"/>
  <c r="AR4" i="3"/>
  <c r="BK3" i="3"/>
  <c r="BZ3" i="3" s="1"/>
  <c r="X3" i="3"/>
  <c r="K17" i="6" s="1"/>
  <c r="AS2" i="3"/>
  <c r="G2" i="3"/>
  <c r="AJ68" i="3"/>
  <c r="L64" i="3"/>
  <c r="I61" i="3"/>
  <c r="U58" i="3"/>
  <c r="H72" i="6" s="1"/>
  <c r="R53" i="3"/>
  <c r="E67" i="6" s="1"/>
  <c r="A52" i="3"/>
  <c r="AI49" i="3"/>
  <c r="BP49" i="3" s="1"/>
  <c r="AM47" i="3"/>
  <c r="O48" i="18" s="1"/>
  <c r="AE45" i="3"/>
  <c r="R59" i="6" s="1"/>
  <c r="O43" i="3"/>
  <c r="AA41" i="3"/>
  <c r="W39" i="3"/>
  <c r="J53" i="6" s="1"/>
  <c r="O36" i="3"/>
  <c r="AA34" i="3"/>
  <c r="U32" i="3"/>
  <c r="H46" i="6" s="1"/>
  <c r="S30" i="3"/>
  <c r="F44" i="6" s="1"/>
  <c r="AL28" i="3"/>
  <c r="BQ28" i="3" s="1"/>
  <c r="AP26" i="3"/>
  <c r="R27" i="18" s="1"/>
  <c r="BG24" i="3"/>
  <c r="M23" i="3"/>
  <c r="U21" i="3"/>
  <c r="H35" i="6" s="1"/>
  <c r="AJ19" i="3"/>
  <c r="AX17" i="3"/>
  <c r="L15" i="3"/>
  <c r="AL12" i="3"/>
  <c r="BA11" i="3"/>
  <c r="Z9" i="3"/>
  <c r="BF7" i="3"/>
  <c r="AK6" i="3"/>
  <c r="U5" i="3"/>
  <c r="H19" i="6" s="1"/>
  <c r="BH3" i="3"/>
  <c r="AQ2" i="3"/>
  <c r="AF65" i="3"/>
  <c r="S79" i="6" s="1"/>
  <c r="G61" i="3"/>
  <c r="BE68" i="3"/>
  <c r="AS62" i="3"/>
  <c r="V53" i="3"/>
  <c r="I67" i="6" s="1"/>
  <c r="X39" i="3"/>
  <c r="K53" i="6" s="1"/>
  <c r="X14" i="3"/>
  <c r="K28" i="6" s="1"/>
  <c r="N57" i="3"/>
  <c r="Y37" i="3"/>
  <c r="BI16" i="3"/>
  <c r="AQ55" i="3"/>
  <c r="I10" i="3"/>
  <c r="AI68" i="3"/>
  <c r="BL66" i="3"/>
  <c r="AL65" i="3"/>
  <c r="BQ65" i="3" s="1"/>
  <c r="P66" i="17" s="1"/>
  <c r="K64" i="3"/>
  <c r="AL62" i="3"/>
  <c r="H61" i="3"/>
  <c r="AO59" i="3"/>
  <c r="Q60" i="18" s="1"/>
  <c r="T58" i="3"/>
  <c r="G72" i="6" s="1"/>
  <c r="AZ56" i="3"/>
  <c r="AA70" i="6" s="1"/>
  <c r="AO55" i="3"/>
  <c r="Q56" i="18" s="1"/>
  <c r="R54" i="3"/>
  <c r="E68" i="6" s="1"/>
  <c r="N53" i="3"/>
  <c r="BO51" i="3"/>
  <c r="AP50" i="3"/>
  <c r="R51" i="18" s="1"/>
  <c r="AG49" i="3"/>
  <c r="T63" i="6" s="1"/>
  <c r="AC48" i="3"/>
  <c r="P62" i="6" s="1"/>
  <c r="W47" i="3"/>
  <c r="J61" i="6" s="1"/>
  <c r="AD46" i="3"/>
  <c r="Q60" i="6" s="1"/>
  <c r="AD45" i="3"/>
  <c r="Q59" i="6" s="1"/>
  <c r="R44" i="3"/>
  <c r="E58" i="6" s="1"/>
  <c r="L43" i="3"/>
  <c r="J42" i="3"/>
  <c r="M41" i="3"/>
  <c r="Y40" i="3"/>
  <c r="O39" i="3"/>
  <c r="R38" i="3"/>
  <c r="E52" i="6" s="1"/>
  <c r="P37" i="3"/>
  <c r="N36" i="3"/>
  <c r="O35" i="3"/>
  <c r="M36" i="15" s="1"/>
  <c r="Z34" i="3"/>
  <c r="S33" i="3"/>
  <c r="F47" i="6" s="1"/>
  <c r="T32" i="3"/>
  <c r="G46" i="6" s="1"/>
  <c r="V31" i="3"/>
  <c r="I45" i="6" s="1"/>
  <c r="P30" i="3"/>
  <c r="T29" i="3"/>
  <c r="G43" i="6" s="1"/>
  <c r="AK28" i="3"/>
  <c r="AH27" i="3"/>
  <c r="U41" i="6" s="1"/>
  <c r="AM26" i="3"/>
  <c r="O27" i="18" s="1"/>
  <c r="AT25" i="3"/>
  <c r="BF24" i="3"/>
  <c r="BI23" i="3"/>
  <c r="BM22" i="3"/>
  <c r="O22" i="3"/>
  <c r="M23" i="15" s="1"/>
  <c r="T21" i="3"/>
  <c r="G35" i="6" s="1"/>
  <c r="AA20" i="3"/>
  <c r="AI19" i="3"/>
  <c r="V33" i="6" s="1"/>
  <c r="AN18" i="3"/>
  <c r="P19" i="18" s="1"/>
  <c r="AQ17" i="3"/>
  <c r="BH16" i="3"/>
  <c r="BN15" i="3"/>
  <c r="G15" i="3"/>
  <c r="U14" i="3"/>
  <c r="H28" i="6" s="1"/>
  <c r="AN13" i="3"/>
  <c r="P14" i="18" s="1"/>
  <c r="AE12" i="3"/>
  <c r="R26" i="6" s="1"/>
  <c r="AZ11" i="3"/>
  <c r="AA25" i="6" s="1"/>
  <c r="BN10" i="3"/>
  <c r="G10" i="3"/>
  <c r="Y9" i="3"/>
  <c r="AI8" i="3"/>
  <c r="V22" i="6" s="1"/>
  <c r="BD7" i="3"/>
  <c r="BT7" i="3" s="1"/>
  <c r="H7" i="3"/>
  <c r="AH6" i="3"/>
  <c r="U20" i="6" s="1"/>
  <c r="BD5" i="3"/>
  <c r="BT5" i="3" s="1"/>
  <c r="K5" i="3"/>
  <c r="AI4" i="3"/>
  <c r="BP4" i="3" s="1"/>
  <c r="BD3" i="3"/>
  <c r="BT3" i="3" s="1"/>
  <c r="U3" i="3"/>
  <c r="H17" i="6" s="1"/>
  <c r="AP2" i="3"/>
  <c r="R3" i="18" s="1"/>
  <c r="C2" i="3"/>
  <c r="AN67" i="3"/>
  <c r="P68" i="18" s="1"/>
  <c r="AZ64" i="3"/>
  <c r="H63" i="3"/>
  <c r="AO60" i="3"/>
  <c r="Q61" i="18" s="1"/>
  <c r="R58" i="3"/>
  <c r="E72" i="6" s="1"/>
  <c r="AR56" i="3"/>
  <c r="AX54" i="3"/>
  <c r="BC52" i="3"/>
  <c r="AB66" i="6" s="1"/>
  <c r="U51" i="3"/>
  <c r="H65" i="6" s="1"/>
  <c r="AD49" i="3"/>
  <c r="Q63" i="6" s="1"/>
  <c r="BK47" i="3"/>
  <c r="BZ47" i="3" s="1"/>
  <c r="Y46" i="3"/>
  <c r="BL44" i="3"/>
  <c r="AV43" i="3"/>
  <c r="E42" i="3"/>
  <c r="AM40" i="3"/>
  <c r="O41" i="18" s="1"/>
  <c r="A39" i="3"/>
  <c r="BC37" i="3"/>
  <c r="BS37" i="3" s="1"/>
  <c r="M36" i="3"/>
  <c r="BI34" i="3"/>
  <c r="AP33" i="3"/>
  <c r="R34" i="18" s="1"/>
  <c r="D32" i="3"/>
  <c r="AQ30" i="3"/>
  <c r="Q29" i="3"/>
  <c r="BN27" i="3"/>
  <c r="AK26" i="3"/>
  <c r="Y25" i="3"/>
  <c r="R24" i="3"/>
  <c r="E38" i="6" s="1"/>
  <c r="BD22" i="3"/>
  <c r="BT22" i="3" s="1"/>
  <c r="BB21" i="3"/>
  <c r="V20" i="3"/>
  <c r="I34" i="6" s="1"/>
  <c r="A19" i="3"/>
  <c r="AP17" i="3"/>
  <c r="R18" i="18" s="1"/>
  <c r="AK16" i="3"/>
  <c r="AI15" i="3"/>
  <c r="V29" i="6" s="1"/>
  <c r="D14" i="3"/>
  <c r="BN12" i="3"/>
  <c r="AP11" i="3"/>
  <c r="R12" i="18" s="1"/>
  <c r="AK10" i="3"/>
  <c r="X9" i="3"/>
  <c r="K23" i="6" s="1"/>
  <c r="W8" i="3"/>
  <c r="J22" i="6" s="1"/>
  <c r="AE7" i="3"/>
  <c r="R21" i="6" s="1"/>
  <c r="W6" i="3"/>
  <c r="J20" i="6" s="1"/>
  <c r="AE5" i="3"/>
  <c r="R19" i="6" s="1"/>
  <c r="AF4" i="3"/>
  <c r="S18" i="6" s="1"/>
  <c r="AU3" i="3"/>
  <c r="N4" i="18" s="1"/>
  <c r="AO2" i="3"/>
  <c r="Q3" i="18" s="1"/>
  <c r="BI57" i="3"/>
  <c r="R51" i="3"/>
  <c r="E65" i="6" s="1"/>
  <c r="BC44" i="3"/>
  <c r="BS44" i="3" s="1"/>
  <c r="BH38" i="3"/>
  <c r="J36" i="3"/>
  <c r="BH31" i="3"/>
  <c r="BD27" i="3"/>
  <c r="BT27" i="3" s="1"/>
  <c r="N25" i="3"/>
  <c r="AT22" i="3"/>
  <c r="O20" i="3"/>
  <c r="AL17" i="3"/>
  <c r="E15" i="3"/>
  <c r="BI12" i="3"/>
  <c r="AC10" i="3"/>
  <c r="P24" i="6" s="1"/>
  <c r="L9" i="3"/>
  <c r="E7" i="3"/>
  <c r="AA5" i="3"/>
  <c r="AH3" i="3"/>
  <c r="U17" i="6" s="1"/>
  <c r="AI2" i="3"/>
  <c r="BP2" i="3" s="1"/>
  <c r="T62" i="3"/>
  <c r="G76" i="6" s="1"/>
  <c r="E43" i="3"/>
  <c r="O30" i="3"/>
  <c r="S21" i="3"/>
  <c r="F35" i="6" s="1"/>
  <c r="BG13" i="3"/>
  <c r="R8" i="3"/>
  <c r="E22" i="6" s="1"/>
  <c r="V4" i="3"/>
  <c r="I18" i="6" s="1"/>
  <c r="AQ64" i="3"/>
  <c r="BF57" i="3"/>
  <c r="P56" i="3"/>
  <c r="G54" i="3"/>
  <c r="AH50" i="3"/>
  <c r="U64" i="6" s="1"/>
  <c r="BN45" i="3"/>
  <c r="AR41" i="3"/>
  <c r="H40" i="3"/>
  <c r="BF38" i="3"/>
  <c r="AJ37" i="3"/>
  <c r="N38" i="17" s="1"/>
  <c r="C33" i="3"/>
  <c r="BD31" i="3"/>
  <c r="AC45" i="6" s="1"/>
  <c r="F29" i="3"/>
  <c r="V26" i="3"/>
  <c r="I40" i="6" s="1"/>
  <c r="AQ22" i="3"/>
  <c r="BJ19" i="3"/>
  <c r="BJ18" i="3"/>
  <c r="AB17" i="3"/>
  <c r="O31" i="6" s="1"/>
  <c r="C15" i="3"/>
  <c r="AB12" i="3"/>
  <c r="O26" i="6" s="1"/>
  <c r="Z10" i="3"/>
  <c r="C7" i="3"/>
  <c r="I6" i="3"/>
  <c r="U4" i="3"/>
  <c r="H18" i="6" s="1"/>
  <c r="BN61" i="3"/>
  <c r="AG50" i="3"/>
  <c r="T64" i="6" s="1"/>
  <c r="AL41" i="3"/>
  <c r="BQ41" i="3" s="1"/>
  <c r="P42" i="17" s="1"/>
  <c r="AO34" i="3"/>
  <c r="Q35" i="18" s="1"/>
  <c r="BE28" i="3"/>
  <c r="K25" i="3"/>
  <c r="BI19" i="3"/>
  <c r="M16" i="3"/>
  <c r="BA13" i="3"/>
  <c r="AA11" i="3"/>
  <c r="H9" i="3"/>
  <c r="B7" i="3"/>
  <c r="CB7" i="3" s="1"/>
  <c r="R4" i="3"/>
  <c r="E18" i="6" s="1"/>
  <c r="AF2" i="3"/>
  <c r="S16" i="6" s="1"/>
  <c r="AZ35" i="3"/>
  <c r="AA49" i="6" s="1"/>
  <c r="Z12" i="3"/>
  <c r="AK59" i="3"/>
  <c r="H37" i="3"/>
  <c r="BE66" i="3"/>
  <c r="AY64" i="3"/>
  <c r="AJ62" i="3"/>
  <c r="N63" i="17" s="1"/>
  <c r="AN60" i="3"/>
  <c r="P61" i="18" s="1"/>
  <c r="Q58" i="3"/>
  <c r="AQ56" i="3"/>
  <c r="AW54" i="3"/>
  <c r="Z68" i="6" s="1"/>
  <c r="BB52" i="3"/>
  <c r="T51" i="3"/>
  <c r="G65" i="6" s="1"/>
  <c r="AC49" i="3"/>
  <c r="P63" i="6" s="1"/>
  <c r="BE47" i="3"/>
  <c r="S46" i="3"/>
  <c r="F60" i="6" s="1"/>
  <c r="BF44" i="3"/>
  <c r="AS43" i="3"/>
  <c r="C42" i="3"/>
  <c r="AK40" i="3"/>
  <c r="BJ38" i="3"/>
  <c r="BB37" i="3"/>
  <c r="L36" i="3"/>
  <c r="BE34" i="3"/>
  <c r="AN33" i="3"/>
  <c r="P34" i="18" s="1"/>
  <c r="BN31" i="3"/>
  <c r="AP30" i="3"/>
  <c r="R31" i="18" s="1"/>
  <c r="L29" i="3"/>
  <c r="BM27" i="3"/>
  <c r="AI26" i="3"/>
  <c r="U25" i="3"/>
  <c r="H39" i="6" s="1"/>
  <c r="Q24" i="3"/>
  <c r="BB22" i="3"/>
  <c r="AV21" i="3"/>
  <c r="S20" i="3"/>
  <c r="F34" i="6" s="1"/>
  <c r="BO18" i="3"/>
  <c r="AO17" i="3"/>
  <c r="Q18" i="18" s="1"/>
  <c r="AI16" i="3"/>
  <c r="V30" i="6" s="1"/>
  <c r="AC15" i="3"/>
  <c r="P29" i="6" s="1"/>
  <c r="C14" i="3"/>
  <c r="BL12" i="3"/>
  <c r="AN11" i="3"/>
  <c r="P12" i="18" s="1"/>
  <c r="AH10" i="3"/>
  <c r="U24" i="6" s="1"/>
  <c r="V9" i="3"/>
  <c r="I23" i="6" s="1"/>
  <c r="U8" i="3"/>
  <c r="H22" i="6" s="1"/>
  <c r="AA7" i="3"/>
  <c r="V6" i="3"/>
  <c r="I20" i="6" s="1"/>
  <c r="AD5" i="3"/>
  <c r="Q19" i="6" s="1"/>
  <c r="Y4" i="3"/>
  <c r="AT3" i="3"/>
  <c r="AL2" i="3"/>
  <c r="Y16" i="6" s="1"/>
  <c r="BC66" i="3"/>
  <c r="AB80" i="6" s="1"/>
  <c r="V62" i="3"/>
  <c r="I76" i="6" s="1"/>
  <c r="AJ60" i="3"/>
  <c r="U56" i="3"/>
  <c r="H70" i="6" s="1"/>
  <c r="AP52" i="3"/>
  <c r="R53" i="18" s="1"/>
  <c r="Y49" i="3"/>
  <c r="A46" i="3"/>
  <c r="G43" i="3"/>
  <c r="AI40" i="3"/>
  <c r="BP40" i="3" s="1"/>
  <c r="AY37" i="3"/>
  <c r="AV34" i="3"/>
  <c r="I33" i="3"/>
  <c r="AN30" i="3"/>
  <c r="P31" i="18" s="1"/>
  <c r="J29" i="3"/>
  <c r="AG26" i="3"/>
  <c r="T40" i="6" s="1"/>
  <c r="BG23" i="3"/>
  <c r="AG21" i="3"/>
  <c r="T35" i="6" s="1"/>
  <c r="BL18" i="3"/>
  <c r="AC16" i="3"/>
  <c r="P30" i="6" s="1"/>
  <c r="BH13" i="3"/>
  <c r="AL11" i="3"/>
  <c r="BQ11" i="3" s="1"/>
  <c r="P12" i="17" s="1"/>
  <c r="S8" i="3"/>
  <c r="F22" i="6" s="1"/>
  <c r="W4" i="3"/>
  <c r="J18" i="6" s="1"/>
  <c r="AU64" i="3"/>
  <c r="N65" i="18" s="1"/>
  <c r="AW37" i="3"/>
  <c r="Z51" i="6" s="1"/>
  <c r="BK18" i="3"/>
  <c r="BZ18" i="3" s="1"/>
  <c r="D7" i="3"/>
  <c r="BO61" i="3"/>
  <c r="BA44" i="3"/>
  <c r="AP34" i="3"/>
  <c r="R35" i="18" s="1"/>
  <c r="BA27" i="3"/>
  <c r="R21" i="3"/>
  <c r="E35" i="6" s="1"/>
  <c r="BF13" i="3"/>
  <c r="I9" i="3"/>
  <c r="I5" i="3"/>
  <c r="AG2" i="3"/>
  <c r="T16" i="6" s="1"/>
  <c r="AC66" i="3"/>
  <c r="P80" i="6" s="1"/>
  <c r="AL64" i="3"/>
  <c r="I60" i="3"/>
  <c r="AW57" i="3"/>
  <c r="Z71" i="6" s="1"/>
  <c r="M56" i="3"/>
  <c r="X52" i="3"/>
  <c r="K66" i="6" s="1"/>
  <c r="H49" i="3"/>
  <c r="V47" i="3"/>
  <c r="I61" i="6" s="1"/>
  <c r="AZ44" i="3"/>
  <c r="AA58" i="6" s="1"/>
  <c r="B43" i="3"/>
  <c r="C40" i="3"/>
  <c r="BD38" i="3"/>
  <c r="J37" i="3"/>
  <c r="D36" i="3"/>
  <c r="BM32" i="3"/>
  <c r="BC31" i="3"/>
  <c r="BS31" i="3" s="1"/>
  <c r="M30" i="3"/>
  <c r="AG27" i="3"/>
  <c r="T41" i="6" s="1"/>
  <c r="U26" i="3"/>
  <c r="H40" i="6" s="1"/>
  <c r="AU23" i="3"/>
  <c r="N24" i="18" s="1"/>
  <c r="AP22" i="3"/>
  <c r="R23" i="18" s="1"/>
  <c r="AM18" i="3"/>
  <c r="O19" i="18" s="1"/>
  <c r="AA17" i="3"/>
  <c r="A15" i="3"/>
  <c r="AA12" i="3"/>
  <c r="E10" i="3"/>
  <c r="F8" i="3"/>
  <c r="H6" i="3"/>
  <c r="T3" i="3"/>
  <c r="G17" i="6" s="1"/>
  <c r="W66" i="3"/>
  <c r="J80" i="6" s="1"/>
  <c r="BM61" i="3"/>
  <c r="AP57" i="3"/>
  <c r="R58" i="18" s="1"/>
  <c r="F56" i="3"/>
  <c r="D54" i="3"/>
  <c r="W52" i="3"/>
  <c r="J66" i="6" s="1"/>
  <c r="U50" i="3"/>
  <c r="H64" i="6" s="1"/>
  <c r="C49" i="3"/>
  <c r="U47" i="3"/>
  <c r="H61" i="6" s="1"/>
  <c r="BL45" i="3"/>
  <c r="AY44" i="3"/>
  <c r="A43" i="3"/>
  <c r="AK41" i="3"/>
  <c r="BC38" i="3"/>
  <c r="AB52" i="6" s="1"/>
  <c r="I37" i="3"/>
  <c r="AM34" i="3"/>
  <c r="O35" i="18" s="1"/>
  <c r="BL32" i="3"/>
  <c r="BB31" i="3"/>
  <c r="L30" i="3"/>
  <c r="BD28" i="3"/>
  <c r="AC42" i="6" s="1"/>
  <c r="S27" i="3"/>
  <c r="F41" i="6" s="1"/>
  <c r="J25" i="3"/>
  <c r="AS23" i="3"/>
  <c r="AI22" i="3"/>
  <c r="BP22" i="3" s="1"/>
  <c r="M21" i="3"/>
  <c r="BH19" i="3"/>
  <c r="AI18" i="3"/>
  <c r="V32" i="6" s="1"/>
  <c r="Z17" i="3"/>
  <c r="L16" i="3"/>
  <c r="AY13" i="3"/>
  <c r="Z11" i="3"/>
  <c r="C10" i="3"/>
  <c r="BN8" i="3"/>
  <c r="E8" i="3"/>
  <c r="A7" i="3"/>
  <c r="G6" i="3"/>
  <c r="B5" i="3"/>
  <c r="S3" i="3"/>
  <c r="F17" i="6" s="1"/>
  <c r="T2" i="3"/>
  <c r="G16" i="6" s="1"/>
  <c r="BL61" i="3"/>
  <c r="AM55" i="3"/>
  <c r="O56" i="18" s="1"/>
  <c r="V52" i="3"/>
  <c r="I66" i="6" s="1"/>
  <c r="A49" i="3"/>
  <c r="P44" i="3"/>
  <c r="AJ41" i="3"/>
  <c r="AX38" i="3"/>
  <c r="Y34" i="3"/>
  <c r="K30" i="3"/>
  <c r="R26" i="3"/>
  <c r="E40" i="6" s="1"/>
  <c r="AQ23" i="3"/>
  <c r="AH18" i="3"/>
  <c r="U32" i="6" s="1"/>
  <c r="BD66" i="3"/>
  <c r="BT66" i="3" s="1"/>
  <c r="AX64" i="3"/>
  <c r="AD62" i="3"/>
  <c r="Q76" i="6" s="1"/>
  <c r="AL60" i="3"/>
  <c r="BQ60" i="3" s="1"/>
  <c r="P61" i="17" s="1"/>
  <c r="P58" i="3"/>
  <c r="AP56" i="3"/>
  <c r="R57" i="18" s="1"/>
  <c r="J54" i="3"/>
  <c r="AX52" i="3"/>
  <c r="S51" i="3"/>
  <c r="F65" i="6" s="1"/>
  <c r="Z49" i="3"/>
  <c r="AY47" i="3"/>
  <c r="R46" i="3"/>
  <c r="E60" i="6" s="1"/>
  <c r="BD44" i="3"/>
  <c r="AC58" i="6" s="1"/>
  <c r="I43" i="3"/>
  <c r="B42" i="3"/>
  <c r="CB42" i="3" s="1"/>
  <c r="AJ40" i="3"/>
  <c r="BI38" i="3"/>
  <c r="BA37" i="3"/>
  <c r="K36" i="3"/>
  <c r="AW34" i="3"/>
  <c r="Z48" i="6" s="1"/>
  <c r="R33" i="3"/>
  <c r="E47" i="6" s="1"/>
  <c r="BL31" i="3"/>
  <c r="AO30" i="3"/>
  <c r="Q31" i="18" s="1"/>
  <c r="K29" i="3"/>
  <c r="BL27" i="3"/>
  <c r="AH26" i="3"/>
  <c r="U40" i="6" s="1"/>
  <c r="O25" i="3"/>
  <c r="BH23" i="3"/>
  <c r="AU22" i="3"/>
  <c r="N23" i="18" s="1"/>
  <c r="AU21" i="3"/>
  <c r="N22" i="18" s="1"/>
  <c r="Q20" i="3"/>
  <c r="BN18" i="3"/>
  <c r="AN17" i="3"/>
  <c r="P18" i="18" s="1"/>
  <c r="AH16" i="3"/>
  <c r="U30" i="6" s="1"/>
  <c r="F15" i="3"/>
  <c r="BI13" i="3"/>
  <c r="BJ12" i="3"/>
  <c r="AM11" i="3"/>
  <c r="O12" i="18" s="1"/>
  <c r="AE10" i="3"/>
  <c r="R24" i="6" s="1"/>
  <c r="P9" i="3"/>
  <c r="T8" i="3"/>
  <c r="G22" i="6" s="1"/>
  <c r="F7" i="3"/>
  <c r="U6" i="3"/>
  <c r="H20" i="6" s="1"/>
  <c r="AB5" i="3"/>
  <c r="O19" i="6" s="1"/>
  <c r="X4" i="3"/>
  <c r="K18" i="6" s="1"/>
  <c r="AI3" i="3"/>
  <c r="V17" i="6" s="1"/>
  <c r="AJ2" i="3"/>
  <c r="AV64" i="3"/>
  <c r="I54" i="3"/>
  <c r="AX47" i="3"/>
  <c r="AU66" i="3"/>
  <c r="N67" i="18" s="1"/>
  <c r="K60" i="3"/>
  <c r="BG57" i="3"/>
  <c r="T56" i="3"/>
  <c r="G70" i="6" s="1"/>
  <c r="H54" i="3"/>
  <c r="AL52" i="3"/>
  <c r="AK50" i="3"/>
  <c r="X49" i="3"/>
  <c r="K63" i="6" s="1"/>
  <c r="AV47" i="3"/>
  <c r="BO45" i="3"/>
  <c r="BB44" i="3"/>
  <c r="AT41" i="3"/>
  <c r="BG38" i="3"/>
  <c r="H36" i="3"/>
  <c r="AU34" i="3"/>
  <c r="N35" i="18" s="1"/>
  <c r="E33" i="3"/>
  <c r="I29" i="3"/>
  <c r="BB27" i="3"/>
  <c r="W26" i="3"/>
  <c r="J40" i="6" s="1"/>
  <c r="M25" i="3"/>
  <c r="BB23" i="3"/>
  <c r="AS22" i="3"/>
  <c r="N20" i="3"/>
  <c r="AK17" i="3"/>
  <c r="AA16" i="3"/>
  <c r="D15" i="3"/>
  <c r="AC12" i="3"/>
  <c r="P26" i="6" s="1"/>
  <c r="AK11" i="3"/>
  <c r="AA10" i="3"/>
  <c r="J9" i="3"/>
  <c r="J6" i="3"/>
  <c r="J5" i="3"/>
  <c r="AH2" i="3"/>
  <c r="U16" i="6" s="1"/>
  <c r="AU47" i="3"/>
  <c r="N48" i="18" s="1"/>
  <c r="E36" i="3"/>
  <c r="L25" i="3"/>
  <c r="Y16" i="3"/>
  <c r="Q8" i="3"/>
  <c r="AB3" i="3"/>
  <c r="O17" i="6" s="1"/>
  <c r="AL59" i="3"/>
  <c r="T26" i="3"/>
  <c r="G40" i="6" s="1"/>
  <c r="O4" i="3"/>
  <c r="V66" i="3"/>
  <c r="I80" i="6" s="1"/>
  <c r="AO57" i="3"/>
  <c r="Q58" i="18" s="1"/>
  <c r="A54" i="3"/>
  <c r="S50" i="3"/>
  <c r="F64" i="6" s="1"/>
  <c r="BJ45" i="3"/>
  <c r="BD42" i="3"/>
  <c r="AC56" i="6" s="1"/>
  <c r="BH39" i="3"/>
  <c r="AY35" i="3"/>
  <c r="BJ32" i="3"/>
  <c r="BC28" i="3"/>
  <c r="BS28" i="3" s="1"/>
  <c r="BD24" i="3"/>
  <c r="AC38" i="6" s="1"/>
  <c r="AF22" i="3"/>
  <c r="S36" i="6" s="1"/>
  <c r="BG19" i="3"/>
  <c r="CA19" i="3" s="1"/>
  <c r="Y17" i="3"/>
  <c r="AY14" i="3"/>
  <c r="BX14" i="3" s="1"/>
  <c r="A42" i="3"/>
  <c r="T6" i="3"/>
  <c r="G20" i="6" s="1"/>
  <c r="BE31" i="3"/>
  <c r="AG3" i="3"/>
  <c r="T17" i="6" s="1"/>
  <c r="I49" i="3"/>
  <c r="E5" i="3"/>
  <c r="AE68" i="3"/>
  <c r="R82" i="6" s="1"/>
  <c r="V40" i="3"/>
  <c r="I54" i="6" s="1"/>
  <c r="BA23" i="3"/>
  <c r="BM45" i="3"/>
  <c r="O21" i="3"/>
  <c r="E64" i="3"/>
  <c r="BO39" i="3"/>
  <c r="BN14" i="3"/>
  <c r="BO63" i="3"/>
  <c r="AS66" i="3"/>
  <c r="J60" i="3"/>
  <c r="AF52" i="3"/>
  <c r="S66" i="6" s="1"/>
  <c r="C43" i="3"/>
  <c r="N30" i="3"/>
  <c r="AB11" i="3"/>
  <c r="O25" i="6" s="1"/>
  <c r="F54" i="3"/>
  <c r="AV3" i="3"/>
  <c r="BM4" i="3"/>
  <c r="AS6" i="3"/>
  <c r="X8" i="3"/>
  <c r="K22" i="6" s="1"/>
  <c r="BA9" i="3"/>
  <c r="G14" i="3"/>
  <c r="BK15" i="3"/>
  <c r="BZ15" i="3" s="1"/>
  <c r="S18" i="3"/>
  <c r="F32" i="6" s="1"/>
  <c r="AU20" i="3"/>
  <c r="N21" i="18" s="1"/>
  <c r="BI22" i="3"/>
  <c r="AT24" i="3"/>
  <c r="N27" i="3"/>
  <c r="P32" i="3"/>
  <c r="BL34" i="3"/>
  <c r="F37" i="3"/>
  <c r="BC39" i="3"/>
  <c r="AB53" i="6" s="1"/>
  <c r="AH42" i="3"/>
  <c r="U56" i="6" s="1"/>
  <c r="H48" i="3"/>
  <c r="Q50" i="3"/>
  <c r="AY56" i="3"/>
  <c r="BX56" i="3" s="1"/>
  <c r="D65" i="3"/>
  <c r="B2" i="3"/>
  <c r="CB2" i="3" s="1"/>
  <c r="AW3" i="3"/>
  <c r="BN4" i="3"/>
  <c r="AT6" i="3"/>
  <c r="Z8" i="3"/>
  <c r="BO9" i="3"/>
  <c r="S12" i="3"/>
  <c r="F26" i="6" s="1"/>
  <c r="Q14" i="3"/>
  <c r="BL15" i="3"/>
  <c r="U18" i="3"/>
  <c r="H32" i="6" s="1"/>
  <c r="BC20" i="3"/>
  <c r="AB34" i="6" s="1"/>
  <c r="BJ22" i="3"/>
  <c r="AL25" i="3"/>
  <c r="P27" i="3"/>
  <c r="BA29" i="3"/>
  <c r="R32" i="3"/>
  <c r="E46" i="6" s="1"/>
  <c r="D35" i="3"/>
  <c r="G37" i="3"/>
  <c r="BE39" i="3"/>
  <c r="AK42" i="3"/>
  <c r="G45" i="3"/>
  <c r="Q48" i="3"/>
  <c r="R50" i="3"/>
  <c r="E64" i="6" s="1"/>
  <c r="AR53" i="3"/>
  <c r="AA57" i="3"/>
  <c r="BN60" i="3"/>
  <c r="R65" i="3"/>
  <c r="E79" i="6" s="1"/>
  <c r="K2" i="3"/>
  <c r="AX3" i="3"/>
  <c r="BO4" i="3"/>
  <c r="AU6" i="3"/>
  <c r="N7" i="18" s="1"/>
  <c r="AA8" i="3"/>
  <c r="A10" i="3"/>
  <c r="T12" i="3"/>
  <c r="G26" i="6" s="1"/>
  <c r="R14" i="3"/>
  <c r="E28" i="6" s="1"/>
  <c r="BM15" i="3"/>
  <c r="W18" i="3"/>
  <c r="J32" i="6" s="1"/>
  <c r="BI20" i="3"/>
  <c r="BK22" i="3"/>
  <c r="BZ22" i="3" s="1"/>
  <c r="AM25" i="3"/>
  <c r="Q27" i="3"/>
  <c r="BB29" i="3"/>
  <c r="AJ32" i="3"/>
  <c r="J35" i="3"/>
  <c r="BD37" i="3"/>
  <c r="BT37" i="3" s="1"/>
  <c r="BF39" i="3"/>
  <c r="AW42" i="3"/>
  <c r="Z56" i="6" s="1"/>
  <c r="R45" i="3"/>
  <c r="E59" i="6" s="1"/>
  <c r="R48" i="3"/>
  <c r="E62" i="6" s="1"/>
  <c r="V51" i="3"/>
  <c r="I65" i="6" s="1"/>
  <c r="BJ53" i="3"/>
  <c r="AC57" i="3"/>
  <c r="P71" i="6" s="1"/>
  <c r="B61" i="3"/>
  <c r="S65" i="3"/>
  <c r="F79" i="6" s="1"/>
  <c r="BR29" i="3"/>
  <c r="V79" i="6"/>
  <c r="BP65" i="3"/>
  <c r="Z70" i="6"/>
  <c r="BP35" i="3"/>
  <c r="AB39" i="6"/>
  <c r="W42" i="6"/>
  <c r="AC57" i="6"/>
  <c r="BT43" i="3"/>
  <c r="BR12" i="3"/>
  <c r="BT29" i="3"/>
  <c r="AC46" i="6"/>
  <c r="Z75" i="6"/>
  <c r="AG75" i="6" s="1"/>
  <c r="BR48" i="3"/>
  <c r="AC16" i="6"/>
  <c r="AC81" i="6"/>
  <c r="AB17" i="6"/>
  <c r="B46" i="6"/>
  <c r="B51" i="6"/>
  <c r="AA78" i="6"/>
  <c r="BR64" i="3"/>
  <c r="Z19" i="6"/>
  <c r="AA42" i="6"/>
  <c r="Y55" i="6"/>
  <c r="B36" i="6"/>
  <c r="Z26" i="6"/>
  <c r="AC64" i="6"/>
  <c r="BT50" i="3"/>
  <c r="AA76" i="6"/>
  <c r="BR62" i="3"/>
  <c r="AC47" i="6"/>
  <c r="BT33" i="3"/>
  <c r="BT19" i="3"/>
  <c r="BR31" i="3"/>
  <c r="AB35" i="6"/>
  <c r="P17" i="17"/>
  <c r="Y30" i="6"/>
  <c r="Z55" i="6"/>
  <c r="BP42" i="3"/>
  <c r="V56" i="6"/>
  <c r="B72" i="6"/>
  <c r="BX9" i="3"/>
  <c r="BS38" i="3"/>
  <c r="Z18" i="6"/>
  <c r="AA23" i="6"/>
  <c r="BR9" i="3"/>
  <c r="W56" i="6"/>
  <c r="BR4" i="3"/>
  <c r="AB19" i="6"/>
  <c r="BS5" i="3"/>
  <c r="AA17" i="6"/>
  <c r="BR3" i="3"/>
  <c r="Y32" i="6"/>
  <c r="V48" i="6"/>
  <c r="Y51" i="6"/>
  <c r="B61" i="6"/>
  <c r="W2" i="3"/>
  <c r="J16" i="6" s="1"/>
  <c r="AY2" i="3"/>
  <c r="J3" i="3"/>
  <c r="AL3" i="3"/>
  <c r="BQ3" i="3" s="1"/>
  <c r="BO3" i="3"/>
  <c r="Z4" i="3"/>
  <c r="BA4" i="3"/>
  <c r="L5" i="3"/>
  <c r="AP5" i="3"/>
  <c r="R6" i="18" s="1"/>
  <c r="B6" i="3"/>
  <c r="CB6" i="3" s="1"/>
  <c r="AB6" i="3"/>
  <c r="O20" i="6" s="1"/>
  <c r="BC6" i="3"/>
  <c r="R7" i="3"/>
  <c r="E21" i="6" s="1"/>
  <c r="AS7" i="3"/>
  <c r="G8" i="3"/>
  <c r="AM8" i="3"/>
  <c r="O9" i="18" s="1"/>
  <c r="A9" i="3"/>
  <c r="AB9" i="3"/>
  <c r="O23" i="6" s="1"/>
  <c r="BE9" i="3"/>
  <c r="T10" i="3"/>
  <c r="G24" i="6" s="1"/>
  <c r="AU10" i="3"/>
  <c r="N11" i="18" s="1"/>
  <c r="I11" i="3"/>
  <c r="AQ11" i="3"/>
  <c r="D12" i="3"/>
  <c r="AN12" i="3"/>
  <c r="P13" i="18" s="1"/>
  <c r="A13" i="3"/>
  <c r="AE13" i="3"/>
  <c r="R27" i="6" s="1"/>
  <c r="BK13" i="3"/>
  <c r="BZ13" i="3" s="1"/>
  <c r="Z14" i="3"/>
  <c r="BF14" i="3"/>
  <c r="U15" i="3"/>
  <c r="H29" i="6" s="1"/>
  <c r="AW15" i="3"/>
  <c r="P16" i="3"/>
  <c r="AV16" i="3"/>
  <c r="O17" i="3"/>
  <c r="M18" i="15" s="1"/>
  <c r="AS17" i="3"/>
  <c r="M18" i="3"/>
  <c r="AP18" i="3"/>
  <c r="R19" i="18" s="1"/>
  <c r="F19" i="3"/>
  <c r="AO19" i="3"/>
  <c r="Q20" i="18" s="1"/>
  <c r="E20" i="3"/>
  <c r="AM20" i="3"/>
  <c r="O21" i="18" s="1"/>
  <c r="B21" i="3"/>
  <c r="CB21" i="3" s="1"/>
  <c r="AJ21" i="3"/>
  <c r="N22" i="17" s="1"/>
  <c r="BN21" i="3"/>
  <c r="AJ22" i="3"/>
  <c r="N23" i="17" s="1"/>
  <c r="BN22" i="3"/>
  <c r="AH23" i="3"/>
  <c r="U37" i="6" s="1"/>
  <c r="AF24" i="3"/>
  <c r="S38" i="6" s="1"/>
  <c r="AE25" i="3"/>
  <c r="R39" i="6" s="1"/>
  <c r="BH25" i="3"/>
  <c r="X26" i="3"/>
  <c r="K40" i="6" s="1"/>
  <c r="BF26" i="3"/>
  <c r="U27" i="3"/>
  <c r="H41" i="6" s="1"/>
  <c r="BG27" i="3"/>
  <c r="W28" i="3"/>
  <c r="J42" i="6" s="1"/>
  <c r="BF28" i="3"/>
  <c r="V29" i="3"/>
  <c r="I43" i="6" s="1"/>
  <c r="BJ29" i="3"/>
  <c r="AF30" i="3"/>
  <c r="S44" i="6" s="1"/>
  <c r="BK30" i="3"/>
  <c r="BZ30" i="3" s="1"/>
  <c r="AG31" i="3"/>
  <c r="T45" i="6" s="1"/>
  <c r="E32" i="3"/>
  <c r="AK32" i="3"/>
  <c r="J33" i="3"/>
  <c r="AW33" i="3"/>
  <c r="N34" i="3"/>
  <c r="AX34" i="3"/>
  <c r="Q35" i="3"/>
  <c r="BD35" i="3"/>
  <c r="AB36" i="3"/>
  <c r="O50" i="6" s="1"/>
  <c r="BH36" i="3"/>
  <c r="AE37" i="3"/>
  <c r="R51" i="6" s="1"/>
  <c r="A38" i="3"/>
  <c r="AG38" i="3"/>
  <c r="T52" i="6" s="1"/>
  <c r="H39" i="3"/>
  <c r="AR39" i="3"/>
  <c r="J40" i="3"/>
  <c r="AV40" i="3"/>
  <c r="N41" i="3"/>
  <c r="AX41" i="3"/>
  <c r="Z42" i="3"/>
  <c r="BE42" i="3"/>
  <c r="AC43" i="3"/>
  <c r="P57" i="6" s="1"/>
  <c r="BK43" i="3"/>
  <c r="BZ43" i="3" s="1"/>
  <c r="AJ44" i="3"/>
  <c r="N45" i="17" s="1"/>
  <c r="I45" i="3"/>
  <c r="AT45" i="3"/>
  <c r="T46" i="3"/>
  <c r="G60" i="6" s="1"/>
  <c r="BF46" i="3"/>
  <c r="X47" i="3"/>
  <c r="K61" i="6" s="1"/>
  <c r="BM47" i="3"/>
  <c r="AP48" i="3"/>
  <c r="R49" i="18" s="1"/>
  <c r="K49" i="3"/>
  <c r="BB49" i="3"/>
  <c r="AB50" i="3"/>
  <c r="O64" i="6" s="1"/>
  <c r="BM50" i="3"/>
  <c r="AV51" i="3"/>
  <c r="Y52" i="3"/>
  <c r="BM52" i="3"/>
  <c r="AS53" i="3"/>
  <c r="AA54" i="3"/>
  <c r="G55" i="3"/>
  <c r="AT55" i="3"/>
  <c r="W56" i="3"/>
  <c r="J70" i="6" s="1"/>
  <c r="F57" i="3"/>
  <c r="AX57" i="3"/>
  <c r="W58" i="3"/>
  <c r="J72" i="6" s="1"/>
  <c r="C59" i="3"/>
  <c r="BK59" i="3"/>
  <c r="BZ59" i="3" s="1"/>
  <c r="AP60" i="3"/>
  <c r="R61" i="18" s="1"/>
  <c r="X61" i="3"/>
  <c r="K75" i="6" s="1"/>
  <c r="A62" i="3"/>
  <c r="BE62" i="3"/>
  <c r="AM63" i="3"/>
  <c r="O64" i="18" s="1"/>
  <c r="U64" i="3"/>
  <c r="H78" i="6" s="1"/>
  <c r="F65" i="3"/>
  <c r="BJ65" i="3"/>
  <c r="AV66" i="3"/>
  <c r="AA67" i="3"/>
  <c r="N68" i="3"/>
  <c r="Y2" i="3"/>
  <c r="AZ2" i="3"/>
  <c r="K3" i="3"/>
  <c r="AO3" i="3"/>
  <c r="Q4" i="18" s="1"/>
  <c r="A4" i="3"/>
  <c r="AA4" i="3"/>
  <c r="BB4" i="3"/>
  <c r="N5" i="3"/>
  <c r="AR5" i="3"/>
  <c r="C6" i="3"/>
  <c r="AC6" i="3"/>
  <c r="P20" i="6" s="1"/>
  <c r="BE6" i="3"/>
  <c r="S7" i="3"/>
  <c r="F21" i="6" s="1"/>
  <c r="AT7" i="3"/>
  <c r="I8" i="3"/>
  <c r="AN8" i="3"/>
  <c r="P9" i="18" s="1"/>
  <c r="B9" i="3"/>
  <c r="CB9" i="3" s="1"/>
  <c r="AC9" i="3"/>
  <c r="P23" i="6" s="1"/>
  <c r="BH9" i="3"/>
  <c r="U10" i="3"/>
  <c r="H24" i="6" s="1"/>
  <c r="AW10" i="3"/>
  <c r="O11" i="3"/>
  <c r="M12" i="15" s="1"/>
  <c r="AR11" i="3"/>
  <c r="F12" i="3"/>
  <c r="AO12" i="3"/>
  <c r="Q13" i="18" s="1"/>
  <c r="B13" i="3"/>
  <c r="AJ13" i="3"/>
  <c r="N14" i="17" s="1"/>
  <c r="BL13" i="3"/>
  <c r="AA14" i="3"/>
  <c r="BG14" i="3"/>
  <c r="V15" i="3"/>
  <c r="I29" i="6" s="1"/>
  <c r="AX15" i="3"/>
  <c r="R16" i="3"/>
  <c r="E30" i="6" s="1"/>
  <c r="AW16" i="3"/>
  <c r="P17" i="3"/>
  <c r="AT17" i="3"/>
  <c r="N18" i="3"/>
  <c r="AQ18" i="3"/>
  <c r="L19" i="3"/>
  <c r="AP19" i="3"/>
  <c r="R20" i="18" s="1"/>
  <c r="J20" i="3"/>
  <c r="AN20" i="3"/>
  <c r="P21" i="18" s="1"/>
  <c r="C21" i="3"/>
  <c r="AK21" i="3"/>
  <c r="A22" i="3"/>
  <c r="AK22" i="3"/>
  <c r="A23" i="3"/>
  <c r="AI23" i="3"/>
  <c r="BM23" i="3"/>
  <c r="AG24" i="3"/>
  <c r="T38" i="6" s="1"/>
  <c r="BL24" i="3"/>
  <c r="AF25" i="3"/>
  <c r="S39" i="6" s="1"/>
  <c r="BI25" i="3"/>
  <c r="AC26" i="3"/>
  <c r="P40" i="6" s="1"/>
  <c r="BG26" i="3"/>
  <c r="V27" i="3"/>
  <c r="I41" i="6" s="1"/>
  <c r="BH27" i="3"/>
  <c r="AB28" i="3"/>
  <c r="O42" i="6" s="1"/>
  <c r="BG28" i="3"/>
  <c r="AA29" i="3"/>
  <c r="BK29" i="3"/>
  <c r="BZ29" i="3" s="1"/>
  <c r="AG30" i="3"/>
  <c r="T44" i="6" s="1"/>
  <c r="BL30" i="3"/>
  <c r="AH31" i="3"/>
  <c r="U45" i="6" s="1"/>
  <c r="F32" i="3"/>
  <c r="AN32" i="3"/>
  <c r="P33" i="18" s="1"/>
  <c r="K33" i="3"/>
  <c r="AX33" i="3"/>
  <c r="O34" i="3"/>
  <c r="M35" i="15" s="1"/>
  <c r="AZ34" i="3"/>
  <c r="S35" i="3"/>
  <c r="F49" i="6" s="1"/>
  <c r="BG35" i="3"/>
  <c r="AC36" i="3"/>
  <c r="P50" i="6" s="1"/>
  <c r="BJ36" i="3"/>
  <c r="AF37" i="3"/>
  <c r="S51" i="6" s="1"/>
  <c r="B38" i="3"/>
  <c r="AH38" i="3"/>
  <c r="U52" i="6" s="1"/>
  <c r="I39" i="3"/>
  <c r="AT39" i="3"/>
  <c r="K40" i="3"/>
  <c r="AX40" i="3"/>
  <c r="O41" i="3"/>
  <c r="M42" i="15" s="1"/>
  <c r="BA41" i="3"/>
  <c r="AA42" i="3"/>
  <c r="BF42" i="3"/>
  <c r="AD43" i="3"/>
  <c r="Q57" i="6" s="1"/>
  <c r="C44" i="3"/>
  <c r="AK44" i="3"/>
  <c r="L45" i="3"/>
  <c r="AZ45" i="3"/>
  <c r="U46" i="3"/>
  <c r="H60" i="6" s="1"/>
  <c r="BG46" i="3"/>
  <c r="Y47" i="3"/>
  <c r="BN47" i="3"/>
  <c r="AQ48" i="3"/>
  <c r="L49" i="3"/>
  <c r="BC49" i="3"/>
  <c r="AC50" i="3"/>
  <c r="P64" i="6" s="1"/>
  <c r="BN50" i="3"/>
  <c r="AW51" i="3"/>
  <c r="AA52" i="3"/>
  <c r="BO52" i="3"/>
  <c r="AT53" i="3"/>
  <c r="AB54" i="3"/>
  <c r="O68" i="6" s="1"/>
  <c r="H55" i="3"/>
  <c r="AU55" i="3"/>
  <c r="N56" i="18" s="1"/>
  <c r="X56" i="3"/>
  <c r="K70" i="6" s="1"/>
  <c r="G57" i="3"/>
  <c r="AZ57" i="3"/>
  <c r="AB58" i="3"/>
  <c r="O72" i="6" s="1"/>
  <c r="E59" i="3"/>
  <c r="BL59" i="3"/>
  <c r="AQ60" i="3"/>
  <c r="Z61" i="3"/>
  <c r="I62" i="3"/>
  <c r="BK62" i="3"/>
  <c r="BZ62" i="3" s="1"/>
  <c r="AN63" i="3"/>
  <c r="P64" i="18" s="1"/>
  <c r="V64" i="3"/>
  <c r="I78" i="6" s="1"/>
  <c r="G65" i="3"/>
  <c r="BL65" i="3"/>
  <c r="AX66" i="3"/>
  <c r="AB67" i="3"/>
  <c r="O81" i="6" s="1"/>
  <c r="P68" i="3"/>
  <c r="BJ24" i="3"/>
  <c r="Z2" i="3"/>
  <c r="BA2" i="3"/>
  <c r="L3" i="3"/>
  <c r="AP3" i="3"/>
  <c r="R4" i="18" s="1"/>
  <c r="B4" i="3"/>
  <c r="AB4" i="3"/>
  <c r="O18" i="6" s="1"/>
  <c r="BC4" i="3"/>
  <c r="R5" i="3"/>
  <c r="E19" i="6" s="1"/>
  <c r="AS5" i="3"/>
  <c r="D6" i="3"/>
  <c r="AD6" i="3"/>
  <c r="Q20" i="6" s="1"/>
  <c r="BG6" i="3"/>
  <c r="T7" i="3"/>
  <c r="G21" i="6" s="1"/>
  <c r="AU7" i="3"/>
  <c r="N8" i="18" s="1"/>
  <c r="K8" i="3"/>
  <c r="AO8" i="3"/>
  <c r="Q9" i="18" s="1"/>
  <c r="C9" i="3"/>
  <c r="AD9" i="3"/>
  <c r="Q23" i="6" s="1"/>
  <c r="BI9" i="3"/>
  <c r="V10" i="3"/>
  <c r="I24" i="6" s="1"/>
  <c r="AX10" i="3"/>
  <c r="P11" i="3"/>
  <c r="AS11" i="3"/>
  <c r="H12" i="3"/>
  <c r="AP12" i="3"/>
  <c r="R13" i="18" s="1"/>
  <c r="C13" i="3"/>
  <c r="AK13" i="3"/>
  <c r="BM13" i="3"/>
  <c r="AB14" i="3"/>
  <c r="O28" i="6" s="1"/>
  <c r="BI14" i="3"/>
  <c r="W15" i="3"/>
  <c r="J29" i="6" s="1"/>
  <c r="AY15" i="3"/>
  <c r="T16" i="3"/>
  <c r="G30" i="6" s="1"/>
  <c r="AX16" i="3"/>
  <c r="Q17" i="3"/>
  <c r="AU17" i="3"/>
  <c r="N18" i="18" s="1"/>
  <c r="O18" i="3"/>
  <c r="M19" i="15" s="1"/>
  <c r="AR18" i="3"/>
  <c r="N19" i="3"/>
  <c r="AQ19" i="3"/>
  <c r="K20" i="3"/>
  <c r="AO20" i="3"/>
  <c r="Q21" i="18" s="1"/>
  <c r="D21" i="3"/>
  <c r="AM21" i="3"/>
  <c r="O22" i="18" s="1"/>
  <c r="C22" i="3"/>
  <c r="AM22" i="3"/>
  <c r="O23" i="18" s="1"/>
  <c r="B23" i="3"/>
  <c r="AJ23" i="3"/>
  <c r="N24" i="17" s="1"/>
  <c r="BN23" i="3"/>
  <c r="AH24" i="3"/>
  <c r="U38" i="6" s="1"/>
  <c r="BM24" i="3"/>
  <c r="AG25" i="3"/>
  <c r="T39" i="6" s="1"/>
  <c r="BJ25" i="3"/>
  <c r="AD26" i="3"/>
  <c r="Q40" i="6" s="1"/>
  <c r="BH26" i="3"/>
  <c r="W27" i="3"/>
  <c r="J41" i="6" s="1"/>
  <c r="BI27" i="3"/>
  <c r="AC28" i="3"/>
  <c r="P42" i="6" s="1"/>
  <c r="BH28" i="3"/>
  <c r="AE29" i="3"/>
  <c r="R43" i="6" s="1"/>
  <c r="BL29" i="3"/>
  <c r="AH30" i="3"/>
  <c r="U44" i="6" s="1"/>
  <c r="BM30" i="3"/>
  <c r="AJ31" i="3"/>
  <c r="N32" i="17" s="1"/>
  <c r="G32" i="3"/>
  <c r="AQ32" i="3"/>
  <c r="N33" i="3"/>
  <c r="AY33" i="3"/>
  <c r="P34" i="3"/>
  <c r="BA34" i="3"/>
  <c r="X35" i="3"/>
  <c r="K49" i="6" s="1"/>
  <c r="BH35" i="3"/>
  <c r="AD36" i="3"/>
  <c r="Q50" i="6" s="1"/>
  <c r="B37" i="3"/>
  <c r="CB37" i="3" s="1"/>
  <c r="AG37" i="3"/>
  <c r="T51" i="6" s="1"/>
  <c r="C38" i="3"/>
  <c r="AL38" i="3"/>
  <c r="BQ38" i="3" s="1"/>
  <c r="J39" i="3"/>
  <c r="AU39" i="3"/>
  <c r="N40" i="18" s="1"/>
  <c r="L40" i="3"/>
  <c r="AY40" i="3"/>
  <c r="P41" i="3"/>
  <c r="BD41" i="3"/>
  <c r="AB42" i="3"/>
  <c r="O56" i="6" s="1"/>
  <c r="BG42" i="3"/>
  <c r="AE43" i="3"/>
  <c r="R57" i="6" s="1"/>
  <c r="E44" i="3"/>
  <c r="AL44" i="3"/>
  <c r="BQ44" i="3" s="1"/>
  <c r="M45" i="3"/>
  <c r="BB45" i="3"/>
  <c r="V46" i="3"/>
  <c r="I60" i="6" s="1"/>
  <c r="BH46" i="3"/>
  <c r="Z47" i="3"/>
  <c r="A48" i="3"/>
  <c r="AS48" i="3"/>
  <c r="M49" i="3"/>
  <c r="BD49" i="3"/>
  <c r="AD50" i="3"/>
  <c r="Q64" i="6" s="1"/>
  <c r="BO50" i="3"/>
  <c r="AX51" i="3"/>
  <c r="AB52" i="3"/>
  <c r="O66" i="6" s="1"/>
  <c r="A53" i="3"/>
  <c r="AU53" i="3"/>
  <c r="N54" i="18" s="1"/>
  <c r="AC54" i="3"/>
  <c r="P68" i="6" s="1"/>
  <c r="I55" i="3"/>
  <c r="AV55" i="3"/>
  <c r="Y56" i="3"/>
  <c r="H57" i="3"/>
  <c r="BA57" i="3"/>
  <c r="AI58" i="3"/>
  <c r="F59" i="3"/>
  <c r="BM59" i="3"/>
  <c r="AT60" i="3"/>
  <c r="AB61" i="3"/>
  <c r="O75" i="6" s="1"/>
  <c r="J62" i="3"/>
  <c r="BO62" i="3"/>
  <c r="AO63" i="3"/>
  <c r="Q64" i="18" s="1"/>
  <c r="Y64" i="3"/>
  <c r="H65" i="3"/>
  <c r="BM65" i="3"/>
  <c r="AZ66" i="3"/>
  <c r="AC67" i="3"/>
  <c r="P81" i="6" s="1"/>
  <c r="Q68" i="3"/>
  <c r="BL23" i="3"/>
  <c r="A2" i="3"/>
  <c r="AB2" i="3"/>
  <c r="O16" i="6" s="1"/>
  <c r="BB2" i="3"/>
  <c r="M3" i="3"/>
  <c r="AQ3" i="3"/>
  <c r="C4" i="3"/>
  <c r="AC4" i="3"/>
  <c r="P18" i="6" s="1"/>
  <c r="BD4" i="3"/>
  <c r="S5" i="3"/>
  <c r="F19" i="6" s="1"/>
  <c r="AT5" i="3"/>
  <c r="E6" i="3"/>
  <c r="AE6" i="3"/>
  <c r="R20" i="6" s="1"/>
  <c r="BJ6" i="3"/>
  <c r="U7" i="3"/>
  <c r="H21" i="6" s="1"/>
  <c r="AY7" i="3"/>
  <c r="M8" i="3"/>
  <c r="AQ8" i="3"/>
  <c r="D9" i="3"/>
  <c r="AE9" i="3"/>
  <c r="R23" i="6" s="1"/>
  <c r="BJ9" i="3"/>
  <c r="W10" i="3"/>
  <c r="J24" i="6" s="1"/>
  <c r="AY10" i="3"/>
  <c r="Q11" i="3"/>
  <c r="AU11" i="3"/>
  <c r="N12" i="18" s="1"/>
  <c r="O12" i="3"/>
  <c r="M13" i="15" s="1"/>
  <c r="AQ12" i="3"/>
  <c r="D13" i="3"/>
  <c r="AL13" i="3"/>
  <c r="BQ13" i="3" s="1"/>
  <c r="BN13" i="3"/>
  <c r="AC14" i="3"/>
  <c r="P28" i="6" s="1"/>
  <c r="BJ14" i="3"/>
  <c r="X15" i="3"/>
  <c r="K29" i="6" s="1"/>
  <c r="BF15" i="3"/>
  <c r="U16" i="3"/>
  <c r="H30" i="6" s="1"/>
  <c r="AY16" i="3"/>
  <c r="R17" i="3"/>
  <c r="E31" i="6" s="1"/>
  <c r="AV17" i="3"/>
  <c r="P18" i="3"/>
  <c r="AS18" i="3"/>
  <c r="O19" i="3"/>
  <c r="M20" i="15" s="1"/>
  <c r="AR19" i="3"/>
  <c r="L20" i="3"/>
  <c r="AQ20" i="3"/>
  <c r="I21" i="3"/>
  <c r="AN21" i="3"/>
  <c r="P22" i="18" s="1"/>
  <c r="J22" i="3"/>
  <c r="AN22" i="3"/>
  <c r="P23" i="18" s="1"/>
  <c r="C23" i="3"/>
  <c r="AL23" i="3"/>
  <c r="BQ23" i="3" s="1"/>
  <c r="BO23" i="3"/>
  <c r="AJ24" i="3"/>
  <c r="N25" i="17" s="1"/>
  <c r="BN24" i="3"/>
  <c r="AH25" i="3"/>
  <c r="U39" i="6" s="1"/>
  <c r="BL25" i="3"/>
  <c r="AE26" i="3"/>
  <c r="R40" i="6" s="1"/>
  <c r="BJ26" i="3"/>
  <c r="AD27" i="3"/>
  <c r="Q41" i="6" s="1"/>
  <c r="BJ27" i="3"/>
  <c r="AD28" i="3"/>
  <c r="Q42" i="6" s="1"/>
  <c r="BI28" i="3"/>
  <c r="AG29" i="3"/>
  <c r="T43" i="6" s="1"/>
  <c r="BM29" i="3"/>
  <c r="AI30" i="3"/>
  <c r="E31" i="3"/>
  <c r="AL31" i="3"/>
  <c r="BQ31" i="3" s="1"/>
  <c r="H32" i="3"/>
  <c r="AV32" i="3"/>
  <c r="P33" i="3"/>
  <c r="AZ33" i="3"/>
  <c r="Q34" i="3"/>
  <c r="BB34" i="3"/>
  <c r="AA35" i="3"/>
  <c r="BI35" i="3"/>
  <c r="AE36" i="3"/>
  <c r="R50" i="6" s="1"/>
  <c r="C37" i="3"/>
  <c r="AH37" i="3"/>
  <c r="U51" i="6" s="1"/>
  <c r="D38" i="3"/>
  <c r="AT38" i="3"/>
  <c r="L39" i="3"/>
  <c r="AV39" i="3"/>
  <c r="N40" i="3"/>
  <c r="AZ40" i="3"/>
  <c r="U41" i="3"/>
  <c r="H55" i="6" s="1"/>
  <c r="BF41" i="3"/>
  <c r="AC42" i="3"/>
  <c r="P56" i="6" s="1"/>
  <c r="BN42" i="3"/>
  <c r="AF43" i="3"/>
  <c r="S57" i="6" s="1"/>
  <c r="F44" i="3"/>
  <c r="AO44" i="3"/>
  <c r="Q45" i="18" s="1"/>
  <c r="N45" i="3"/>
  <c r="BC45" i="3"/>
  <c r="W46" i="3"/>
  <c r="J60" i="6" s="1"/>
  <c r="BJ46" i="3"/>
  <c r="AA47" i="3"/>
  <c r="E48" i="3"/>
  <c r="AT48" i="3"/>
  <c r="N49" i="3"/>
  <c r="BE49" i="3"/>
  <c r="AE50" i="3"/>
  <c r="R64" i="6" s="1"/>
  <c r="D51" i="3"/>
  <c r="BB51" i="3"/>
  <c r="AC52" i="3"/>
  <c r="P66" i="6" s="1"/>
  <c r="H53" i="3"/>
  <c r="AY53" i="3"/>
  <c r="AD54" i="3"/>
  <c r="Q68" i="6" s="1"/>
  <c r="J55" i="3"/>
  <c r="BA55" i="3"/>
  <c r="AC56" i="3"/>
  <c r="P70" i="6" s="1"/>
  <c r="I57" i="3"/>
  <c r="BC57" i="3"/>
  <c r="AJ58" i="3"/>
  <c r="N59" i="17" s="1"/>
  <c r="M59" i="3"/>
  <c r="BN59" i="3"/>
  <c r="AU60" i="3"/>
  <c r="N61" i="18" s="1"/>
  <c r="AF61" i="3"/>
  <c r="S75" i="6" s="1"/>
  <c r="O62" i="3"/>
  <c r="M63" i="15" s="1"/>
  <c r="C63" i="3"/>
  <c r="AP63" i="3"/>
  <c r="R64" i="18" s="1"/>
  <c r="AA64" i="3"/>
  <c r="L65" i="3"/>
  <c r="BO65" i="3"/>
  <c r="BA66" i="3"/>
  <c r="AI67" i="3"/>
  <c r="AZ68" i="3"/>
  <c r="AF68" i="3"/>
  <c r="S82" i="6" s="1"/>
  <c r="L68" i="3"/>
  <c r="BG67" i="3"/>
  <c r="AM67" i="3"/>
  <c r="O68" i="18" s="1"/>
  <c r="S67" i="3"/>
  <c r="F81" i="6" s="1"/>
  <c r="BN66" i="3"/>
  <c r="AT66" i="3"/>
  <c r="Z66" i="3"/>
  <c r="F66" i="3"/>
  <c r="BA65" i="3"/>
  <c r="AG65" i="3"/>
  <c r="T79" i="6" s="1"/>
  <c r="M65" i="3"/>
  <c r="BJ68" i="3"/>
  <c r="AO68" i="3"/>
  <c r="Q69" i="18" s="1"/>
  <c r="T68" i="3"/>
  <c r="G82" i="6" s="1"/>
  <c r="BN67" i="3"/>
  <c r="AS67" i="3"/>
  <c r="X67" i="3"/>
  <c r="K81" i="6" s="1"/>
  <c r="C67" i="3"/>
  <c r="AW66" i="3"/>
  <c r="AB66" i="3"/>
  <c r="O80" i="6" s="1"/>
  <c r="G66" i="3"/>
  <c r="AZ65" i="3"/>
  <c r="AE65" i="3"/>
  <c r="R79" i="6" s="1"/>
  <c r="J65" i="3"/>
  <c r="BE64" i="3"/>
  <c r="AK64" i="3"/>
  <c r="Q64" i="3"/>
  <c r="BL63" i="3"/>
  <c r="AR63" i="3"/>
  <c r="X63" i="3"/>
  <c r="K77" i="6" s="1"/>
  <c r="D63" i="3"/>
  <c r="AY62" i="3"/>
  <c r="AE62" i="3"/>
  <c r="R76" i="6" s="1"/>
  <c r="K62" i="3"/>
  <c r="BF61" i="3"/>
  <c r="AL61" i="3"/>
  <c r="BQ61" i="3" s="1"/>
  <c r="R61" i="3"/>
  <c r="E75" i="6" s="1"/>
  <c r="BM60" i="3"/>
  <c r="AS60" i="3"/>
  <c r="Y60" i="3"/>
  <c r="E60" i="3"/>
  <c r="AZ59" i="3"/>
  <c r="AF59" i="3"/>
  <c r="S73" i="6" s="1"/>
  <c r="L59" i="3"/>
  <c r="BG68" i="3"/>
  <c r="AK68" i="3"/>
  <c r="O68" i="3"/>
  <c r="BH67" i="3"/>
  <c r="AK67" i="3"/>
  <c r="O67" i="3"/>
  <c r="M68" i="15" s="1"/>
  <c r="BH66" i="3"/>
  <c r="AL66" i="3"/>
  <c r="BQ66" i="3" s="1"/>
  <c r="P66" i="3"/>
  <c r="BI65" i="3"/>
  <c r="AM65" i="3"/>
  <c r="O66" i="18" s="1"/>
  <c r="Q65" i="3"/>
  <c r="BJ64" i="3"/>
  <c r="AO64" i="3"/>
  <c r="Q65" i="18" s="1"/>
  <c r="T64" i="3"/>
  <c r="G78" i="6" s="1"/>
  <c r="BN63" i="3"/>
  <c r="AS63" i="3"/>
  <c r="W63" i="3"/>
  <c r="J77" i="6" s="1"/>
  <c r="B63" i="3"/>
  <c r="AV62" i="3"/>
  <c r="AA62" i="3"/>
  <c r="F62" i="3"/>
  <c r="AZ61" i="3"/>
  <c r="AE61" i="3"/>
  <c r="R75" i="6" s="1"/>
  <c r="J61" i="3"/>
  <c r="BD60" i="3"/>
  <c r="AI60" i="3"/>
  <c r="N60" i="3"/>
  <c r="BH59" i="3"/>
  <c r="AM59" i="3"/>
  <c r="O60" i="18" s="1"/>
  <c r="R59" i="3"/>
  <c r="E73" i="6" s="1"/>
  <c r="BL58" i="3"/>
  <c r="AR58" i="3"/>
  <c r="X58" i="3"/>
  <c r="K72" i="6" s="1"/>
  <c r="D58" i="3"/>
  <c r="AY57" i="3"/>
  <c r="AE57" i="3"/>
  <c r="R71" i="6" s="1"/>
  <c r="K57" i="3"/>
  <c r="BF56" i="3"/>
  <c r="AL56" i="3"/>
  <c r="BQ56" i="3" s="1"/>
  <c r="R56" i="3"/>
  <c r="E70" i="6" s="1"/>
  <c r="BM55" i="3"/>
  <c r="AS55" i="3"/>
  <c r="Y55" i="3"/>
  <c r="E55" i="3"/>
  <c r="AZ54" i="3"/>
  <c r="AF54" i="3"/>
  <c r="S68" i="6" s="1"/>
  <c r="L54" i="3"/>
  <c r="BG53" i="3"/>
  <c r="AM53" i="3"/>
  <c r="O54" i="18" s="1"/>
  <c r="S53" i="3"/>
  <c r="F67" i="6" s="1"/>
  <c r="BN52" i="3"/>
  <c r="AT52" i="3"/>
  <c r="Z52" i="3"/>
  <c r="F52" i="3"/>
  <c r="BA51" i="3"/>
  <c r="AG51" i="3"/>
  <c r="T65" i="6" s="1"/>
  <c r="M51" i="3"/>
  <c r="BH50" i="3"/>
  <c r="AN50" i="3"/>
  <c r="P51" i="18" s="1"/>
  <c r="T50" i="3"/>
  <c r="G64" i="6" s="1"/>
  <c r="BO49" i="3"/>
  <c r="AU49" i="3"/>
  <c r="N50" i="18" s="1"/>
  <c r="AA49" i="3"/>
  <c r="G49" i="3"/>
  <c r="BB48" i="3"/>
  <c r="AH48" i="3"/>
  <c r="U62" i="6" s="1"/>
  <c r="N48" i="3"/>
  <c r="BD68" i="3"/>
  <c r="AG68" i="3"/>
  <c r="T82" i="6" s="1"/>
  <c r="I68" i="3"/>
  <c r="BA67" i="3"/>
  <c r="AD67" i="3"/>
  <c r="Q81" i="6" s="1"/>
  <c r="G67" i="3"/>
  <c r="AY66" i="3"/>
  <c r="AA66" i="3"/>
  <c r="C66" i="3"/>
  <c r="AU65" i="3"/>
  <c r="N66" i="18" s="1"/>
  <c r="X65" i="3"/>
  <c r="K79" i="6" s="1"/>
  <c r="A65" i="3"/>
  <c r="AT64" i="3"/>
  <c r="X64" i="3"/>
  <c r="K78" i="6" s="1"/>
  <c r="B64" i="3"/>
  <c r="CB64" i="3" s="1"/>
  <c r="AU63" i="3"/>
  <c r="N64" i="18" s="1"/>
  <c r="Y63" i="3"/>
  <c r="A63" i="3"/>
  <c r="AT62" i="3"/>
  <c r="X62" i="3"/>
  <c r="K76" i="6" s="1"/>
  <c r="B62" i="3"/>
  <c r="CB62" i="3" s="1"/>
  <c r="AU61" i="3"/>
  <c r="N62" i="18" s="1"/>
  <c r="Y61" i="3"/>
  <c r="C61" i="3"/>
  <c r="AV60" i="3"/>
  <c r="Z60" i="3"/>
  <c r="C60" i="3"/>
  <c r="AV59" i="3"/>
  <c r="Z59" i="3"/>
  <c r="D59" i="3"/>
  <c r="AX58" i="3"/>
  <c r="AC58" i="3"/>
  <c r="P72" i="6" s="1"/>
  <c r="H58" i="3"/>
  <c r="BB57" i="3"/>
  <c r="AG57" i="3"/>
  <c r="T71" i="6" s="1"/>
  <c r="L57" i="3"/>
  <c r="BE56" i="3"/>
  <c r="AJ56" i="3"/>
  <c r="N57" i="17" s="1"/>
  <c r="O56" i="3"/>
  <c r="M57" i="15" s="1"/>
  <c r="BI55" i="3"/>
  <c r="AN55" i="3"/>
  <c r="P56" i="18" s="1"/>
  <c r="S55" i="3"/>
  <c r="F69" i="6" s="1"/>
  <c r="BM54" i="3"/>
  <c r="AR54" i="3"/>
  <c r="W54" i="3"/>
  <c r="J68" i="6" s="1"/>
  <c r="B54" i="3"/>
  <c r="CB54" i="3" s="1"/>
  <c r="AV53" i="3"/>
  <c r="AA53" i="3"/>
  <c r="F53" i="3"/>
  <c r="AZ52" i="3"/>
  <c r="AE52" i="3"/>
  <c r="R66" i="6" s="1"/>
  <c r="J52" i="3"/>
  <c r="BD51" i="3"/>
  <c r="AI51" i="3"/>
  <c r="N51" i="3"/>
  <c r="BG50" i="3"/>
  <c r="AL50" i="3"/>
  <c r="BQ50" i="3" s="1"/>
  <c r="AW68" i="3"/>
  <c r="Y68" i="3"/>
  <c r="A68" i="3"/>
  <c r="AQ67" i="3"/>
  <c r="R67" i="3"/>
  <c r="E81" i="6" s="1"/>
  <c r="BI66" i="3"/>
  <c r="AJ66" i="3"/>
  <c r="N67" i="17" s="1"/>
  <c r="L66" i="3"/>
  <c r="BC65" i="3"/>
  <c r="AC65" i="3"/>
  <c r="P79" i="6" s="1"/>
  <c r="E65" i="3"/>
  <c r="AW64" i="3"/>
  <c r="Z64" i="3"/>
  <c r="C64" i="3"/>
  <c r="AT63" i="3"/>
  <c r="U63" i="3"/>
  <c r="H77" i="6" s="1"/>
  <c r="BM62" i="3"/>
  <c r="AP62" i="3"/>
  <c r="R63" i="18" s="1"/>
  <c r="S62" i="3"/>
  <c r="F76" i="6" s="1"/>
  <c r="BK61" i="3"/>
  <c r="BZ61" i="3" s="1"/>
  <c r="AN61" i="3"/>
  <c r="P62" i="18" s="1"/>
  <c r="P61" i="3"/>
  <c r="BH60" i="3"/>
  <c r="AK60" i="3"/>
  <c r="M60" i="3"/>
  <c r="BE59" i="3"/>
  <c r="AH59" i="3"/>
  <c r="U73" i="6" s="1"/>
  <c r="J59" i="3"/>
  <c r="BC58" i="3"/>
  <c r="AG58" i="3"/>
  <c r="T72" i="6" s="1"/>
  <c r="K58" i="3"/>
  <c r="BD57" i="3"/>
  <c r="AH57" i="3"/>
  <c r="U71" i="6" s="1"/>
  <c r="J57" i="3"/>
  <c r="BC56" i="3"/>
  <c r="AG56" i="3"/>
  <c r="T70" i="6" s="1"/>
  <c r="K56" i="3"/>
  <c r="BD55" i="3"/>
  <c r="AH55" i="3"/>
  <c r="U69" i="6" s="1"/>
  <c r="L55" i="3"/>
  <c r="BE54" i="3"/>
  <c r="AI54" i="3"/>
  <c r="M54" i="3"/>
  <c r="BE53" i="3"/>
  <c r="AI53" i="3"/>
  <c r="M53" i="3"/>
  <c r="BF52" i="3"/>
  <c r="AJ52" i="3"/>
  <c r="N53" i="17" s="1"/>
  <c r="N52" i="3"/>
  <c r="BG51" i="3"/>
  <c r="AK51" i="3"/>
  <c r="O51" i="3"/>
  <c r="M52" i="15" s="1"/>
  <c r="BF50" i="3"/>
  <c r="AJ50" i="3"/>
  <c r="N51" i="17" s="1"/>
  <c r="O50" i="3"/>
  <c r="M51" i="15" s="1"/>
  <c r="BI49" i="3"/>
  <c r="AN49" i="3"/>
  <c r="P50" i="18" s="1"/>
  <c r="S49" i="3"/>
  <c r="F63" i="6" s="1"/>
  <c r="BM48" i="3"/>
  <c r="AR48" i="3"/>
  <c r="W48" i="3"/>
  <c r="J62" i="6" s="1"/>
  <c r="B48" i="3"/>
  <c r="CB48" i="3" s="1"/>
  <c r="AW47" i="3"/>
  <c r="AC47" i="3"/>
  <c r="P61" i="6" s="1"/>
  <c r="I47" i="3"/>
  <c r="BD46" i="3"/>
  <c r="AJ46" i="3"/>
  <c r="N47" i="17" s="1"/>
  <c r="P46" i="3"/>
  <c r="BK45" i="3"/>
  <c r="BZ45" i="3" s="1"/>
  <c r="AQ45" i="3"/>
  <c r="W45" i="3"/>
  <c r="J59" i="6" s="1"/>
  <c r="C45" i="3"/>
  <c r="AX44" i="3"/>
  <c r="AD44" i="3"/>
  <c r="Q58" i="6" s="1"/>
  <c r="J44" i="3"/>
  <c r="BE43" i="3"/>
  <c r="AK43" i="3"/>
  <c r="Q43" i="3"/>
  <c r="BL42" i="3"/>
  <c r="AR42" i="3"/>
  <c r="X42" i="3"/>
  <c r="K56" i="6" s="1"/>
  <c r="D42" i="3"/>
  <c r="AY41" i="3"/>
  <c r="AE41" i="3"/>
  <c r="R55" i="6" s="1"/>
  <c r="K41" i="3"/>
  <c r="BF40" i="3"/>
  <c r="AL40" i="3"/>
  <c r="BQ40" i="3" s="1"/>
  <c r="R40" i="3"/>
  <c r="E54" i="6" s="1"/>
  <c r="BM39" i="3"/>
  <c r="AS39" i="3"/>
  <c r="Y39" i="3"/>
  <c r="E39" i="3"/>
  <c r="AZ38" i="3"/>
  <c r="AF38" i="3"/>
  <c r="S52" i="6" s="1"/>
  <c r="L38" i="3"/>
  <c r="BG37" i="3"/>
  <c r="AM37" i="3"/>
  <c r="O38" i="18" s="1"/>
  <c r="S37" i="3"/>
  <c r="F51" i="6" s="1"/>
  <c r="BN36" i="3"/>
  <c r="AT36" i="3"/>
  <c r="Z36" i="3"/>
  <c r="F36" i="3"/>
  <c r="BA35" i="3"/>
  <c r="AG35" i="3"/>
  <c r="T49" i="6" s="1"/>
  <c r="M35" i="3"/>
  <c r="BH34" i="3"/>
  <c r="AN34" i="3"/>
  <c r="P35" i="18" s="1"/>
  <c r="T34" i="3"/>
  <c r="G48" i="6" s="1"/>
  <c r="BO33" i="3"/>
  <c r="AU33" i="3"/>
  <c r="N34" i="18" s="1"/>
  <c r="AA33" i="3"/>
  <c r="G33" i="3"/>
  <c r="BB32" i="3"/>
  <c r="AH32" i="3"/>
  <c r="U46" i="6" s="1"/>
  <c r="N32" i="3"/>
  <c r="BI31" i="3"/>
  <c r="AO31" i="3"/>
  <c r="Q32" i="18" s="1"/>
  <c r="U31" i="3"/>
  <c r="H45" i="6" s="1"/>
  <c r="A31" i="3"/>
  <c r="AV30" i="3"/>
  <c r="AB30" i="3"/>
  <c r="O44" i="6" s="1"/>
  <c r="H30" i="3"/>
  <c r="BC29" i="3"/>
  <c r="AI29" i="3"/>
  <c r="O29" i="3"/>
  <c r="M30" i="15" s="1"/>
  <c r="BJ28" i="3"/>
  <c r="AP28" i="3"/>
  <c r="R29" i="18" s="1"/>
  <c r="V28" i="3"/>
  <c r="I42" i="6" s="1"/>
  <c r="B28" i="3"/>
  <c r="AW27" i="3"/>
  <c r="AC27" i="3"/>
  <c r="P41" i="6" s="1"/>
  <c r="I27" i="3"/>
  <c r="BD26" i="3"/>
  <c r="AJ26" i="3"/>
  <c r="N27" i="17" s="1"/>
  <c r="P26" i="3"/>
  <c r="BK25" i="3"/>
  <c r="BZ25" i="3" s="1"/>
  <c r="AQ25" i="3"/>
  <c r="W25" i="3"/>
  <c r="J39" i="6" s="1"/>
  <c r="C25" i="3"/>
  <c r="AX24" i="3"/>
  <c r="AD24" i="3"/>
  <c r="Q38" i="6" s="1"/>
  <c r="J24" i="3"/>
  <c r="BE23" i="3"/>
  <c r="AK23" i="3"/>
  <c r="Q23" i="3"/>
  <c r="BL22" i="3"/>
  <c r="AR22" i="3"/>
  <c r="X22" i="3"/>
  <c r="K36" i="6" s="1"/>
  <c r="D22" i="3"/>
  <c r="AY21" i="3"/>
  <c r="AE21" i="3"/>
  <c r="R35" i="6" s="1"/>
  <c r="K21" i="3"/>
  <c r="BF20" i="3"/>
  <c r="AL20" i="3"/>
  <c r="BQ20" i="3" s="1"/>
  <c r="R20" i="3"/>
  <c r="E34" i="6" s="1"/>
  <c r="BM19" i="3"/>
  <c r="AS19" i="3"/>
  <c r="Y19" i="3"/>
  <c r="E19" i="3"/>
  <c r="AZ18" i="3"/>
  <c r="AF18" i="3"/>
  <c r="S32" i="6" s="1"/>
  <c r="L18" i="3"/>
  <c r="BG17" i="3"/>
  <c r="CA17" i="3" s="1"/>
  <c r="AM17" i="3"/>
  <c r="O18" i="18" s="1"/>
  <c r="S17" i="3"/>
  <c r="F31" i="6" s="1"/>
  <c r="BN16" i="3"/>
  <c r="AT16" i="3"/>
  <c r="Z16" i="3"/>
  <c r="F16" i="3"/>
  <c r="BA15" i="3"/>
  <c r="AG15" i="3"/>
  <c r="T29" i="6" s="1"/>
  <c r="M15" i="3"/>
  <c r="BH14" i="3"/>
  <c r="AN14" i="3"/>
  <c r="P15" i="18" s="1"/>
  <c r="T14" i="3"/>
  <c r="G28" i="6" s="1"/>
  <c r="BO13" i="3"/>
  <c r="AU13" i="3"/>
  <c r="N14" i="18" s="1"/>
  <c r="AA13" i="3"/>
  <c r="G13" i="3"/>
  <c r="BB12" i="3"/>
  <c r="AH12" i="3"/>
  <c r="U26" i="6" s="1"/>
  <c r="N12" i="3"/>
  <c r="BI11" i="3"/>
  <c r="AO11" i="3"/>
  <c r="U11" i="3"/>
  <c r="H25" i="6" s="1"/>
  <c r="A11" i="3"/>
  <c r="AV10" i="3"/>
  <c r="AB10" i="3"/>
  <c r="O24" i="6" s="1"/>
  <c r="H10" i="3"/>
  <c r="BC9" i="3"/>
  <c r="AI9" i="3"/>
  <c r="O9" i="3"/>
  <c r="M10" i="15" s="1"/>
  <c r="BJ8" i="3"/>
  <c r="AP8" i="3"/>
  <c r="R9" i="18" s="1"/>
  <c r="V8" i="3"/>
  <c r="I22" i="6" s="1"/>
  <c r="B8" i="3"/>
  <c r="CB8" i="3" s="1"/>
  <c r="AW7" i="3"/>
  <c r="AC7" i="3"/>
  <c r="P21" i="6" s="1"/>
  <c r="I7" i="3"/>
  <c r="BD6" i="3"/>
  <c r="AJ6" i="3"/>
  <c r="N7" i="17" s="1"/>
  <c r="P6" i="3"/>
  <c r="BK5" i="3"/>
  <c r="BZ5" i="3" s="1"/>
  <c r="AQ5" i="3"/>
  <c r="W5" i="3"/>
  <c r="J19" i="6" s="1"/>
  <c r="C5" i="3"/>
  <c r="AX4" i="3"/>
  <c r="BX4" i="3" s="1"/>
  <c r="AD4" i="3"/>
  <c r="Q18" i="6" s="1"/>
  <c r="J4" i="3"/>
  <c r="BE3" i="3"/>
  <c r="AK3" i="3"/>
  <c r="Q3" i="3"/>
  <c r="BL2" i="3"/>
  <c r="AR2" i="3"/>
  <c r="X2" i="3"/>
  <c r="K16" i="6" s="1"/>
  <c r="D2" i="3"/>
  <c r="BC68" i="3"/>
  <c r="AC68" i="3"/>
  <c r="P82" i="6" s="1"/>
  <c r="D68" i="3"/>
  <c r="AT67" i="3"/>
  <c r="T67" i="3"/>
  <c r="G81" i="6" s="1"/>
  <c r="BG66" i="3"/>
  <c r="AH66" i="3"/>
  <c r="U80" i="6" s="1"/>
  <c r="I66" i="3"/>
  <c r="AW65" i="3"/>
  <c r="W65" i="3"/>
  <c r="J79" i="6" s="1"/>
  <c r="BM64" i="3"/>
  <c r="AN64" i="3"/>
  <c r="P65" i="18" s="1"/>
  <c r="O64" i="3"/>
  <c r="M65" i="15" s="1"/>
  <c r="BF63" i="3"/>
  <c r="AH63" i="3"/>
  <c r="U77" i="6" s="1"/>
  <c r="J63" i="3"/>
  <c r="BA62" i="3"/>
  <c r="AB62" i="3"/>
  <c r="O76" i="6" s="1"/>
  <c r="C62" i="3"/>
  <c r="AS61" i="3"/>
  <c r="U61" i="3"/>
  <c r="H75" i="6" s="1"/>
  <c r="BK60" i="3"/>
  <c r="BZ60" i="3" s="1"/>
  <c r="AM60" i="3"/>
  <c r="O61" i="18" s="1"/>
  <c r="O60" i="3"/>
  <c r="M61" i="15" s="1"/>
  <c r="BD59" i="3"/>
  <c r="AE59" i="3"/>
  <c r="R73" i="6" s="1"/>
  <c r="G59" i="3"/>
  <c r="AY58" i="3"/>
  <c r="AA58" i="3"/>
  <c r="C58" i="3"/>
  <c r="AU57" i="3"/>
  <c r="N58" i="18" s="1"/>
  <c r="X57" i="3"/>
  <c r="K71" i="6" s="1"/>
  <c r="A57" i="3"/>
  <c r="AS56" i="3"/>
  <c r="V56" i="3"/>
  <c r="I70" i="6" s="1"/>
  <c r="BN55" i="3"/>
  <c r="AP55" i="3"/>
  <c r="R56" i="18" s="1"/>
  <c r="R55" i="3"/>
  <c r="E69" i="6" s="1"/>
  <c r="BJ54" i="3"/>
  <c r="AM54" i="3"/>
  <c r="O55" i="18" s="1"/>
  <c r="P54" i="3"/>
  <c r="BH53" i="3"/>
  <c r="AJ53" i="3"/>
  <c r="N54" i="17" s="1"/>
  <c r="L53" i="3"/>
  <c r="BD52" i="3"/>
  <c r="AG52" i="3"/>
  <c r="T66" i="6" s="1"/>
  <c r="I52" i="3"/>
  <c r="AZ51" i="3"/>
  <c r="AC51" i="3"/>
  <c r="P65" i="6" s="1"/>
  <c r="F51" i="3"/>
  <c r="AX50" i="3"/>
  <c r="AA50" i="3"/>
  <c r="E50" i="3"/>
  <c r="AX49" i="3"/>
  <c r="AB49" i="3"/>
  <c r="O63" i="6" s="1"/>
  <c r="E49" i="3"/>
  <c r="AX48" i="3"/>
  <c r="BX48" i="3" s="1"/>
  <c r="AB48" i="3"/>
  <c r="O62" i="6" s="1"/>
  <c r="F48" i="3"/>
  <c r="AZ47" i="3"/>
  <c r="AE47" i="3"/>
  <c r="R61" i="6" s="1"/>
  <c r="J47" i="3"/>
  <c r="BC46" i="3"/>
  <c r="AH46" i="3"/>
  <c r="U60" i="6" s="1"/>
  <c r="M46" i="3"/>
  <c r="BG45" i="3"/>
  <c r="AL45" i="3"/>
  <c r="BQ45" i="3" s="1"/>
  <c r="Q45" i="3"/>
  <c r="BK44" i="3"/>
  <c r="BZ44" i="3" s="1"/>
  <c r="AP44" i="3"/>
  <c r="R45" i="18" s="1"/>
  <c r="U44" i="3"/>
  <c r="H58" i="6" s="1"/>
  <c r="BO43" i="3"/>
  <c r="AT43" i="3"/>
  <c r="Y43" i="3"/>
  <c r="D43" i="3"/>
  <c r="BM68" i="3"/>
  <c r="AL68" i="3"/>
  <c r="J68" i="3"/>
  <c r="AX67" i="3"/>
  <c r="W67" i="3"/>
  <c r="J81" i="6" s="1"/>
  <c r="BK66" i="3"/>
  <c r="BZ66" i="3" s="1"/>
  <c r="AI66" i="3"/>
  <c r="H66" i="3"/>
  <c r="AT65" i="3"/>
  <c r="T65" i="3"/>
  <c r="G79" i="6" s="1"/>
  <c r="BH64" i="3"/>
  <c r="AH64" i="3"/>
  <c r="U78" i="6" s="1"/>
  <c r="I64" i="3"/>
  <c r="AY63" i="3"/>
  <c r="Z63" i="3"/>
  <c r="BL62" i="3"/>
  <c r="AM62" i="3"/>
  <c r="O63" i="18" s="1"/>
  <c r="N62" i="3"/>
  <c r="BC61" i="3"/>
  <c r="AC61" i="3"/>
  <c r="P75" i="6" s="1"/>
  <c r="D61" i="3"/>
  <c r="AR60" i="3"/>
  <c r="S60" i="3"/>
  <c r="F74" i="6" s="1"/>
  <c r="BI59" i="3"/>
  <c r="AI59" i="3"/>
  <c r="H59" i="3"/>
  <c r="AW58" i="3"/>
  <c r="Y58" i="3"/>
  <c r="BO57" i="3"/>
  <c r="AQ57" i="3"/>
  <c r="S57" i="3"/>
  <c r="F71" i="6" s="1"/>
  <c r="BJ56" i="3"/>
  <c r="AK56" i="3"/>
  <c r="L56" i="3"/>
  <c r="BB55" i="3"/>
  <c r="AD55" i="3"/>
  <c r="Q69" i="6" s="1"/>
  <c r="F55" i="3"/>
  <c r="AV54" i="3"/>
  <c r="X54" i="3"/>
  <c r="K68" i="6" s="1"/>
  <c r="BN53" i="3"/>
  <c r="AP53" i="3"/>
  <c r="R54" i="18" s="1"/>
  <c r="Q53" i="3"/>
  <c r="BH52" i="3"/>
  <c r="AI52" i="3"/>
  <c r="K52" i="3"/>
  <c r="AY51" i="3"/>
  <c r="AA51" i="3"/>
  <c r="C51" i="3"/>
  <c r="AT50" i="3"/>
  <c r="V50" i="3"/>
  <c r="I64" i="6" s="1"/>
  <c r="BM49" i="3"/>
  <c r="AP49" i="3"/>
  <c r="R50" i="18" s="1"/>
  <c r="R49" i="3"/>
  <c r="E63" i="6" s="1"/>
  <c r="BJ48" i="3"/>
  <c r="AM48" i="3"/>
  <c r="O49" i="18" s="1"/>
  <c r="P48" i="3"/>
  <c r="BH47" i="3"/>
  <c r="AL47" i="3"/>
  <c r="BQ47" i="3" s="1"/>
  <c r="P47" i="3"/>
  <c r="BI46" i="3"/>
  <c r="AM46" i="3"/>
  <c r="O47" i="18" s="1"/>
  <c r="Q46" i="3"/>
  <c r="BI45" i="3"/>
  <c r="AM45" i="3"/>
  <c r="O46" i="18" s="1"/>
  <c r="P45" i="3"/>
  <c r="BI44" i="3"/>
  <c r="AM44" i="3"/>
  <c r="O45" i="18" s="1"/>
  <c r="Q44" i="3"/>
  <c r="BJ43" i="3"/>
  <c r="AN43" i="3"/>
  <c r="P44" i="18" s="1"/>
  <c r="R43" i="3"/>
  <c r="E57" i="6" s="1"/>
  <c r="BJ42" i="3"/>
  <c r="AO42" i="3"/>
  <c r="Q43" i="18" s="1"/>
  <c r="T42" i="3"/>
  <c r="G56" i="6" s="1"/>
  <c r="BN41" i="3"/>
  <c r="AS41" i="3"/>
  <c r="X41" i="3"/>
  <c r="K55" i="6" s="1"/>
  <c r="C41" i="3"/>
  <c r="AW40" i="3"/>
  <c r="AB40" i="3"/>
  <c r="O54" i="6" s="1"/>
  <c r="G40" i="3"/>
  <c r="BA39" i="3"/>
  <c r="AF39" i="3"/>
  <c r="S53" i="6" s="1"/>
  <c r="K39" i="3"/>
  <c r="BE38" i="3"/>
  <c r="AJ38" i="3"/>
  <c r="N39" i="17" s="1"/>
  <c r="O38" i="3"/>
  <c r="M39" i="15" s="1"/>
  <c r="BI37" i="3"/>
  <c r="AN37" i="3"/>
  <c r="P38" i="18" s="1"/>
  <c r="R37" i="3"/>
  <c r="E51" i="6" s="1"/>
  <c r="BL36" i="3"/>
  <c r="AQ36" i="3"/>
  <c r="V36" i="3"/>
  <c r="I50" i="6" s="1"/>
  <c r="A36" i="3"/>
  <c r="AU35" i="3"/>
  <c r="N36" i="18" s="1"/>
  <c r="Z35" i="3"/>
  <c r="E35" i="3"/>
  <c r="AY34" i="3"/>
  <c r="AD34" i="3"/>
  <c r="Q48" i="6" s="1"/>
  <c r="I34" i="3"/>
  <c r="BC33" i="3"/>
  <c r="AH33" i="3"/>
  <c r="U47" i="6" s="1"/>
  <c r="M33" i="3"/>
  <c r="BG32" i="3"/>
  <c r="AL32" i="3"/>
  <c r="BQ32" i="3" s="1"/>
  <c r="Q32" i="3"/>
  <c r="BK31" i="3"/>
  <c r="BZ31" i="3" s="1"/>
  <c r="AP31" i="3"/>
  <c r="R32" i="18" s="1"/>
  <c r="T31" i="3"/>
  <c r="G45" i="6" s="1"/>
  <c r="BN30" i="3"/>
  <c r="AS30" i="3"/>
  <c r="X30" i="3"/>
  <c r="K44" i="6" s="1"/>
  <c r="C30" i="3"/>
  <c r="AW29" i="3"/>
  <c r="AB29" i="3"/>
  <c r="O43" i="6" s="1"/>
  <c r="G29" i="3"/>
  <c r="BA28" i="3"/>
  <c r="AF28" i="3"/>
  <c r="S42" i="6" s="1"/>
  <c r="K28" i="3"/>
  <c r="BE27" i="3"/>
  <c r="AJ27" i="3"/>
  <c r="N28" i="17" s="1"/>
  <c r="O27" i="3"/>
  <c r="M28" i="15" s="1"/>
  <c r="BI26" i="3"/>
  <c r="AN26" i="3"/>
  <c r="P27" i="18" s="1"/>
  <c r="S26" i="3"/>
  <c r="F40" i="6" s="1"/>
  <c r="BM25" i="3"/>
  <c r="AR25" i="3"/>
  <c r="V25" i="3"/>
  <c r="I39" i="6" s="1"/>
  <c r="A25" i="3"/>
  <c r="AU24" i="3"/>
  <c r="N25" i="18" s="1"/>
  <c r="Z24" i="3"/>
  <c r="E24" i="3"/>
  <c r="AY23" i="3"/>
  <c r="AD23" i="3"/>
  <c r="Q37" i="6" s="1"/>
  <c r="I23" i="3"/>
  <c r="BC22" i="3"/>
  <c r="AH22" i="3"/>
  <c r="U36" i="6" s="1"/>
  <c r="M22" i="3"/>
  <c r="BG21" i="3"/>
  <c r="AL21" i="3"/>
  <c r="BQ21" i="3" s="1"/>
  <c r="Q21" i="3"/>
  <c r="BK20" i="3"/>
  <c r="BZ20" i="3" s="1"/>
  <c r="AP20" i="3"/>
  <c r="R21" i="18" s="1"/>
  <c r="U20" i="3"/>
  <c r="H34" i="6" s="1"/>
  <c r="BO19" i="3"/>
  <c r="AT19" i="3"/>
  <c r="X19" i="3"/>
  <c r="K33" i="6" s="1"/>
  <c r="C19" i="3"/>
  <c r="AW18" i="3"/>
  <c r="AB18" i="3"/>
  <c r="O32" i="6" s="1"/>
  <c r="G18" i="3"/>
  <c r="BA17" i="3"/>
  <c r="AF17" i="3"/>
  <c r="S31" i="6" s="1"/>
  <c r="K17" i="3"/>
  <c r="BE16" i="3"/>
  <c r="AJ16" i="3"/>
  <c r="N17" i="17" s="1"/>
  <c r="O16" i="3"/>
  <c r="M17" i="15" s="1"/>
  <c r="BI15" i="3"/>
  <c r="AN15" i="3"/>
  <c r="P16" i="18" s="1"/>
  <c r="S15" i="3"/>
  <c r="F29" i="6" s="1"/>
  <c r="BM14" i="3"/>
  <c r="AR14" i="3"/>
  <c r="W14" i="3"/>
  <c r="J28" i="6" s="1"/>
  <c r="B14" i="3"/>
  <c r="AV13" i="3"/>
  <c r="Z13" i="3"/>
  <c r="E13" i="3"/>
  <c r="AY12" i="3"/>
  <c r="BX12" i="3" s="1"/>
  <c r="AD12" i="3"/>
  <c r="Q26" i="6" s="1"/>
  <c r="I12" i="3"/>
  <c r="BC11" i="3"/>
  <c r="AH11" i="3"/>
  <c r="U25" i="6" s="1"/>
  <c r="M11" i="3"/>
  <c r="BG10" i="3"/>
  <c r="CA10" i="3" s="1"/>
  <c r="AL10" i="3"/>
  <c r="BQ10" i="3" s="1"/>
  <c r="Q10" i="3"/>
  <c r="BK9" i="3"/>
  <c r="BZ9" i="3" s="1"/>
  <c r="AP9" i="3"/>
  <c r="U9" i="3"/>
  <c r="H23" i="6" s="1"/>
  <c r="BO8" i="3"/>
  <c r="AT8" i="3"/>
  <c r="Y8" i="3"/>
  <c r="D8" i="3"/>
  <c r="AX7" i="3"/>
  <c r="AB7" i="3"/>
  <c r="O21" i="6" s="1"/>
  <c r="G7" i="3"/>
  <c r="BA6" i="3"/>
  <c r="AF6" i="3"/>
  <c r="S20" i="6" s="1"/>
  <c r="K6" i="3"/>
  <c r="BE5" i="3"/>
  <c r="AJ5" i="3"/>
  <c r="N6" i="17" s="1"/>
  <c r="O5" i="3"/>
  <c r="M6" i="15" s="1"/>
  <c r="BI4" i="3"/>
  <c r="AN4" i="3"/>
  <c r="P5" i="18" s="1"/>
  <c r="S4" i="3"/>
  <c r="F18" i="6" s="1"/>
  <c r="BM3" i="3"/>
  <c r="AR3" i="3"/>
  <c r="W3" i="3"/>
  <c r="J17" i="6" s="1"/>
  <c r="B3" i="3"/>
  <c r="CB3" i="3" s="1"/>
  <c r="AV2" i="3"/>
  <c r="AA2" i="3"/>
  <c r="F2" i="3"/>
  <c r="BA68" i="3"/>
  <c r="X68" i="3"/>
  <c r="K82" i="6" s="1"/>
  <c r="BK67" i="3"/>
  <c r="AH67" i="3"/>
  <c r="U81" i="6" s="1"/>
  <c r="F67" i="3"/>
  <c r="AR66" i="3"/>
  <c r="Q66" i="3"/>
  <c r="BD65" i="3"/>
  <c r="Z65" i="3"/>
  <c r="BL64" i="3"/>
  <c r="AJ64" i="3"/>
  <c r="N65" i="17" s="1"/>
  <c r="J64" i="3"/>
  <c r="AX63" i="3"/>
  <c r="T63" i="3"/>
  <c r="G77" i="6" s="1"/>
  <c r="BI62" i="3"/>
  <c r="AI62" i="3"/>
  <c r="H62" i="3"/>
  <c r="AV61" i="3"/>
  <c r="T61" i="3"/>
  <c r="G75" i="6" s="1"/>
  <c r="BG60" i="3"/>
  <c r="AF60" i="3"/>
  <c r="S74" i="6" s="1"/>
  <c r="F60" i="3"/>
  <c r="AS59" i="3"/>
  <c r="S59" i="3"/>
  <c r="F73" i="6" s="1"/>
  <c r="BG58" i="3"/>
  <c r="AH58" i="3"/>
  <c r="U72" i="6" s="1"/>
  <c r="G58" i="3"/>
  <c r="AV57" i="3"/>
  <c r="V57" i="3"/>
  <c r="I71" i="6" s="1"/>
  <c r="BL56" i="3"/>
  <c r="AM56" i="3"/>
  <c r="O57" i="18" s="1"/>
  <c r="J56" i="3"/>
  <c r="AZ55" i="3"/>
  <c r="AA55" i="3"/>
  <c r="A55" i="3"/>
  <c r="AP54" i="3"/>
  <c r="R55" i="18" s="1"/>
  <c r="Q54" i="3"/>
  <c r="BD53" i="3"/>
  <c r="AE53" i="3"/>
  <c r="R67" i="6" s="1"/>
  <c r="E53" i="3"/>
  <c r="AU52" i="3"/>
  <c r="N53" i="18" s="1"/>
  <c r="U52" i="3"/>
  <c r="H66" i="6" s="1"/>
  <c r="BK51" i="3"/>
  <c r="BZ51" i="3" s="1"/>
  <c r="AL51" i="3"/>
  <c r="BQ51" i="3" s="1"/>
  <c r="J51" i="3"/>
  <c r="AZ50" i="3"/>
  <c r="Z50" i="3"/>
  <c r="B50" i="3"/>
  <c r="AR49" i="3"/>
  <c r="T49" i="3"/>
  <c r="G63" i="6" s="1"/>
  <c r="BI48" i="3"/>
  <c r="AK48" i="3"/>
  <c r="L48" i="3"/>
  <c r="BD47" i="3"/>
  <c r="AG47" i="3"/>
  <c r="T61" i="6" s="1"/>
  <c r="H47" i="3"/>
  <c r="AZ46" i="3"/>
  <c r="AC46" i="3"/>
  <c r="P60" i="6" s="1"/>
  <c r="F46" i="3"/>
  <c r="AX45" i="3"/>
  <c r="AA45" i="3"/>
  <c r="D45" i="3"/>
  <c r="AU44" i="3"/>
  <c r="N45" i="18" s="1"/>
  <c r="X44" i="3"/>
  <c r="K58" i="6" s="1"/>
  <c r="A44" i="3"/>
  <c r="AR43" i="3"/>
  <c r="U43" i="3"/>
  <c r="H57" i="6" s="1"/>
  <c r="BM42" i="3"/>
  <c r="AP42" i="3"/>
  <c r="R43" i="18" s="1"/>
  <c r="S42" i="3"/>
  <c r="F56" i="6" s="1"/>
  <c r="BL41" i="3"/>
  <c r="AP41" i="3"/>
  <c r="R42" i="18" s="1"/>
  <c r="T41" i="3"/>
  <c r="G55" i="6" s="1"/>
  <c r="BM40" i="3"/>
  <c r="AQ40" i="3"/>
  <c r="U40" i="3"/>
  <c r="H54" i="6" s="1"/>
  <c r="BN39" i="3"/>
  <c r="AQ39" i="3"/>
  <c r="U39" i="3"/>
  <c r="H53" i="6" s="1"/>
  <c r="BN38" i="3"/>
  <c r="AR38" i="3"/>
  <c r="V38" i="3"/>
  <c r="I52" i="6" s="1"/>
  <c r="BO37" i="3"/>
  <c r="AS37" i="3"/>
  <c r="W37" i="3"/>
  <c r="J51" i="6" s="1"/>
  <c r="A37" i="3"/>
  <c r="AS36" i="3"/>
  <c r="W36" i="3"/>
  <c r="J50" i="6" s="1"/>
  <c r="BO35" i="3"/>
  <c r="AS35" i="3"/>
  <c r="W35" i="3"/>
  <c r="J49" i="6" s="1"/>
  <c r="A35" i="3"/>
  <c r="AT34" i="3"/>
  <c r="X34" i="3"/>
  <c r="K48" i="6" s="1"/>
  <c r="B34" i="3"/>
  <c r="CB34" i="3" s="1"/>
  <c r="AT33" i="3"/>
  <c r="X33" i="3"/>
  <c r="K47" i="6" s="1"/>
  <c r="B33" i="3"/>
  <c r="AU32" i="3"/>
  <c r="N33" i="18" s="1"/>
  <c r="Y32" i="3"/>
  <c r="C32" i="3"/>
  <c r="AV31" i="3"/>
  <c r="Z31" i="3"/>
  <c r="D31" i="3"/>
  <c r="AW30" i="3"/>
  <c r="Z30" i="3"/>
  <c r="D30" i="3"/>
  <c r="AV29" i="3"/>
  <c r="Z29" i="3"/>
  <c r="D29" i="3"/>
  <c r="AW28" i="3"/>
  <c r="AA28" i="3"/>
  <c r="E28" i="3"/>
  <c r="AX27" i="3"/>
  <c r="AA27" i="3"/>
  <c r="E27" i="3"/>
  <c r="AX26" i="3"/>
  <c r="AB26" i="3"/>
  <c r="O40" i="6" s="1"/>
  <c r="F26" i="3"/>
  <c r="AY25" i="3"/>
  <c r="AC25" i="3"/>
  <c r="P39" i="6" s="1"/>
  <c r="G25" i="3"/>
  <c r="AZ24" i="3"/>
  <c r="AC24" i="3"/>
  <c r="P38" i="6" s="1"/>
  <c r="G24" i="3"/>
  <c r="AZ23" i="3"/>
  <c r="AC23" i="3"/>
  <c r="P37" i="6" s="1"/>
  <c r="G23" i="3"/>
  <c r="AZ22" i="3"/>
  <c r="AD22" i="3"/>
  <c r="Q36" i="6" s="1"/>
  <c r="H22" i="3"/>
  <c r="BA21" i="3"/>
  <c r="AD21" i="3"/>
  <c r="Q35" i="6" s="1"/>
  <c r="H21" i="3"/>
  <c r="BA20" i="3"/>
  <c r="AE20" i="3"/>
  <c r="R34" i="6" s="1"/>
  <c r="I20" i="3"/>
  <c r="BB19" i="3"/>
  <c r="AF19" i="3"/>
  <c r="S33" i="6" s="1"/>
  <c r="J19" i="3"/>
  <c r="BC18" i="3"/>
  <c r="AG18" i="3"/>
  <c r="T32" i="6" s="1"/>
  <c r="J18" i="3"/>
  <c r="BC17" i="3"/>
  <c r="AG17" i="3"/>
  <c r="T31" i="6" s="1"/>
  <c r="J17" i="3"/>
  <c r="BC16" i="3"/>
  <c r="AG16" i="3"/>
  <c r="T30" i="6" s="1"/>
  <c r="K16" i="3"/>
  <c r="BD15" i="3"/>
  <c r="AH15" i="3"/>
  <c r="U29" i="6" s="1"/>
  <c r="K15" i="3"/>
  <c r="BD14" i="3"/>
  <c r="AH14" i="3"/>
  <c r="U28" i="6" s="1"/>
  <c r="L14" i="3"/>
  <c r="BE13" i="3"/>
  <c r="AI13" i="3"/>
  <c r="M13" i="3"/>
  <c r="BF12" i="3"/>
  <c r="AJ12" i="3"/>
  <c r="N13" i="17" s="1"/>
  <c r="M12" i="3"/>
  <c r="BF11" i="3"/>
  <c r="AJ11" i="3"/>
  <c r="N12" i="17" s="1"/>
  <c r="N11" i="3"/>
  <c r="BF10" i="3"/>
  <c r="AJ10" i="3"/>
  <c r="N11" i="17" s="1"/>
  <c r="N10" i="3"/>
  <c r="BG9" i="3"/>
  <c r="AK9" i="3"/>
  <c r="N9" i="3"/>
  <c r="BG8" i="3"/>
  <c r="AK8" i="3"/>
  <c r="O8" i="3"/>
  <c r="M9" i="15" s="1"/>
  <c r="BH7" i="3"/>
  <c r="AL7" i="3"/>
  <c r="BQ7" i="3" s="1"/>
  <c r="P7" i="3"/>
  <c r="BI6" i="3"/>
  <c r="AM6" i="3"/>
  <c r="O7" i="18" s="1"/>
  <c r="Q6" i="3"/>
  <c r="BI5" i="3"/>
  <c r="AM5" i="3"/>
  <c r="O6" i="18" s="1"/>
  <c r="Q5" i="3"/>
  <c r="BJ4" i="3"/>
  <c r="AM4" i="3"/>
  <c r="O5" i="18" s="1"/>
  <c r="Q4" i="3"/>
  <c r="BJ3" i="3"/>
  <c r="AN3" i="3"/>
  <c r="P4" i="18" s="1"/>
  <c r="R3" i="3"/>
  <c r="E17" i="6" s="1"/>
  <c r="BJ2" i="3"/>
  <c r="AN2" i="3"/>
  <c r="P3" i="18" s="1"/>
  <c r="R2" i="3"/>
  <c r="E16" i="6" s="1"/>
  <c r="AY68" i="3"/>
  <c r="W68" i="3"/>
  <c r="J82" i="6" s="1"/>
  <c r="BJ67" i="3"/>
  <c r="AG67" i="3"/>
  <c r="T81" i="6" s="1"/>
  <c r="E67" i="3"/>
  <c r="AQ66" i="3"/>
  <c r="O66" i="3"/>
  <c r="M67" i="15" s="1"/>
  <c r="BB65" i="3"/>
  <c r="Y65" i="3"/>
  <c r="BK64" i="3"/>
  <c r="BZ64" i="3" s="1"/>
  <c r="AI64" i="3"/>
  <c r="H64" i="3"/>
  <c r="AW63" i="3"/>
  <c r="S63" i="3"/>
  <c r="F77" i="6" s="1"/>
  <c r="BH62" i="3"/>
  <c r="AH62" i="3"/>
  <c r="U76" i="6" s="1"/>
  <c r="G62" i="3"/>
  <c r="AT61" i="3"/>
  <c r="S61" i="3"/>
  <c r="F75" i="6" s="1"/>
  <c r="BF60" i="3"/>
  <c r="AE60" i="3"/>
  <c r="R74" i="6" s="1"/>
  <c r="D60" i="3"/>
  <c r="AR59" i="3"/>
  <c r="Q59" i="3"/>
  <c r="BF58" i="3"/>
  <c r="AF58" i="3"/>
  <c r="S72" i="6" s="1"/>
  <c r="F58" i="3"/>
  <c r="AT57" i="3"/>
  <c r="U57" i="3"/>
  <c r="H71" i="6" s="1"/>
  <c r="BK56" i="3"/>
  <c r="BZ56" i="3" s="1"/>
  <c r="AI56" i="3"/>
  <c r="I56" i="3"/>
  <c r="AY55" i="3"/>
  <c r="Z55" i="3"/>
  <c r="BO54" i="3"/>
  <c r="AO54" i="3"/>
  <c r="Q55" i="18" s="1"/>
  <c r="O54" i="3"/>
  <c r="M55" i="15" s="1"/>
  <c r="BC53" i="3"/>
  <c r="AD53" i="3"/>
  <c r="Q67" i="6" s="1"/>
  <c r="D53" i="3"/>
  <c r="AS52" i="3"/>
  <c r="T52" i="3"/>
  <c r="G66" i="6" s="1"/>
  <c r="BJ51" i="3"/>
  <c r="AJ51" i="3"/>
  <c r="N52" i="17" s="1"/>
  <c r="I51" i="3"/>
  <c r="AY50" i="3"/>
  <c r="Y50" i="3"/>
  <c r="A50" i="3"/>
  <c r="AQ49" i="3"/>
  <c r="Q49" i="3"/>
  <c r="BH48" i="3"/>
  <c r="AJ48" i="3"/>
  <c r="N49" i="17" s="1"/>
  <c r="K48" i="3"/>
  <c r="BC47" i="3"/>
  <c r="AF47" i="3"/>
  <c r="S61" i="6" s="1"/>
  <c r="G47" i="3"/>
  <c r="AY46" i="3"/>
  <c r="AB46" i="3"/>
  <c r="O60" i="6" s="1"/>
  <c r="E46" i="3"/>
  <c r="AW45" i="3"/>
  <c r="Z45" i="3"/>
  <c r="B45" i="3"/>
  <c r="AT44" i="3"/>
  <c r="W44" i="3"/>
  <c r="J58" i="6" s="1"/>
  <c r="BN43" i="3"/>
  <c r="AQ43" i="3"/>
  <c r="T43" i="3"/>
  <c r="G57" i="6" s="1"/>
  <c r="BK42" i="3"/>
  <c r="BZ42" i="3" s="1"/>
  <c r="AN42" i="3"/>
  <c r="P43" i="18" s="1"/>
  <c r="R42" i="3"/>
  <c r="E56" i="6" s="1"/>
  <c r="BK41" i="3"/>
  <c r="BZ41" i="3" s="1"/>
  <c r="AO41" i="3"/>
  <c r="Q42" i="18" s="1"/>
  <c r="S41" i="3"/>
  <c r="F55" i="6" s="1"/>
  <c r="BL40" i="3"/>
  <c r="AP40" i="3"/>
  <c r="R41" i="18" s="1"/>
  <c r="T40" i="3"/>
  <c r="G54" i="6" s="1"/>
  <c r="BL39" i="3"/>
  <c r="AP39" i="3"/>
  <c r="R40" i="18" s="1"/>
  <c r="T39" i="3"/>
  <c r="G53" i="6" s="1"/>
  <c r="BM38" i="3"/>
  <c r="AQ38" i="3"/>
  <c r="U38" i="3"/>
  <c r="H52" i="6" s="1"/>
  <c r="BN37" i="3"/>
  <c r="AR37" i="3"/>
  <c r="V37" i="3"/>
  <c r="I51" i="6" s="1"/>
  <c r="BO36" i="3"/>
  <c r="AR36" i="3"/>
  <c r="U36" i="3"/>
  <c r="H50" i="6" s="1"/>
  <c r="BN35" i="3"/>
  <c r="AR35" i="3"/>
  <c r="V35" i="3"/>
  <c r="I49" i="6" s="1"/>
  <c r="BO34" i="3"/>
  <c r="AS34" i="3"/>
  <c r="W34" i="3"/>
  <c r="J48" i="6" s="1"/>
  <c r="A34" i="3"/>
  <c r="AS33" i="3"/>
  <c r="W33" i="3"/>
  <c r="J47" i="6" s="1"/>
  <c r="A33" i="3"/>
  <c r="AT32" i="3"/>
  <c r="X32" i="3"/>
  <c r="K46" i="6" s="1"/>
  <c r="B32" i="3"/>
  <c r="AU31" i="3"/>
  <c r="N32" i="18" s="1"/>
  <c r="Y31" i="3"/>
  <c r="C31" i="3"/>
  <c r="AU30" i="3"/>
  <c r="N31" i="18" s="1"/>
  <c r="Y30" i="3"/>
  <c r="B30" i="3"/>
  <c r="AU29" i="3"/>
  <c r="N30" i="18" s="1"/>
  <c r="Y29" i="3"/>
  <c r="C29" i="3"/>
  <c r="AV28" i="3"/>
  <c r="Z28" i="3"/>
  <c r="D28" i="3"/>
  <c r="AV27" i="3"/>
  <c r="Z27" i="3"/>
  <c r="D27" i="3"/>
  <c r="AW26" i="3"/>
  <c r="AA26" i="3"/>
  <c r="E26" i="3"/>
  <c r="AX25" i="3"/>
  <c r="AB25" i="3"/>
  <c r="O39" i="6" s="1"/>
  <c r="F25" i="3"/>
  <c r="AY24" i="3"/>
  <c r="AB24" i="3"/>
  <c r="O38" i="6" s="1"/>
  <c r="F24" i="3"/>
  <c r="AX23" i="3"/>
  <c r="AB23" i="3"/>
  <c r="O37" i="6" s="1"/>
  <c r="F23" i="3"/>
  <c r="AY22" i="3"/>
  <c r="AC22" i="3"/>
  <c r="P36" i="6" s="1"/>
  <c r="G22" i="3"/>
  <c r="AZ21" i="3"/>
  <c r="AC21" i="3"/>
  <c r="P35" i="6" s="1"/>
  <c r="G21" i="3"/>
  <c r="AZ20" i="3"/>
  <c r="AD20" i="3"/>
  <c r="Q34" i="6" s="1"/>
  <c r="H20" i="3"/>
  <c r="BA19" i="3"/>
  <c r="AE19" i="3"/>
  <c r="R33" i="6" s="1"/>
  <c r="I19" i="3"/>
  <c r="BB18" i="3"/>
  <c r="AE18" i="3"/>
  <c r="R32" i="6" s="1"/>
  <c r="I18" i="3"/>
  <c r="BB17" i="3"/>
  <c r="AE17" i="3"/>
  <c r="R31" i="6" s="1"/>
  <c r="I17" i="3"/>
  <c r="BB16" i="3"/>
  <c r="AF16" i="3"/>
  <c r="S30" i="6" s="1"/>
  <c r="J16" i="3"/>
  <c r="BC15" i="3"/>
  <c r="AF15" i="3"/>
  <c r="S29" i="6" s="1"/>
  <c r="J15" i="3"/>
  <c r="BC14" i="3"/>
  <c r="AG14" i="3"/>
  <c r="T28" i="6" s="1"/>
  <c r="K14" i="3"/>
  <c r="BD13" i="3"/>
  <c r="AH13" i="3"/>
  <c r="U27" i="6" s="1"/>
  <c r="L13" i="3"/>
  <c r="BE12" i="3"/>
  <c r="AI12" i="3"/>
  <c r="L12" i="3"/>
  <c r="BE11" i="3"/>
  <c r="AI11" i="3"/>
  <c r="L11" i="3"/>
  <c r="BE10" i="3"/>
  <c r="AI10" i="3"/>
  <c r="M10" i="3"/>
  <c r="BF9" i="3"/>
  <c r="AJ9" i="3"/>
  <c r="N10" i="17" s="1"/>
  <c r="M9" i="3"/>
  <c r="BF8" i="3"/>
  <c r="AJ8" i="3"/>
  <c r="N9" i="17" s="1"/>
  <c r="N8" i="3"/>
  <c r="BG7" i="3"/>
  <c r="CA7" i="3" s="1"/>
  <c r="AK7" i="3"/>
  <c r="O7" i="3"/>
  <c r="M8" i="15" s="1"/>
  <c r="BH6" i="3"/>
  <c r="AL6" i="3"/>
  <c r="BQ6" i="3" s="1"/>
  <c r="O6" i="3"/>
  <c r="M7" i="15" s="1"/>
  <c r="BH5" i="3"/>
  <c r="AL5" i="3"/>
  <c r="BQ5" i="3" s="1"/>
  <c r="P5" i="3"/>
  <c r="BH4" i="3"/>
  <c r="AL4" i="3"/>
  <c r="BQ4" i="3" s="1"/>
  <c r="P4" i="3"/>
  <c r="BI3" i="3"/>
  <c r="AM3" i="3"/>
  <c r="O4" i="18" s="1"/>
  <c r="P3" i="3"/>
  <c r="BI2" i="3"/>
  <c r="AM2" i="3"/>
  <c r="Q2" i="3"/>
  <c r="AX68" i="3"/>
  <c r="V68" i="3"/>
  <c r="I82" i="6" s="1"/>
  <c r="BI67" i="3"/>
  <c r="AF67" i="3"/>
  <c r="S81" i="6" s="1"/>
  <c r="D67" i="3"/>
  <c r="AP66" i="3"/>
  <c r="R67" i="18" s="1"/>
  <c r="N66" i="3"/>
  <c r="AY65" i="3"/>
  <c r="V65" i="3"/>
  <c r="I79" i="6" s="1"/>
  <c r="BI64" i="3"/>
  <c r="AG64" i="3"/>
  <c r="T78" i="6" s="1"/>
  <c r="G64" i="3"/>
  <c r="AV63" i="3"/>
  <c r="R63" i="3"/>
  <c r="E77" i="6" s="1"/>
  <c r="BG62" i="3"/>
  <c r="AG62" i="3"/>
  <c r="T76" i="6" s="1"/>
  <c r="E62" i="3"/>
  <c r="AR61" i="3"/>
  <c r="Q61" i="3"/>
  <c r="BE60" i="3"/>
  <c r="AD60" i="3"/>
  <c r="Q74" i="6" s="1"/>
  <c r="B60" i="3"/>
  <c r="AQ59" i="3"/>
  <c r="P59" i="3"/>
  <c r="BE58" i="3"/>
  <c r="AE58" i="3"/>
  <c r="R72" i="6" s="1"/>
  <c r="E58" i="3"/>
  <c r="AS57" i="3"/>
  <c r="T57" i="3"/>
  <c r="G71" i="6" s="1"/>
  <c r="BI56" i="3"/>
  <c r="AH56" i="3"/>
  <c r="U70" i="6" s="1"/>
  <c r="H56" i="3"/>
  <c r="AX55" i="3"/>
  <c r="X55" i="3"/>
  <c r="K69" i="6" s="1"/>
  <c r="BN54" i="3"/>
  <c r="AN54" i="3"/>
  <c r="P55" i="18" s="1"/>
  <c r="N54" i="3"/>
  <c r="BB53" i="3"/>
  <c r="AC53" i="3"/>
  <c r="P67" i="6" s="1"/>
  <c r="C53" i="3"/>
  <c r="AR52" i="3"/>
  <c r="S52" i="3"/>
  <c r="F66" i="6" s="1"/>
  <c r="BI51" i="3"/>
  <c r="AH51" i="3"/>
  <c r="U65" i="6" s="1"/>
  <c r="H51" i="3"/>
  <c r="AW50" i="3"/>
  <c r="X50" i="3"/>
  <c r="K64" i="6" s="1"/>
  <c r="BN49" i="3"/>
  <c r="AO49" i="3"/>
  <c r="Q50" i="18" s="1"/>
  <c r="P49" i="3"/>
  <c r="BG48" i="3"/>
  <c r="AI48" i="3"/>
  <c r="J48" i="3"/>
  <c r="BB47" i="3"/>
  <c r="AD47" i="3"/>
  <c r="Q61" i="6" s="1"/>
  <c r="F47" i="3"/>
  <c r="AX46" i="3"/>
  <c r="AA46" i="3"/>
  <c r="D46" i="3"/>
  <c r="AV45" i="3"/>
  <c r="Y45" i="3"/>
  <c r="A45" i="3"/>
  <c r="AS44" i="3"/>
  <c r="V44" i="3"/>
  <c r="I58" i="6" s="1"/>
  <c r="BM43" i="3"/>
  <c r="AP43" i="3"/>
  <c r="R44" i="18" s="1"/>
  <c r="S43" i="3"/>
  <c r="F57" i="6" s="1"/>
  <c r="BI42" i="3"/>
  <c r="AM42" i="3"/>
  <c r="O43" i="18" s="1"/>
  <c r="Q42" i="3"/>
  <c r="BJ41" i="3"/>
  <c r="AN41" i="3"/>
  <c r="P42" i="18" s="1"/>
  <c r="R41" i="3"/>
  <c r="E55" i="6" s="1"/>
  <c r="BK40" i="3"/>
  <c r="BZ40" i="3" s="1"/>
  <c r="AO40" i="3"/>
  <c r="Q41" i="18" s="1"/>
  <c r="S40" i="3"/>
  <c r="F54" i="6" s="1"/>
  <c r="BK39" i="3"/>
  <c r="BZ39" i="3" s="1"/>
  <c r="AO39" i="3"/>
  <c r="Q40" i="18" s="1"/>
  <c r="S39" i="3"/>
  <c r="F53" i="6" s="1"/>
  <c r="BL38" i="3"/>
  <c r="AP38" i="3"/>
  <c r="R39" i="18" s="1"/>
  <c r="T38" i="3"/>
  <c r="G52" i="6" s="1"/>
  <c r="BM37" i="3"/>
  <c r="AQ37" i="3"/>
  <c r="U37" i="3"/>
  <c r="H51" i="6" s="1"/>
  <c r="BM36" i="3"/>
  <c r="AP36" i="3"/>
  <c r="R37" i="18" s="1"/>
  <c r="T36" i="3"/>
  <c r="G50" i="6" s="1"/>
  <c r="BM35" i="3"/>
  <c r="AQ35" i="3"/>
  <c r="U35" i="3"/>
  <c r="H49" i="6" s="1"/>
  <c r="BN34" i="3"/>
  <c r="AR34" i="3"/>
  <c r="V34" i="3"/>
  <c r="I48" i="6" s="1"/>
  <c r="BN33" i="3"/>
  <c r="AR33" i="3"/>
  <c r="V33" i="3"/>
  <c r="I47" i="6" s="1"/>
  <c r="BO32" i="3"/>
  <c r="AS32" i="3"/>
  <c r="W32" i="3"/>
  <c r="J46" i="6" s="1"/>
  <c r="A32" i="3"/>
  <c r="AT31" i="3"/>
  <c r="X31" i="3"/>
  <c r="K45" i="6" s="1"/>
  <c r="B31" i="3"/>
  <c r="AT30" i="3"/>
  <c r="W30" i="3"/>
  <c r="J44" i="6" s="1"/>
  <c r="A30" i="3"/>
  <c r="AT29" i="3"/>
  <c r="X29" i="3"/>
  <c r="K43" i="6" s="1"/>
  <c r="B29" i="3"/>
  <c r="CB29" i="3" s="1"/>
  <c r="AU28" i="3"/>
  <c r="N29" i="18" s="1"/>
  <c r="Y28" i="3"/>
  <c r="C28" i="3"/>
  <c r="AU27" i="3"/>
  <c r="N28" i="18" s="1"/>
  <c r="Y27" i="3"/>
  <c r="C27" i="3"/>
  <c r="AV26" i="3"/>
  <c r="Z26" i="3"/>
  <c r="D26" i="3"/>
  <c r="AW25" i="3"/>
  <c r="AA25" i="3"/>
  <c r="E25" i="3"/>
  <c r="AW24" i="3"/>
  <c r="AA24" i="3"/>
  <c r="D24" i="3"/>
  <c r="AW23" i="3"/>
  <c r="AA23" i="3"/>
  <c r="E23" i="3"/>
  <c r="AX22" i="3"/>
  <c r="AB22" i="3"/>
  <c r="O36" i="6" s="1"/>
  <c r="F22" i="3"/>
  <c r="AX21" i="3"/>
  <c r="AB21" i="3"/>
  <c r="O35" i="6" s="1"/>
  <c r="F21" i="3"/>
  <c r="AY20" i="3"/>
  <c r="AC20" i="3"/>
  <c r="P34" i="6" s="1"/>
  <c r="G20" i="3"/>
  <c r="AZ19" i="3"/>
  <c r="AD19" i="3"/>
  <c r="Q33" i="6" s="1"/>
  <c r="H19" i="3"/>
  <c r="BA18" i="3"/>
  <c r="AD18" i="3"/>
  <c r="Q32" i="6" s="1"/>
  <c r="H18" i="3"/>
  <c r="AZ17" i="3"/>
  <c r="AD17" i="3"/>
  <c r="Q31" i="6" s="1"/>
  <c r="H17" i="3"/>
  <c r="BA16" i="3"/>
  <c r="AE16" i="3"/>
  <c r="R30" i="6" s="1"/>
  <c r="I16" i="3"/>
  <c r="BB15" i="3"/>
  <c r="AE15" i="3"/>
  <c r="R29" i="6" s="1"/>
  <c r="I15" i="3"/>
  <c r="BB14" i="3"/>
  <c r="AF14" i="3"/>
  <c r="S28" i="6" s="1"/>
  <c r="J14" i="3"/>
  <c r="BC13" i="3"/>
  <c r="AG13" i="3"/>
  <c r="T27" i="6" s="1"/>
  <c r="K13" i="3"/>
  <c r="BD12" i="3"/>
  <c r="AG12" i="3"/>
  <c r="T26" i="6" s="1"/>
  <c r="K12" i="3"/>
  <c r="BD11" i="3"/>
  <c r="AG11" i="3"/>
  <c r="T25" i="6" s="1"/>
  <c r="K11" i="3"/>
  <c r="BD10" i="3"/>
  <c r="AV68" i="3"/>
  <c r="U68" i="3"/>
  <c r="H82" i="6" s="1"/>
  <c r="BF67" i="3"/>
  <c r="AE67" i="3"/>
  <c r="R81" i="6" s="1"/>
  <c r="B67" i="3"/>
  <c r="CB67" i="3" s="1"/>
  <c r="AO66" i="3"/>
  <c r="Q67" i="18" s="1"/>
  <c r="M66" i="3"/>
  <c r="AX65" i="3"/>
  <c r="U65" i="3"/>
  <c r="H79" i="6" s="1"/>
  <c r="BG64" i="3"/>
  <c r="AF64" i="3"/>
  <c r="S78" i="6" s="1"/>
  <c r="F64" i="3"/>
  <c r="AQ63" i="3"/>
  <c r="Q63" i="3"/>
  <c r="BF62" i="3"/>
  <c r="AF62" i="3"/>
  <c r="S76" i="6" s="1"/>
  <c r="D62" i="3"/>
  <c r="AQ61" i="3"/>
  <c r="O61" i="3"/>
  <c r="M62" i="15" s="1"/>
  <c r="BC60" i="3"/>
  <c r="AC60" i="3"/>
  <c r="P74" i="6" s="1"/>
  <c r="A60" i="3"/>
  <c r="AP59" i="3"/>
  <c r="R60" i="18" s="1"/>
  <c r="O59" i="3"/>
  <c r="M60" i="15" s="1"/>
  <c r="BD58" i="3"/>
  <c r="AD58" i="3"/>
  <c r="Q72" i="6" s="1"/>
  <c r="B58" i="3"/>
  <c r="AR57" i="3"/>
  <c r="R57" i="3"/>
  <c r="E71" i="6" s="1"/>
  <c r="BH56" i="3"/>
  <c r="AF56" i="3"/>
  <c r="S70" i="6" s="1"/>
  <c r="G56" i="3"/>
  <c r="AW55" i="3"/>
  <c r="W55" i="3"/>
  <c r="J69" i="6" s="1"/>
  <c r="BL54" i="3"/>
  <c r="AL54" i="3"/>
  <c r="BQ54" i="3" s="1"/>
  <c r="K54" i="3"/>
  <c r="BA53" i="3"/>
  <c r="AB53" i="3"/>
  <c r="O67" i="6" s="1"/>
  <c r="B53" i="3"/>
  <c r="AQ52" i="3"/>
  <c r="R52" i="3"/>
  <c r="E66" i="6" s="1"/>
  <c r="BH51" i="3"/>
  <c r="AF51" i="3"/>
  <c r="S65" i="6" s="1"/>
  <c r="G51" i="3"/>
  <c r="AV50" i="3"/>
  <c r="W50" i="3"/>
  <c r="J64" i="6" s="1"/>
  <c r="BL49" i="3"/>
  <c r="AM49" i="3"/>
  <c r="O50" i="18" s="1"/>
  <c r="O49" i="3"/>
  <c r="M50" i="15" s="1"/>
  <c r="BF48" i="3"/>
  <c r="AG48" i="3"/>
  <c r="T62" i="6" s="1"/>
  <c r="I48" i="3"/>
  <c r="BA47" i="3"/>
  <c r="AB47" i="3"/>
  <c r="O61" i="6" s="1"/>
  <c r="E47" i="3"/>
  <c r="AW46" i="3"/>
  <c r="Z46" i="3"/>
  <c r="C46" i="3"/>
  <c r="AU45" i="3"/>
  <c r="N46" i="18" s="1"/>
  <c r="X45" i="3"/>
  <c r="K59" i="6" s="1"/>
  <c r="BO44" i="3"/>
  <c r="AR44" i="3"/>
  <c r="T44" i="3"/>
  <c r="G58" i="6" s="1"/>
  <c r="BL43" i="3"/>
  <c r="AO43" i="3"/>
  <c r="Q44" i="18" s="1"/>
  <c r="P43" i="3"/>
  <c r="BH42" i="3"/>
  <c r="AL42" i="3"/>
  <c r="BQ42" i="3" s="1"/>
  <c r="P42" i="3"/>
  <c r="BI41" i="3"/>
  <c r="AM41" i="3"/>
  <c r="O42" i="18" s="1"/>
  <c r="Q41" i="3"/>
  <c r="BJ40" i="3"/>
  <c r="AN40" i="3"/>
  <c r="P41" i="18" s="1"/>
  <c r="Q40" i="3"/>
  <c r="BJ39" i="3"/>
  <c r="AN39" i="3"/>
  <c r="P40" i="18" s="1"/>
  <c r="R39" i="3"/>
  <c r="E53" i="6" s="1"/>
  <c r="BK38" i="3"/>
  <c r="BZ38" i="3" s="1"/>
  <c r="AO38" i="3"/>
  <c r="Q39" i="18" s="1"/>
  <c r="S38" i="3"/>
  <c r="F52" i="6" s="1"/>
  <c r="BL37" i="3"/>
  <c r="AP37" i="3"/>
  <c r="R38" i="18" s="1"/>
  <c r="T37" i="3"/>
  <c r="G51" i="6" s="1"/>
  <c r="BK36" i="3"/>
  <c r="BZ36" i="3" s="1"/>
  <c r="AO36" i="3"/>
  <c r="Q37" i="18" s="1"/>
  <c r="S36" i="3"/>
  <c r="F50" i="6" s="1"/>
  <c r="BL35" i="3"/>
  <c r="AP35" i="3"/>
  <c r="T35" i="3"/>
  <c r="G49" i="6" s="1"/>
  <c r="BM34" i="3"/>
  <c r="AQ34" i="3"/>
  <c r="U34" i="3"/>
  <c r="H48" i="6" s="1"/>
  <c r="BM33" i="3"/>
  <c r="AQ33" i="3"/>
  <c r="U33" i="3"/>
  <c r="H47" i="6" s="1"/>
  <c r="BN32" i="3"/>
  <c r="AR32" i="3"/>
  <c r="V32" i="3"/>
  <c r="I46" i="6" s="1"/>
  <c r="BO31" i="3"/>
  <c r="AS31" i="3"/>
  <c r="W31" i="3"/>
  <c r="J45" i="6" s="1"/>
  <c r="BO30" i="3"/>
  <c r="AR30" i="3"/>
  <c r="V30" i="3"/>
  <c r="I44" i="6" s="1"/>
  <c r="BO29" i="3"/>
  <c r="AS29" i="3"/>
  <c r="W29" i="3"/>
  <c r="J43" i="6" s="1"/>
  <c r="A29" i="3"/>
  <c r="AT28" i="3"/>
  <c r="X28" i="3"/>
  <c r="K42" i="6" s="1"/>
  <c r="A28" i="3"/>
  <c r="AT27" i="3"/>
  <c r="X27" i="3"/>
  <c r="K41" i="6" s="1"/>
  <c r="B27" i="3"/>
  <c r="AU26" i="3"/>
  <c r="N27" i="18" s="1"/>
  <c r="Y26" i="3"/>
  <c r="C26" i="3"/>
  <c r="AV25" i="3"/>
  <c r="Z25" i="3"/>
  <c r="D25" i="3"/>
  <c r="AV24" i="3"/>
  <c r="Y24" i="3"/>
  <c r="C24" i="3"/>
  <c r="AV23" i="3"/>
  <c r="Z23" i="3"/>
  <c r="D23" i="3"/>
  <c r="AW22" i="3"/>
  <c r="AA22" i="3"/>
  <c r="E22" i="3"/>
  <c r="AW21" i="3"/>
  <c r="AA21" i="3"/>
  <c r="E21" i="3"/>
  <c r="AX20" i="3"/>
  <c r="AB20" i="3"/>
  <c r="O34" i="6" s="1"/>
  <c r="F20" i="3"/>
  <c r="AY19" i="3"/>
  <c r="AC19" i="3"/>
  <c r="P33" i="6" s="1"/>
  <c r="G19" i="3"/>
  <c r="AY18" i="3"/>
  <c r="AC18" i="3"/>
  <c r="P32" i="6" s="1"/>
  <c r="F18" i="3"/>
  <c r="AY17" i="3"/>
  <c r="AC17" i="3"/>
  <c r="P31" i="6" s="1"/>
  <c r="G17" i="3"/>
  <c r="AZ16" i="3"/>
  <c r="AD16" i="3"/>
  <c r="Q30" i="6" s="1"/>
  <c r="H16" i="3"/>
  <c r="AZ15" i="3"/>
  <c r="AD15" i="3"/>
  <c r="Q29" i="6" s="1"/>
  <c r="H15" i="3"/>
  <c r="BA14" i="3"/>
  <c r="AE14" i="3"/>
  <c r="R28" i="6" s="1"/>
  <c r="I14" i="3"/>
  <c r="BB13" i="3"/>
  <c r="AF13" i="3"/>
  <c r="S27" i="6" s="1"/>
  <c r="J13" i="3"/>
  <c r="BC12" i="3"/>
  <c r="AF12" i="3"/>
  <c r="S26" i="6" s="1"/>
  <c r="J12" i="3"/>
  <c r="BB11" i="3"/>
  <c r="AF11" i="3"/>
  <c r="S25" i="6" s="1"/>
  <c r="J11" i="3"/>
  <c r="BC10" i="3"/>
  <c r="AG10" i="3"/>
  <c r="T24" i="6" s="1"/>
  <c r="K10" i="3"/>
  <c r="BD9" i="3"/>
  <c r="AG9" i="3"/>
  <c r="T23" i="6" s="1"/>
  <c r="K9" i="3"/>
  <c r="BD8" i="3"/>
  <c r="AH8" i="3"/>
  <c r="U22" i="6" s="1"/>
  <c r="L8" i="3"/>
  <c r="BE7" i="3"/>
  <c r="AI7" i="3"/>
  <c r="M7" i="3"/>
  <c r="BF6" i="3"/>
  <c r="AI6" i="3"/>
  <c r="M6" i="3"/>
  <c r="BF5" i="3"/>
  <c r="AI5" i="3"/>
  <c r="M5" i="3"/>
  <c r="BF4" i="3"/>
  <c r="AJ4" i="3"/>
  <c r="N5" i="17" s="1"/>
  <c r="N4" i="3"/>
  <c r="BG3" i="3"/>
  <c r="AJ3" i="3"/>
  <c r="N4" i="17" s="1"/>
  <c r="N3" i="3"/>
  <c r="BG2" i="3"/>
  <c r="CA2" i="3" s="1"/>
  <c r="AK2" i="3"/>
  <c r="O2" i="3"/>
  <c r="M3" i="15" s="1"/>
  <c r="AT68" i="3"/>
  <c r="M68" i="3"/>
  <c r="AR67" i="3"/>
  <c r="J67" i="3"/>
  <c r="AM66" i="3"/>
  <c r="O67" i="18" s="1"/>
  <c r="A66" i="3"/>
  <c r="AJ65" i="3"/>
  <c r="N66" i="17" s="1"/>
  <c r="B65" i="3"/>
  <c r="CB65" i="3" s="1"/>
  <c r="AD64" i="3"/>
  <c r="Q78" i="6" s="1"/>
  <c r="BK63" i="3"/>
  <c r="BZ63" i="3" s="1"/>
  <c r="AF63" i="3"/>
  <c r="S77" i="6" s="1"/>
  <c r="BN62" i="3"/>
  <c r="AC62" i="3"/>
  <c r="P76" i="6" s="1"/>
  <c r="BJ61" i="3"/>
  <c r="AD61" i="3"/>
  <c r="Q75" i="6" s="1"/>
  <c r="BL60" i="3"/>
  <c r="AA60" i="3"/>
  <c r="BJ59" i="3"/>
  <c r="AA59" i="3"/>
  <c r="BJ58" i="3"/>
  <c r="Z58" i="3"/>
  <c r="BJ57" i="3"/>
  <c r="AD57" i="3"/>
  <c r="Q71" i="6" s="1"/>
  <c r="BO56" i="3"/>
  <c r="AD56" i="3"/>
  <c r="Q70" i="6" s="1"/>
  <c r="A56" i="3"/>
  <c r="AJ55" i="3"/>
  <c r="N56" i="17" s="1"/>
  <c r="D55" i="3"/>
  <c r="AJ54" i="3"/>
  <c r="N55" i="17" s="1"/>
  <c r="E54" i="3"/>
  <c r="AO53" i="3"/>
  <c r="Q54" i="18" s="1"/>
  <c r="I53" i="3"/>
  <c r="AO52" i="3"/>
  <c r="Q53" i="18" s="1"/>
  <c r="H52" i="3"/>
  <c r="AS51" i="3"/>
  <c r="P51" i="3"/>
  <c r="AS50" i="3"/>
  <c r="N50" i="3"/>
  <c r="BA49" i="3"/>
  <c r="W49" i="3"/>
  <c r="J63" i="6" s="1"/>
  <c r="BD48" i="3"/>
  <c r="Z48" i="3"/>
  <c r="BL47" i="3"/>
  <c r="AJ47" i="3"/>
  <c r="N48" i="17" s="1"/>
  <c r="C47" i="3"/>
  <c r="AQ46" i="3"/>
  <c r="N46" i="3"/>
  <c r="BA45" i="3"/>
  <c r="U45" i="3"/>
  <c r="H59" i="6" s="1"/>
  <c r="BG44" i="3"/>
  <c r="AF44" i="3"/>
  <c r="S58" i="6" s="1"/>
  <c r="D44" i="3"/>
  <c r="AL43" i="3"/>
  <c r="BQ43" i="3" s="1"/>
  <c r="J43" i="3"/>
  <c r="AX42" i="3"/>
  <c r="W42" i="3"/>
  <c r="J56" i="6" s="1"/>
  <c r="BG41" i="3"/>
  <c r="CA41" i="3" s="1"/>
  <c r="AG41" i="3"/>
  <c r="T55" i="6" s="1"/>
  <c r="F41" i="3"/>
  <c r="AT40" i="3"/>
  <c r="O40" i="3"/>
  <c r="M41" i="15" s="1"/>
  <c r="BD39" i="3"/>
  <c r="AC39" i="3"/>
  <c r="P53" i="6" s="1"/>
  <c r="B39" i="3"/>
  <c r="AM38" i="3"/>
  <c r="O39" i="18" s="1"/>
  <c r="K38" i="3"/>
  <c r="AZ37" i="3"/>
  <c r="Z37" i="3"/>
  <c r="BI36" i="3"/>
  <c r="AI36" i="3"/>
  <c r="I36" i="3"/>
  <c r="AW35" i="3"/>
  <c r="R35" i="3"/>
  <c r="E49" i="6" s="1"/>
  <c r="BF34" i="3"/>
  <c r="AF34" i="3"/>
  <c r="S48" i="6" s="1"/>
  <c r="E34" i="3"/>
  <c r="AO33" i="3"/>
  <c r="Q34" i="18" s="1"/>
  <c r="O33" i="3"/>
  <c r="M34" i="15" s="1"/>
  <c r="BC32" i="3"/>
  <c r="AB32" i="3"/>
  <c r="O46" i="6" s="1"/>
  <c r="BM31" i="3"/>
  <c r="AK31" i="3"/>
  <c r="K31" i="3"/>
  <c r="AZ30" i="3"/>
  <c r="T30" i="3"/>
  <c r="G44" i="6" s="1"/>
  <c r="BI29" i="3"/>
  <c r="AH29" i="3"/>
  <c r="U43" i="6" s="1"/>
  <c r="H29" i="3"/>
  <c r="AR28" i="3"/>
  <c r="Q28" i="3"/>
  <c r="BF27" i="3"/>
  <c r="AE27" i="3"/>
  <c r="R41" i="6" s="1"/>
  <c r="BO26" i="3"/>
  <c r="AO26" i="3"/>
  <c r="Q27" i="18" s="1"/>
  <c r="M26" i="3"/>
  <c r="BB25" i="3"/>
  <c r="X25" i="3"/>
  <c r="K39" i="6" s="1"/>
  <c r="BK24" i="3"/>
  <c r="BZ24" i="3" s="1"/>
  <c r="AK24" i="3"/>
  <c r="K24" i="3"/>
  <c r="AT23" i="3"/>
  <c r="T23" i="3"/>
  <c r="G37" i="6" s="1"/>
  <c r="BH22" i="3"/>
  <c r="AG22" i="3"/>
  <c r="T36" i="6" s="1"/>
  <c r="B22" i="3"/>
  <c r="AQ21" i="3"/>
  <c r="P21" i="3"/>
  <c r="BD20" i="3"/>
  <c r="Z20" i="3"/>
  <c r="BN19" i="3"/>
  <c r="AM19" i="3"/>
  <c r="O20" i="18" s="1"/>
  <c r="M19" i="3"/>
  <c r="AV18" i="3"/>
  <c r="V18" i="3"/>
  <c r="I32" i="6" s="1"/>
  <c r="BK17" i="3"/>
  <c r="BZ17" i="3" s="1"/>
  <c r="AJ17" i="3"/>
  <c r="N18" i="17" s="1"/>
  <c r="E17" i="3"/>
  <c r="AS16" i="3"/>
  <c r="S16" i="3"/>
  <c r="F30" i="6" s="1"/>
  <c r="BG15" i="3"/>
  <c r="AB15" i="3"/>
  <c r="O29" i="6" s="1"/>
  <c r="B15" i="3"/>
  <c r="CB15" i="3" s="1"/>
  <c r="AP14" i="3"/>
  <c r="R15" i="18" s="1"/>
  <c r="O14" i="3"/>
  <c r="M15" i="15" s="1"/>
  <c r="AZ13" i="3"/>
  <c r="X13" i="3"/>
  <c r="K27" i="6" s="1"/>
  <c r="BM12" i="3"/>
  <c r="AM12" i="3"/>
  <c r="O13" i="18" s="1"/>
  <c r="G12" i="3"/>
  <c r="AV11" i="3"/>
  <c r="V11" i="3"/>
  <c r="I25" i="6" s="1"/>
  <c r="BJ10" i="3"/>
  <c r="AF10" i="3"/>
  <c r="S24" i="6" s="1"/>
  <c r="F10" i="3"/>
  <c r="AV9" i="3"/>
  <c r="W9" i="3"/>
  <c r="J23" i="6" s="1"/>
  <c r="BL8" i="3"/>
  <c r="AL8" i="3"/>
  <c r="BQ8" i="3" s="1"/>
  <c r="J8" i="3"/>
  <c r="AZ7" i="3"/>
  <c r="Y7" i="3"/>
  <c r="BO6" i="3"/>
  <c r="AP6" i="3"/>
  <c r="R7" i="18" s="1"/>
  <c r="N6" i="3"/>
  <c r="BB5" i="3"/>
  <c r="AC5" i="3"/>
  <c r="P19" i="6" s="1"/>
  <c r="D5" i="3"/>
  <c r="AS4" i="3"/>
  <c r="T4" i="3"/>
  <c r="G18" i="6" s="1"/>
  <c r="BF3" i="3"/>
  <c r="AF3" i="3"/>
  <c r="S17" i="6" s="1"/>
  <c r="G3" i="3"/>
  <c r="AW2" i="3"/>
  <c r="V2" i="3"/>
  <c r="I16" i="6" s="1"/>
  <c r="AR68" i="3"/>
  <c r="H68" i="3"/>
  <c r="AO67" i="3"/>
  <c r="Q68" i="18" s="1"/>
  <c r="H67" i="3"/>
  <c r="AG66" i="3"/>
  <c r="T80" i="6" s="1"/>
  <c r="BN65" i="3"/>
  <c r="AH65" i="3"/>
  <c r="U79" i="6" s="1"/>
  <c r="BN64" i="3"/>
  <c r="AB64" i="3"/>
  <c r="O78" i="6" s="1"/>
  <c r="BI63" i="3"/>
  <c r="AD63" i="3"/>
  <c r="Q77" i="6" s="1"/>
  <c r="BJ62" i="3"/>
  <c r="Y62" i="3"/>
  <c r="BH61" i="3"/>
  <c r="AA61" i="3"/>
  <c r="BI60" i="3"/>
  <c r="W60" i="3"/>
  <c r="J74" i="6" s="1"/>
  <c r="BF59" i="3"/>
  <c r="X59" i="3"/>
  <c r="K73" i="6" s="1"/>
  <c r="BH58" i="3"/>
  <c r="V58" i="3"/>
  <c r="I72" i="6" s="1"/>
  <c r="BH57" i="3"/>
  <c r="AB57" i="3"/>
  <c r="O71" i="6" s="1"/>
  <c r="BM56" i="3"/>
  <c r="AB56" i="3"/>
  <c r="O70" i="6" s="1"/>
  <c r="BL55" i="3"/>
  <c r="AG55" i="3"/>
  <c r="T69" i="6" s="1"/>
  <c r="B55" i="3"/>
  <c r="CB55" i="3" s="1"/>
  <c r="AG54" i="3"/>
  <c r="T68" i="6" s="1"/>
  <c r="C54" i="3"/>
  <c r="AL53" i="3"/>
  <c r="BQ53" i="3" s="1"/>
  <c r="G53" i="3"/>
  <c r="AM52" i="3"/>
  <c r="O53" i="18" s="1"/>
  <c r="E52" i="3"/>
  <c r="AQ51" i="3"/>
  <c r="K51" i="3"/>
  <c r="AQ50" i="3"/>
  <c r="L50" i="3"/>
  <c r="AY49" i="3"/>
  <c r="U49" i="3"/>
  <c r="H63" i="6" s="1"/>
  <c r="BA48" i="3"/>
  <c r="X48" i="3"/>
  <c r="K62" i="6" s="1"/>
  <c r="BJ47" i="3"/>
  <c r="AH47" i="3"/>
  <c r="U61" i="6" s="1"/>
  <c r="A47" i="3"/>
  <c r="AO46" i="3"/>
  <c r="Q47" i="18" s="1"/>
  <c r="K46" i="3"/>
  <c r="AY45" i="3"/>
  <c r="S45" i="3"/>
  <c r="F59" i="6" s="1"/>
  <c r="BE44" i="3"/>
  <c r="AC44" i="3"/>
  <c r="P58" i="6" s="1"/>
  <c r="B44" i="3"/>
  <c r="AI43" i="3"/>
  <c r="H43" i="3"/>
  <c r="AV42" i="3"/>
  <c r="U42" i="3"/>
  <c r="H56" i="6" s="1"/>
  <c r="BE41" i="3"/>
  <c r="AD41" i="3"/>
  <c r="Q55" i="6" s="1"/>
  <c r="D41" i="3"/>
  <c r="AR40" i="3"/>
  <c r="M40" i="3"/>
  <c r="BB39" i="3"/>
  <c r="AA39" i="3"/>
  <c r="BO38" i="3"/>
  <c r="AK38" i="3"/>
  <c r="I38" i="3"/>
  <c r="AX37" i="3"/>
  <c r="BX37" i="3" s="1"/>
  <c r="X37" i="3"/>
  <c r="K51" i="6" s="1"/>
  <c r="BG36" i="3"/>
  <c r="CA36" i="3" s="1"/>
  <c r="AG36" i="3"/>
  <c r="T50" i="6" s="1"/>
  <c r="G36" i="3"/>
  <c r="AT35" i="3"/>
  <c r="P35" i="3"/>
  <c r="BD34" i="3"/>
  <c r="AC34" i="3"/>
  <c r="P48" i="6" s="1"/>
  <c r="C34" i="3"/>
  <c r="AM33" i="3"/>
  <c r="O34" i="18" s="1"/>
  <c r="L33" i="3"/>
  <c r="AZ32" i="3"/>
  <c r="Z32" i="3"/>
  <c r="BJ31" i="3"/>
  <c r="AI31" i="3"/>
  <c r="I31" i="3"/>
  <c r="AX30" i="3"/>
  <c r="R30" i="3"/>
  <c r="E44" i="6" s="1"/>
  <c r="BG29" i="3"/>
  <c r="AF29" i="3"/>
  <c r="S43" i="6" s="1"/>
  <c r="E29" i="3"/>
  <c r="AO28" i="3"/>
  <c r="Q29" i="18" s="1"/>
  <c r="O28" i="3"/>
  <c r="M29" i="15" s="1"/>
  <c r="BC27" i="3"/>
  <c r="AB27" i="3"/>
  <c r="O41" i="6" s="1"/>
  <c r="BM26" i="3"/>
  <c r="AL26" i="3"/>
  <c r="BQ26" i="3" s="1"/>
  <c r="K26" i="3"/>
  <c r="AZ25" i="3"/>
  <c r="T25" i="3"/>
  <c r="G39" i="6" s="1"/>
  <c r="BI24" i="3"/>
  <c r="AI24" i="3"/>
  <c r="H24" i="3"/>
  <c r="AR23" i="3"/>
  <c r="R23" i="3"/>
  <c r="E37" i="6" s="1"/>
  <c r="BF22" i="3"/>
  <c r="AE22" i="3"/>
  <c r="R36" i="6" s="1"/>
  <c r="BO21" i="3"/>
  <c r="AO21" i="3"/>
  <c r="Q22" i="18" s="1"/>
  <c r="N21" i="3"/>
  <c r="BB20" i="3"/>
  <c r="X20" i="3"/>
  <c r="K34" i="6" s="1"/>
  <c r="BK19" i="3"/>
  <c r="BZ19" i="3" s="1"/>
  <c r="AK19" i="3"/>
  <c r="K19" i="3"/>
  <c r="AT18" i="3"/>
  <c r="T18" i="3"/>
  <c r="G32" i="6" s="1"/>
  <c r="BI17" i="3"/>
  <c r="AH17" i="3"/>
  <c r="U31" i="6" s="1"/>
  <c r="C17" i="3"/>
  <c r="AQ16" i="3"/>
  <c r="Q16" i="3"/>
  <c r="BE15" i="3"/>
  <c r="Z15" i="3"/>
  <c r="BO14" i="3"/>
  <c r="AM14" i="3"/>
  <c r="O15" i="18" s="1"/>
  <c r="M14" i="3"/>
  <c r="AX13" i="3"/>
  <c r="BX13" i="3" s="1"/>
  <c r="V13" i="3"/>
  <c r="I27" i="6" s="1"/>
  <c r="BK12" i="3"/>
  <c r="BZ12" i="3" s="1"/>
  <c r="AK12" i="3"/>
  <c r="E12" i="3"/>
  <c r="AT11" i="3"/>
  <c r="S11" i="3"/>
  <c r="F25" i="6" s="1"/>
  <c r="BH10" i="3"/>
  <c r="AD10" i="3"/>
  <c r="Q24" i="6" s="1"/>
  <c r="D10" i="3"/>
  <c r="AT9" i="3"/>
  <c r="T9" i="3"/>
  <c r="G23" i="6" s="1"/>
  <c r="BI8" i="3"/>
  <c r="AG8" i="3"/>
  <c r="T22" i="6" s="1"/>
  <c r="H8" i="3"/>
  <c r="AV7" i="3"/>
  <c r="W7" i="3"/>
  <c r="J21" i="6" s="1"/>
  <c r="AN68" i="3"/>
  <c r="P69" i="18" s="1"/>
  <c r="E68" i="3"/>
  <c r="AJ67" i="3"/>
  <c r="N68" i="17" s="1"/>
  <c r="BM66" i="3"/>
  <c r="AD66" i="3"/>
  <c r="Q80" i="6" s="1"/>
  <c r="BK65" i="3"/>
  <c r="BZ65" i="3" s="1"/>
  <c r="AB65" i="3"/>
  <c r="O79" i="6" s="1"/>
  <c r="BC64" i="3"/>
  <c r="W64" i="3"/>
  <c r="J78" i="6" s="1"/>
  <c r="BE63" i="3"/>
  <c r="AA63" i="3"/>
  <c r="BC62" i="3"/>
  <c r="U62" i="3"/>
  <c r="H76" i="6" s="1"/>
  <c r="BD61" i="3"/>
  <c r="W61" i="3"/>
  <c r="J75" i="6" s="1"/>
  <c r="AZ60" i="3"/>
  <c r="T60" i="3"/>
  <c r="G74" i="6" s="1"/>
  <c r="BA59" i="3"/>
  <c r="U59" i="3"/>
  <c r="H73" i="6" s="1"/>
  <c r="AZ58" i="3"/>
  <c r="S58" i="3"/>
  <c r="F72" i="6" s="1"/>
  <c r="AB68" i="3"/>
  <c r="O82" i="6" s="1"/>
  <c r="AZ67" i="3"/>
  <c r="L67" i="3"/>
  <c r="AF66" i="3"/>
  <c r="S80" i="6" s="1"/>
  <c r="BH65" i="3"/>
  <c r="O65" i="3"/>
  <c r="M66" i="15" s="1"/>
  <c r="AS64" i="3"/>
  <c r="D64" i="3"/>
  <c r="AG63" i="3"/>
  <c r="T77" i="6" s="1"/>
  <c r="BD62" i="3"/>
  <c r="Q62" i="3"/>
  <c r="AP61" i="3"/>
  <c r="R62" i="18" s="1"/>
  <c r="F61" i="3"/>
  <c r="AH60" i="3"/>
  <c r="U74" i="6" s="1"/>
  <c r="BG59" i="3"/>
  <c r="CA59" i="3" s="1"/>
  <c r="T59" i="3"/>
  <c r="G73" i="6" s="1"/>
  <c r="AS58" i="3"/>
  <c r="L58" i="3"/>
  <c r="AM57" i="3"/>
  <c r="O58" i="18" s="1"/>
  <c r="E57" i="3"/>
  <c r="AN56" i="3"/>
  <c r="P57" i="18" s="1"/>
  <c r="BO55" i="3"/>
  <c r="AE55" i="3"/>
  <c r="R69" i="6" s="1"/>
  <c r="BG54" i="3"/>
  <c r="Z54" i="3"/>
  <c r="BF53" i="3"/>
  <c r="U53" i="3"/>
  <c r="H67" i="6" s="1"/>
  <c r="BA52" i="3"/>
  <c r="P52" i="3"/>
  <c r="AU51" i="3"/>
  <c r="N52" i="18" s="1"/>
  <c r="L51" i="3"/>
  <c r="AO50" i="3"/>
  <c r="Q51" i="18" s="1"/>
  <c r="H50" i="3"/>
  <c r="AK49" i="3"/>
  <c r="F49" i="3"/>
  <c r="AO48" i="3"/>
  <c r="Q49" i="18" s="1"/>
  <c r="D48" i="3"/>
  <c r="AO47" i="3"/>
  <c r="Q48" i="18" s="1"/>
  <c r="K47" i="3"/>
  <c r="AP46" i="3"/>
  <c r="R47" i="18" s="1"/>
  <c r="I46" i="3"/>
  <c r="AP45" i="3"/>
  <c r="R46" i="18" s="1"/>
  <c r="K45" i="3"/>
  <c r="AV44" i="3"/>
  <c r="M44" i="3"/>
  <c r="AX43" i="3"/>
  <c r="N43" i="3"/>
  <c r="AZ42" i="3"/>
  <c r="V42" i="3"/>
  <c r="I56" i="6" s="1"/>
  <c r="BC41" i="3"/>
  <c r="Z41" i="3"/>
  <c r="BH40" i="3"/>
  <c r="AE40" i="3"/>
  <c r="R54" i="6" s="1"/>
  <c r="B40" i="3"/>
  <c r="CB40" i="3" s="1"/>
  <c r="AJ39" i="3"/>
  <c r="N40" i="17" s="1"/>
  <c r="G39" i="3"/>
  <c r="AS38" i="3"/>
  <c r="J38" i="3"/>
  <c r="AV37" i="3"/>
  <c r="N37" i="3"/>
  <c r="BA36" i="3"/>
  <c r="X36" i="3"/>
  <c r="K50" i="6" s="1"/>
  <c r="BF35" i="3"/>
  <c r="AC35" i="3"/>
  <c r="P49" i="6" s="1"/>
  <c r="BK34" i="3"/>
  <c r="BZ34" i="3" s="1"/>
  <c r="AH34" i="3"/>
  <c r="U48" i="6" s="1"/>
  <c r="D34" i="3"/>
  <c r="AK33" i="3"/>
  <c r="H33" i="3"/>
  <c r="AP32" i="3"/>
  <c r="R33" i="18" s="1"/>
  <c r="L32" i="3"/>
  <c r="AY31" i="3"/>
  <c r="Q31" i="3"/>
  <c r="BD30" i="3"/>
  <c r="AA30" i="3"/>
  <c r="BH29" i="3"/>
  <c r="AD29" i="3"/>
  <c r="Q43" i="6" s="1"/>
  <c r="BL28" i="3"/>
  <c r="AI28" i="3"/>
  <c r="F28" i="3"/>
  <c r="AN27" i="3"/>
  <c r="P28" i="18" s="1"/>
  <c r="K27" i="3"/>
  <c r="AS26" i="3"/>
  <c r="O26" i="3"/>
  <c r="M27" i="15" s="1"/>
  <c r="BA25" i="3"/>
  <c r="R25" i="3"/>
  <c r="E39" i="6" s="1"/>
  <c r="BE24" i="3"/>
  <c r="W24" i="3"/>
  <c r="J38" i="6" s="1"/>
  <c r="BJ23" i="3"/>
  <c r="AG23" i="3"/>
  <c r="T37" i="6" s="1"/>
  <c r="BO22" i="3"/>
  <c r="AL22" i="3"/>
  <c r="BQ22" i="3" s="1"/>
  <c r="I22" i="3"/>
  <c r="AP21" i="3"/>
  <c r="R22" i="18" s="1"/>
  <c r="L21" i="3"/>
  <c r="AT20" i="3"/>
  <c r="P20" i="3"/>
  <c r="BC19" i="3"/>
  <c r="U19" i="3"/>
  <c r="H33" i="6" s="1"/>
  <c r="BH18" i="3"/>
  <c r="Z18" i="3"/>
  <c r="BM17" i="3"/>
  <c r="AI17" i="3"/>
  <c r="A17" i="3"/>
  <c r="AM16" i="3"/>
  <c r="O17" i="18" s="1"/>
  <c r="BO68" i="3"/>
  <c r="AA68" i="3"/>
  <c r="AY67" i="3"/>
  <c r="K67" i="3"/>
  <c r="AE66" i="3"/>
  <c r="R80" i="6" s="1"/>
  <c r="BG65" i="3"/>
  <c r="N65" i="3"/>
  <c r="AR64" i="3"/>
  <c r="A64" i="3"/>
  <c r="AE63" i="3"/>
  <c r="R77" i="6" s="1"/>
  <c r="BB62" i="3"/>
  <c r="P62" i="3"/>
  <c r="AO61" i="3"/>
  <c r="Q62" i="18" s="1"/>
  <c r="E61" i="3"/>
  <c r="AG60" i="3"/>
  <c r="T74" i="6" s="1"/>
  <c r="BC59" i="3"/>
  <c r="N59" i="3"/>
  <c r="AQ58" i="3"/>
  <c r="J58" i="3"/>
  <c r="AL57" i="3"/>
  <c r="BQ57" i="3" s="1"/>
  <c r="D57" i="3"/>
  <c r="AE56" i="3"/>
  <c r="R70" i="6" s="1"/>
  <c r="BK55" i="3"/>
  <c r="BZ55" i="3" s="1"/>
  <c r="AC55" i="3"/>
  <c r="P69" i="6" s="1"/>
  <c r="BF54" i="3"/>
  <c r="Y54" i="3"/>
  <c r="AZ53" i="3"/>
  <c r="T53" i="3"/>
  <c r="G67" i="6" s="1"/>
  <c r="AY52" i="3"/>
  <c r="O52" i="3"/>
  <c r="M53" i="15" s="1"/>
  <c r="AT51" i="3"/>
  <c r="E51" i="3"/>
  <c r="AM50" i="3"/>
  <c r="O51" i="18" s="1"/>
  <c r="G50" i="3"/>
  <c r="AJ49" i="3"/>
  <c r="N50" i="17" s="1"/>
  <c r="D49" i="3"/>
  <c r="AN48" i="3"/>
  <c r="P49" i="18" s="1"/>
  <c r="C48" i="3"/>
  <c r="AN47" i="3"/>
  <c r="P48" i="18" s="1"/>
  <c r="D47" i="3"/>
  <c r="AN46" i="3"/>
  <c r="P47" i="18" s="1"/>
  <c r="H46" i="3"/>
  <c r="AO45" i="3"/>
  <c r="Q46" i="18" s="1"/>
  <c r="J45" i="3"/>
  <c r="AQ44" i="3"/>
  <c r="L44" i="3"/>
  <c r="AW43" i="3"/>
  <c r="M43" i="3"/>
  <c r="AY42" i="3"/>
  <c r="O42" i="3"/>
  <c r="M43" i="15" s="1"/>
  <c r="BB41" i="3"/>
  <c r="Y41" i="3"/>
  <c r="BG40" i="3"/>
  <c r="AD40" i="3"/>
  <c r="Q54" i="6" s="1"/>
  <c r="A40" i="3"/>
  <c r="AI39" i="3"/>
  <c r="F39" i="3"/>
  <c r="AN38" i="3"/>
  <c r="P39" i="18" s="1"/>
  <c r="H38" i="3"/>
  <c r="AU37" i="3"/>
  <c r="N38" i="18" s="1"/>
  <c r="M37" i="3"/>
  <c r="AZ36" i="3"/>
  <c r="R36" i="3"/>
  <c r="E50" i="6" s="1"/>
  <c r="BE35" i="3"/>
  <c r="AB35" i="3"/>
  <c r="O49" i="6" s="1"/>
  <c r="BJ34" i="3"/>
  <c r="AG34" i="3"/>
  <c r="T48" i="6" s="1"/>
  <c r="BL33" i="3"/>
  <c r="AJ33" i="3"/>
  <c r="N34" i="17" s="1"/>
  <c r="F33" i="3"/>
  <c r="AO32" i="3"/>
  <c r="Q33" i="18" s="1"/>
  <c r="K32" i="3"/>
  <c r="AX31" i="3"/>
  <c r="P31" i="3"/>
  <c r="BC30" i="3"/>
  <c r="U30" i="3"/>
  <c r="H44" i="6" s="1"/>
  <c r="BF29" i="3"/>
  <c r="AC29" i="3"/>
  <c r="P43" i="6" s="1"/>
  <c r="BK28" i="3"/>
  <c r="BZ28" i="3" s="1"/>
  <c r="AH28" i="3"/>
  <c r="U42" i="6" s="1"/>
  <c r="BO27" i="3"/>
  <c r="AM27" i="3"/>
  <c r="O28" i="18" s="1"/>
  <c r="BL68" i="3"/>
  <c r="S68" i="3"/>
  <c r="F82" i="6" s="1"/>
  <c r="AV67" i="3"/>
  <c r="A67" i="3"/>
  <c r="Y66" i="3"/>
  <c r="BE65" i="3"/>
  <c r="K65" i="3"/>
  <c r="AP64" i="3"/>
  <c r="R65" i="18" s="1"/>
  <c r="BM63" i="3"/>
  <c r="AB63" i="3"/>
  <c r="O77" i="6" s="1"/>
  <c r="AX62" i="3"/>
  <c r="M62" i="3"/>
  <c r="AK61" i="3"/>
  <c r="A61" i="3"/>
  <c r="X60" i="3"/>
  <c r="K74" i="6" s="1"/>
  <c r="AY59" i="3"/>
  <c r="K59" i="3"/>
  <c r="AO58" i="3"/>
  <c r="Q59" i="18" s="1"/>
  <c r="A58" i="3"/>
  <c r="AJ57" i="3"/>
  <c r="N58" i="17" s="1"/>
  <c r="B57" i="3"/>
  <c r="AA56" i="3"/>
  <c r="BH55" i="3"/>
  <c r="V55" i="3"/>
  <c r="I69" i="6" s="1"/>
  <c r="BC54" i="3"/>
  <c r="U54" i="3"/>
  <c r="H68" i="6" s="1"/>
  <c r="AX53" i="3"/>
  <c r="P53" i="3"/>
  <c r="AW52" i="3"/>
  <c r="L52" i="3"/>
  <c r="AP51" i="3"/>
  <c r="R52" i="18" s="1"/>
  <c r="B51" i="3"/>
  <c r="AI50" i="3"/>
  <c r="D50" i="3"/>
  <c r="AH49" i="3"/>
  <c r="U63" i="6" s="1"/>
  <c r="B49" i="3"/>
  <c r="AF48" i="3"/>
  <c r="S62" i="6" s="1"/>
  <c r="BO47" i="3"/>
  <c r="AK47" i="3"/>
  <c r="BO46" i="3"/>
  <c r="AK46" i="3"/>
  <c r="B46" i="3"/>
  <c r="AK45" i="3"/>
  <c r="H45" i="3"/>
  <c r="AN44" i="3"/>
  <c r="P45" i="18" s="1"/>
  <c r="I44" i="3"/>
  <c r="AU43" i="3"/>
  <c r="N44" i="18" s="1"/>
  <c r="K43" i="3"/>
  <c r="AU42" i="3"/>
  <c r="N43" i="18" s="1"/>
  <c r="M42" i="3"/>
  <c r="AZ41" i="3"/>
  <c r="V41" i="3"/>
  <c r="I55" i="6" s="1"/>
  <c r="BD40" i="3"/>
  <c r="AA40" i="3"/>
  <c r="BI39" i="3"/>
  <c r="AG39" i="3"/>
  <c r="T53" i="6" s="1"/>
  <c r="C39" i="3"/>
  <c r="AI38" i="3"/>
  <c r="F38" i="3"/>
  <c r="AO37" i="3"/>
  <c r="Q38" i="18" s="1"/>
  <c r="K37" i="3"/>
  <c r="AX36" i="3"/>
  <c r="BX36" i="3" s="1"/>
  <c r="P36" i="3"/>
  <c r="BC35" i="3"/>
  <c r="Y35" i="3"/>
  <c r="BG34" i="3"/>
  <c r="AB34" i="3"/>
  <c r="O48" i="6" s="1"/>
  <c r="BJ33" i="3"/>
  <c r="AG33" i="3"/>
  <c r="T47" i="6" s="1"/>
  <c r="D33" i="3"/>
  <c r="AM32" i="3"/>
  <c r="O33" i="18" s="1"/>
  <c r="I32" i="3"/>
  <c r="AR31" i="3"/>
  <c r="N31" i="3"/>
  <c r="BA30" i="3"/>
  <c r="Q30" i="3"/>
  <c r="BK68" i="3"/>
  <c r="BZ68" i="3" s="1"/>
  <c r="R68" i="3"/>
  <c r="E82" i="6" s="1"/>
  <c r="AU67" i="3"/>
  <c r="N68" i="18" s="1"/>
  <c r="BO66" i="3"/>
  <c r="X66" i="3"/>
  <c r="K80" i="6" s="1"/>
  <c r="AV65" i="3"/>
  <c r="I65" i="3"/>
  <c r="AM64" i="3"/>
  <c r="O65" i="18" s="1"/>
  <c r="BJ63" i="3"/>
  <c r="V63" i="3"/>
  <c r="I77" i="6" s="1"/>
  <c r="AW62" i="3"/>
  <c r="L62" i="3"/>
  <c r="AJ61" i="3"/>
  <c r="N62" i="17" s="1"/>
  <c r="BO60" i="3"/>
  <c r="V60" i="3"/>
  <c r="I74" i="6" s="1"/>
  <c r="AX59" i="3"/>
  <c r="I59" i="3"/>
  <c r="AN58" i="3"/>
  <c r="P59" i="18" s="1"/>
  <c r="BN57" i="3"/>
  <c r="AI57" i="3"/>
  <c r="BN56" i="3"/>
  <c r="Z56" i="3"/>
  <c r="BG55" i="3"/>
  <c r="U55" i="3"/>
  <c r="H69" i="6" s="1"/>
  <c r="BB54" i="3"/>
  <c r="T54" i="3"/>
  <c r="G68" i="6" s="1"/>
  <c r="AW53" i="3"/>
  <c r="O53" i="3"/>
  <c r="M54" i="15" s="1"/>
  <c r="AV52" i="3"/>
  <c r="G52" i="3"/>
  <c r="AO51" i="3"/>
  <c r="Q52" i="18" s="1"/>
  <c r="A51" i="3"/>
  <c r="AC2" i="3"/>
  <c r="P16" i="6" s="1"/>
  <c r="BC2" i="3"/>
  <c r="O3" i="3"/>
  <c r="M4" i="15" s="1"/>
  <c r="AS3" i="3"/>
  <c r="D4" i="3"/>
  <c r="AE4" i="3"/>
  <c r="R18" i="6" s="1"/>
  <c r="BE4" i="3"/>
  <c r="T5" i="3"/>
  <c r="G19" i="6" s="1"/>
  <c r="AU5" i="3"/>
  <c r="N6" i="18" s="1"/>
  <c r="F6" i="3"/>
  <c r="AG6" i="3"/>
  <c r="T20" i="6" s="1"/>
  <c r="BK6" i="3"/>
  <c r="BZ6" i="3" s="1"/>
  <c r="V7" i="3"/>
  <c r="I21" i="6" s="1"/>
  <c r="BA7" i="3"/>
  <c r="P8" i="3"/>
  <c r="AR8" i="3"/>
  <c r="E9" i="3"/>
  <c r="AF9" i="3"/>
  <c r="S23" i="6" s="1"/>
  <c r="BL9" i="3"/>
  <c r="X10" i="3"/>
  <c r="K24" i="6" s="1"/>
  <c r="AZ10" i="3"/>
  <c r="R11" i="3"/>
  <c r="E25" i="6" s="1"/>
  <c r="AW11" i="3"/>
  <c r="P12" i="3"/>
  <c r="AR12" i="3"/>
  <c r="F13" i="3"/>
  <c r="AM13" i="3"/>
  <c r="O14" i="18" s="1"/>
  <c r="A14" i="3"/>
  <c r="AD14" i="3"/>
  <c r="Q28" i="6" s="1"/>
  <c r="BK14" i="3"/>
  <c r="BZ14" i="3" s="1"/>
  <c r="Y15" i="3"/>
  <c r="BH15" i="3"/>
  <c r="V16" i="3"/>
  <c r="I30" i="6" s="1"/>
  <c r="BD16" i="3"/>
  <c r="T17" i="3"/>
  <c r="G31" i="6" s="1"/>
  <c r="AW17" i="3"/>
  <c r="Q18" i="3"/>
  <c r="AU18" i="3"/>
  <c r="N19" i="18" s="1"/>
  <c r="P19" i="3"/>
  <c r="AU19" i="3"/>
  <c r="N20" i="18" s="1"/>
  <c r="M20" i="3"/>
  <c r="AR20" i="3"/>
  <c r="J21" i="3"/>
  <c r="AR21" i="3"/>
  <c r="K22" i="3"/>
  <c r="AO22" i="3"/>
  <c r="Q23" i="18" s="1"/>
  <c r="H23" i="3"/>
  <c r="AM23" i="3"/>
  <c r="O24" i="18" s="1"/>
  <c r="A24" i="3"/>
  <c r="AL24" i="3"/>
  <c r="BQ24" i="3" s="1"/>
  <c r="BO24" i="3"/>
  <c r="AI25" i="3"/>
  <c r="BN25" i="3"/>
  <c r="AF26" i="3"/>
  <c r="S40" i="6" s="1"/>
  <c r="BK26" i="3"/>
  <c r="BZ26" i="3" s="1"/>
  <c r="AF27" i="3"/>
  <c r="S41" i="6" s="1"/>
  <c r="BK27" i="3"/>
  <c r="BZ27" i="3" s="1"/>
  <c r="AE28" i="3"/>
  <c r="R42" i="6" s="1"/>
  <c r="BM28" i="3"/>
  <c r="AJ29" i="3"/>
  <c r="N30" i="17" s="1"/>
  <c r="BN29" i="3"/>
  <c r="AJ30" i="3"/>
  <c r="N31" i="17" s="1"/>
  <c r="F31" i="3"/>
  <c r="AM31" i="3"/>
  <c r="O32" i="18" s="1"/>
  <c r="J32" i="3"/>
  <c r="AW32" i="3"/>
  <c r="Q33" i="3"/>
  <c r="BA33" i="3"/>
  <c r="R34" i="3"/>
  <c r="E48" i="6" s="1"/>
  <c r="BC34" i="3"/>
  <c r="AD35" i="3"/>
  <c r="Q49" i="6" s="1"/>
  <c r="BJ35" i="3"/>
  <c r="AF36" i="3"/>
  <c r="S50" i="6" s="1"/>
  <c r="D37" i="3"/>
  <c r="AI37" i="3"/>
  <c r="E38" i="3"/>
  <c r="AU38" i="3"/>
  <c r="N39" i="18" s="1"/>
  <c r="M39" i="3"/>
  <c r="AW39" i="3"/>
  <c r="P40" i="3"/>
  <c r="BA40" i="3"/>
  <c r="W41" i="3"/>
  <c r="J55" i="6" s="1"/>
  <c r="BH41" i="3"/>
  <c r="AD42" i="3"/>
  <c r="Q56" i="6" s="1"/>
  <c r="BO42" i="3"/>
  <c r="AG43" i="3"/>
  <c r="T57" i="6" s="1"/>
  <c r="G44" i="3"/>
  <c r="AW44" i="3"/>
  <c r="O45" i="3"/>
  <c r="M46" i="15" s="1"/>
  <c r="BD45" i="3"/>
  <c r="X46" i="3"/>
  <c r="K60" i="6" s="1"/>
  <c r="BK46" i="3"/>
  <c r="BZ46" i="3" s="1"/>
  <c r="AI47" i="3"/>
  <c r="G48" i="3"/>
  <c r="AU48" i="3"/>
  <c r="N49" i="18" s="1"/>
  <c r="V49" i="3"/>
  <c r="I63" i="6" s="1"/>
  <c r="BF49" i="3"/>
  <c r="AF50" i="3"/>
  <c r="S64" i="6" s="1"/>
  <c r="Q51" i="3"/>
  <c r="BC51" i="3"/>
  <c r="AD52" i="3"/>
  <c r="Q66" i="6" s="1"/>
  <c r="J53" i="3"/>
  <c r="BI53" i="3"/>
  <c r="AE54" i="3"/>
  <c r="R68" i="6" s="1"/>
  <c r="K55" i="3"/>
  <c r="BC55" i="3"/>
  <c r="AO56" i="3"/>
  <c r="Q57" i="18" s="1"/>
  <c r="M57" i="3"/>
  <c r="BE57" i="3"/>
  <c r="AK58" i="3"/>
  <c r="V59" i="3"/>
  <c r="I73" i="6" s="1"/>
  <c r="BO59" i="3"/>
  <c r="AW60" i="3"/>
  <c r="AG61" i="3"/>
  <c r="T75" i="6" s="1"/>
  <c r="R62" i="3"/>
  <c r="E76" i="6" s="1"/>
  <c r="E63" i="3"/>
  <c r="AZ63" i="3"/>
  <c r="AC64" i="3"/>
  <c r="P78" i="6" s="1"/>
  <c r="P65" i="3"/>
  <c r="B66" i="3"/>
  <c r="BB66" i="3"/>
  <c r="AL67" i="3"/>
  <c r="BQ67" i="3" s="1"/>
  <c r="AD68" i="3"/>
  <c r="Q82" i="6" s="1"/>
  <c r="BR26" i="3" l="1"/>
  <c r="V34" i="6"/>
  <c r="W57" i="6"/>
  <c r="BP61" i="3"/>
  <c r="V41" i="6"/>
  <c r="W21" i="6"/>
  <c r="AG22" i="6"/>
  <c r="CA11" i="3"/>
  <c r="B38" i="6"/>
  <c r="CA25" i="3"/>
  <c r="W26" i="15" s="1"/>
  <c r="AB51" i="6"/>
  <c r="BP19" i="3"/>
  <c r="BU19" i="3" s="1"/>
  <c r="S20" i="15" s="1"/>
  <c r="Y28" i="6"/>
  <c r="BR44" i="3"/>
  <c r="AA20" i="6"/>
  <c r="BS50" i="3"/>
  <c r="W34" i="6"/>
  <c r="BR14" i="3"/>
  <c r="BT23" i="3"/>
  <c r="Y48" i="6"/>
  <c r="BX6" i="3"/>
  <c r="Y29" i="6"/>
  <c r="CA26" i="3"/>
  <c r="K27" i="17" s="1"/>
  <c r="BT63" i="3"/>
  <c r="BT25" i="3"/>
  <c r="Y79" i="6"/>
  <c r="Y74" i="6"/>
  <c r="V63" i="6"/>
  <c r="BX61" i="3"/>
  <c r="BS39" i="3"/>
  <c r="AC19" i="6"/>
  <c r="Y41" i="6"/>
  <c r="BS7" i="3"/>
  <c r="BQ2" i="3"/>
  <c r="P3" i="17" s="1"/>
  <c r="BP44" i="3"/>
  <c r="BU44" i="3" s="1"/>
  <c r="S45" i="15" s="1"/>
  <c r="AC21" i="6"/>
  <c r="AC41" i="6"/>
  <c r="B71" i="6"/>
  <c r="BS43" i="3"/>
  <c r="BY43" i="3" s="1"/>
  <c r="Y44" i="6"/>
  <c r="AG23" i="6"/>
  <c r="D47" i="6"/>
  <c r="O34" i="15"/>
  <c r="C18" i="6"/>
  <c r="N5" i="15"/>
  <c r="C21" i="6"/>
  <c r="N8" i="15"/>
  <c r="AF23" i="6"/>
  <c r="R10" i="18"/>
  <c r="M74" i="6"/>
  <c r="Q61" i="15"/>
  <c r="M66" i="6"/>
  <c r="Q53" i="15"/>
  <c r="D25" i="6"/>
  <c r="O12" i="15"/>
  <c r="L70" i="6"/>
  <c r="P57" i="15"/>
  <c r="X27" i="6"/>
  <c r="O14" i="17"/>
  <c r="W48" i="6"/>
  <c r="D41" i="6"/>
  <c r="O28" i="15"/>
  <c r="D34" i="6"/>
  <c r="O21" i="15"/>
  <c r="B44" i="6"/>
  <c r="M31" i="15"/>
  <c r="L23" i="6"/>
  <c r="P10" i="15"/>
  <c r="W33" i="6"/>
  <c r="N20" i="17"/>
  <c r="Y72" i="6"/>
  <c r="BQ58" i="3"/>
  <c r="P59" i="17" s="1"/>
  <c r="W49" i="6"/>
  <c r="N36" i="17"/>
  <c r="M71" i="6"/>
  <c r="Q58" i="15"/>
  <c r="W29" i="6"/>
  <c r="AE29" i="6" s="1"/>
  <c r="N16" i="17"/>
  <c r="X49" i="6"/>
  <c r="O36" i="17"/>
  <c r="Y49" i="6"/>
  <c r="BQ35" i="3"/>
  <c r="N54" i="6"/>
  <c r="R41" i="15"/>
  <c r="M32" i="6"/>
  <c r="Q19" i="15"/>
  <c r="N53" i="6"/>
  <c r="R40" i="15"/>
  <c r="N74" i="6"/>
  <c r="R61" i="15"/>
  <c r="D73" i="6"/>
  <c r="O60" i="15"/>
  <c r="N41" i="6"/>
  <c r="R28" i="15"/>
  <c r="N64" i="6"/>
  <c r="R51" i="15"/>
  <c r="M30" i="6"/>
  <c r="Q17" i="15"/>
  <c r="C60" i="6"/>
  <c r="N47" i="15"/>
  <c r="AC31" i="6"/>
  <c r="BT56" i="3"/>
  <c r="BW25" i="3"/>
  <c r="M26" i="18" s="1"/>
  <c r="O26" i="18"/>
  <c r="X56" i="6"/>
  <c r="O43" i="17"/>
  <c r="Y73" i="6"/>
  <c r="BQ59" i="3"/>
  <c r="M63" i="6"/>
  <c r="Q50" i="15"/>
  <c r="L63" i="6"/>
  <c r="P50" i="15"/>
  <c r="L51" i="6"/>
  <c r="P38" i="15"/>
  <c r="W82" i="6"/>
  <c r="N69" i="17"/>
  <c r="X44" i="6"/>
  <c r="O31" i="17"/>
  <c r="X50" i="6"/>
  <c r="AE50" i="6" s="1"/>
  <c r="O37" i="17"/>
  <c r="C28" i="6"/>
  <c r="N15" i="15"/>
  <c r="C43" i="6"/>
  <c r="N30" i="15"/>
  <c r="B60" i="6"/>
  <c r="M47" i="15"/>
  <c r="M81" i="6"/>
  <c r="Q68" i="15"/>
  <c r="X80" i="6"/>
  <c r="O67" i="17"/>
  <c r="B62" i="6"/>
  <c r="M49" i="15"/>
  <c r="N20" i="6"/>
  <c r="R7" i="15"/>
  <c r="M36" i="6"/>
  <c r="Q23" i="15"/>
  <c r="M70" i="6"/>
  <c r="Q57" i="15"/>
  <c r="X75" i="6"/>
  <c r="O62" i="17"/>
  <c r="C65" i="6"/>
  <c r="N52" i="15"/>
  <c r="M37" i="6"/>
  <c r="Q24" i="15"/>
  <c r="C57" i="6"/>
  <c r="N44" i="15"/>
  <c r="L42" i="6"/>
  <c r="P29" i="15"/>
  <c r="L45" i="6"/>
  <c r="P32" i="15"/>
  <c r="N69" i="6"/>
  <c r="R56" i="15"/>
  <c r="D24" i="6"/>
  <c r="O11" i="15"/>
  <c r="M49" i="6"/>
  <c r="Q36" i="15"/>
  <c r="C62" i="6"/>
  <c r="N49" i="15"/>
  <c r="D79" i="6"/>
  <c r="O66" i="15"/>
  <c r="N28" i="6"/>
  <c r="R15" i="15"/>
  <c r="N25" i="6"/>
  <c r="R12" i="15"/>
  <c r="L39" i="6"/>
  <c r="P26" i="15"/>
  <c r="X42" i="6"/>
  <c r="O29" i="17"/>
  <c r="D50" i="6"/>
  <c r="O37" i="15"/>
  <c r="X68" i="6"/>
  <c r="O55" i="17"/>
  <c r="N17" i="6"/>
  <c r="R4" i="15"/>
  <c r="M33" i="6"/>
  <c r="Q20" i="15"/>
  <c r="D36" i="6"/>
  <c r="O23" i="15"/>
  <c r="M82" i="6"/>
  <c r="Q69" i="15"/>
  <c r="B27" i="6"/>
  <c r="M14" i="15"/>
  <c r="C64" i="6"/>
  <c r="N51" i="15"/>
  <c r="X34" i="6"/>
  <c r="O21" i="17"/>
  <c r="C26" i="6"/>
  <c r="N13" i="15"/>
  <c r="C45" i="6"/>
  <c r="N32" i="15"/>
  <c r="M29" i="6"/>
  <c r="Q16" i="15"/>
  <c r="C19" i="6"/>
  <c r="N6" i="15"/>
  <c r="M77" i="6"/>
  <c r="Q64" i="15"/>
  <c r="L75" i="6"/>
  <c r="P62" i="15"/>
  <c r="X58" i="6"/>
  <c r="O45" i="17"/>
  <c r="D49" i="6"/>
  <c r="O36" i="15"/>
  <c r="M28" i="6"/>
  <c r="Q15" i="15"/>
  <c r="D64" i="6"/>
  <c r="O51" i="15"/>
  <c r="D22" i="6"/>
  <c r="O9" i="15"/>
  <c r="X40" i="6"/>
  <c r="O27" i="17"/>
  <c r="N51" i="6"/>
  <c r="R38" i="15"/>
  <c r="L28" i="6"/>
  <c r="P15" i="15"/>
  <c r="C27" i="6"/>
  <c r="N14" i="15"/>
  <c r="B58" i="6"/>
  <c r="M45" i="15"/>
  <c r="C69" i="6"/>
  <c r="N56" i="15"/>
  <c r="B69" i="6"/>
  <c r="M56" i="15"/>
  <c r="D33" i="6"/>
  <c r="O20" i="15"/>
  <c r="X19" i="6"/>
  <c r="O6" i="17"/>
  <c r="X28" i="6"/>
  <c r="O15" i="17"/>
  <c r="M46" i="6"/>
  <c r="Q33" i="15"/>
  <c r="D56" i="6"/>
  <c r="O43" i="15"/>
  <c r="C63" i="6"/>
  <c r="N50" i="15"/>
  <c r="M59" i="6"/>
  <c r="Q46" i="15"/>
  <c r="X22" i="6"/>
  <c r="O9" i="17"/>
  <c r="N42" i="6"/>
  <c r="R29" i="15"/>
  <c r="X62" i="6"/>
  <c r="O49" i="17"/>
  <c r="N72" i="6"/>
  <c r="R59" i="15"/>
  <c r="D37" i="6"/>
  <c r="O24" i="15"/>
  <c r="N78" i="6"/>
  <c r="R65" i="15"/>
  <c r="D82" i="6"/>
  <c r="O69" i="15"/>
  <c r="L30" i="6"/>
  <c r="P17" i="15"/>
  <c r="W16" i="6"/>
  <c r="N3" i="17"/>
  <c r="B39" i="6"/>
  <c r="M26" i="15"/>
  <c r="W74" i="6"/>
  <c r="AE74" i="6" s="1"/>
  <c r="N61" i="17"/>
  <c r="C44" i="6"/>
  <c r="N31" i="15"/>
  <c r="Y33" i="6"/>
  <c r="BQ19" i="3"/>
  <c r="P20" i="17" s="1"/>
  <c r="C29" i="6"/>
  <c r="N16" i="15"/>
  <c r="D29" i="6"/>
  <c r="O16" i="15"/>
  <c r="X53" i="6"/>
  <c r="O40" i="17"/>
  <c r="M47" i="6"/>
  <c r="Q34" i="15"/>
  <c r="D51" i="6"/>
  <c r="O38" i="15"/>
  <c r="Y77" i="6"/>
  <c r="BQ63" i="3"/>
  <c r="X29" i="6"/>
  <c r="O16" i="17"/>
  <c r="N62" i="6"/>
  <c r="R49" i="15"/>
  <c r="X37" i="6"/>
  <c r="O24" i="17"/>
  <c r="X74" i="6"/>
  <c r="O61" i="17"/>
  <c r="C32" i="6"/>
  <c r="N19" i="15"/>
  <c r="C55" i="6"/>
  <c r="N42" i="15"/>
  <c r="C25" i="6"/>
  <c r="N12" i="15"/>
  <c r="X36" i="6"/>
  <c r="O23" i="17"/>
  <c r="N18" i="6"/>
  <c r="R5" i="15"/>
  <c r="L31" i="6"/>
  <c r="P18" i="15"/>
  <c r="N19" i="6"/>
  <c r="R6" i="15"/>
  <c r="D43" i="6"/>
  <c r="O30" i="15"/>
  <c r="X48" i="6"/>
  <c r="O35" i="17"/>
  <c r="M19" i="6"/>
  <c r="Q6" i="15"/>
  <c r="X18" i="6"/>
  <c r="O5" i="17"/>
  <c r="L47" i="6"/>
  <c r="P34" i="15"/>
  <c r="L35" i="6"/>
  <c r="P22" i="15"/>
  <c r="L26" i="6"/>
  <c r="P13" i="15"/>
  <c r="C34" i="6"/>
  <c r="N21" i="15"/>
  <c r="L38" i="6"/>
  <c r="P25" i="15"/>
  <c r="X70" i="6"/>
  <c r="O57" i="17"/>
  <c r="D59" i="6"/>
  <c r="O46" i="15"/>
  <c r="AF25" i="6"/>
  <c r="Q12" i="18"/>
  <c r="AC82" i="6"/>
  <c r="BT68" i="3"/>
  <c r="C80" i="6"/>
  <c r="N67" i="15"/>
  <c r="M16" i="6"/>
  <c r="Q3" i="15"/>
  <c r="M18" i="6"/>
  <c r="Q5" i="15"/>
  <c r="C72" i="6"/>
  <c r="N59" i="15"/>
  <c r="N26" i="6"/>
  <c r="R13" i="15"/>
  <c r="D38" i="6"/>
  <c r="O25" i="15"/>
  <c r="L71" i="6"/>
  <c r="P58" i="15"/>
  <c r="L36" i="6"/>
  <c r="P23" i="15"/>
  <c r="X32" i="6"/>
  <c r="O19" i="17"/>
  <c r="W50" i="6"/>
  <c r="N37" i="17"/>
  <c r="X66" i="6"/>
  <c r="O53" i="17"/>
  <c r="H20" i="24"/>
  <c r="G20" i="24"/>
  <c r="F20" i="24"/>
  <c r="E20" i="24"/>
  <c r="D20" i="24"/>
  <c r="C20" i="24"/>
  <c r="B20" i="24"/>
  <c r="L34" i="6"/>
  <c r="P21" i="15"/>
  <c r="C76" i="6"/>
  <c r="N63" i="15"/>
  <c r="C54" i="6"/>
  <c r="N41" i="15"/>
  <c r="C67" i="6"/>
  <c r="N54" i="15"/>
  <c r="N44" i="6"/>
  <c r="R31" i="15"/>
  <c r="N37" i="6"/>
  <c r="R24" i="15"/>
  <c r="N40" i="6"/>
  <c r="R27" i="15"/>
  <c r="X23" i="6"/>
  <c r="O10" i="17"/>
  <c r="M43" i="6"/>
  <c r="Q30" i="15"/>
  <c r="M79" i="6"/>
  <c r="Q66" i="15"/>
  <c r="M38" i="6"/>
  <c r="Q25" i="15"/>
  <c r="C20" i="6"/>
  <c r="N7" i="15"/>
  <c r="C75" i="6"/>
  <c r="N62" i="15"/>
  <c r="L82" i="6"/>
  <c r="P69" i="15"/>
  <c r="N56" i="6"/>
  <c r="R43" i="15"/>
  <c r="X35" i="6"/>
  <c r="O22" i="17"/>
  <c r="BR39" i="3"/>
  <c r="C41" i="6"/>
  <c r="N28" i="15"/>
  <c r="L50" i="6"/>
  <c r="P37" i="15"/>
  <c r="C36" i="6"/>
  <c r="N23" i="15"/>
  <c r="N50" i="6"/>
  <c r="R37" i="15"/>
  <c r="D81" i="6"/>
  <c r="O68" i="15"/>
  <c r="BQ18" i="3"/>
  <c r="BV18" i="3" s="1"/>
  <c r="M19" i="17" s="1"/>
  <c r="D69" i="6"/>
  <c r="O56" i="15"/>
  <c r="D65" i="6"/>
  <c r="O52" i="15"/>
  <c r="M50" i="6"/>
  <c r="Q37" i="15"/>
  <c r="Z82" i="6"/>
  <c r="BX68" i="3"/>
  <c r="C82" i="6"/>
  <c r="N69" i="15"/>
  <c r="X46" i="6"/>
  <c r="O33" i="17"/>
  <c r="BP3" i="3"/>
  <c r="Y39" i="6"/>
  <c r="BQ25" i="3"/>
  <c r="N31" i="6"/>
  <c r="R18" i="15"/>
  <c r="M48" i="6"/>
  <c r="Q35" i="15"/>
  <c r="N48" i="6"/>
  <c r="R35" i="15"/>
  <c r="L17" i="6"/>
  <c r="P4" i="15"/>
  <c r="M17" i="6"/>
  <c r="Q4" i="15"/>
  <c r="D21" i="6"/>
  <c r="O8" i="15"/>
  <c r="C38" i="6"/>
  <c r="N25" i="15"/>
  <c r="M67" i="6"/>
  <c r="Q54" i="15"/>
  <c r="B24" i="6"/>
  <c r="M11" i="15"/>
  <c r="L37" i="6"/>
  <c r="P24" i="15"/>
  <c r="M65" i="6"/>
  <c r="Q52" i="15"/>
  <c r="L55" i="6"/>
  <c r="P42" i="15"/>
  <c r="D30" i="6"/>
  <c r="O17" i="15"/>
  <c r="D42" i="6"/>
  <c r="O29" i="15"/>
  <c r="M39" i="6"/>
  <c r="Q26" i="15"/>
  <c r="D45" i="6"/>
  <c r="O32" i="15"/>
  <c r="N75" i="6"/>
  <c r="R62" i="15"/>
  <c r="M34" i="6"/>
  <c r="Q21" i="15"/>
  <c r="M64" i="6"/>
  <c r="Q51" i="15"/>
  <c r="D80" i="6"/>
  <c r="O67" i="15"/>
  <c r="L77" i="6"/>
  <c r="P64" i="15"/>
  <c r="X81" i="6"/>
  <c r="O68" i="17"/>
  <c r="N61" i="6"/>
  <c r="R48" i="15"/>
  <c r="L78" i="6"/>
  <c r="P65" i="15"/>
  <c r="BS66" i="3"/>
  <c r="N22" i="6"/>
  <c r="R9" i="15"/>
  <c r="C46" i="6"/>
  <c r="N33" i="15"/>
  <c r="X55" i="6"/>
  <c r="O42" i="17"/>
  <c r="Y78" i="6"/>
  <c r="BQ64" i="3"/>
  <c r="P65" i="17" s="1"/>
  <c r="L18" i="6"/>
  <c r="P5" i="15"/>
  <c r="D72" i="6"/>
  <c r="O59" i="15"/>
  <c r="B50" i="6"/>
  <c r="M37" i="15"/>
  <c r="L58" i="6"/>
  <c r="P45" i="15"/>
  <c r="L52" i="6"/>
  <c r="P39" i="15"/>
  <c r="D74" i="6"/>
  <c r="O61" i="15"/>
  <c r="X67" i="6"/>
  <c r="O54" i="17"/>
  <c r="M20" i="6"/>
  <c r="Q7" i="15"/>
  <c r="X63" i="6"/>
  <c r="O50" i="17"/>
  <c r="D32" i="6"/>
  <c r="O19" i="15"/>
  <c r="L49" i="6"/>
  <c r="P36" i="15"/>
  <c r="X21" i="6"/>
  <c r="O8" i="17"/>
  <c r="N66" i="6"/>
  <c r="R53" i="15"/>
  <c r="L16" i="6"/>
  <c r="P3" i="15"/>
  <c r="N68" i="6"/>
  <c r="R55" i="15"/>
  <c r="M56" i="6"/>
  <c r="Q43" i="15"/>
  <c r="X24" i="6"/>
  <c r="O11" i="17"/>
  <c r="M53" i="6"/>
  <c r="Q40" i="15"/>
  <c r="M21" i="6"/>
  <c r="Q8" i="15"/>
  <c r="X51" i="6"/>
  <c r="O38" i="17"/>
  <c r="N52" i="6"/>
  <c r="R39" i="15"/>
  <c r="L32" i="6"/>
  <c r="P19" i="15"/>
  <c r="C52" i="6"/>
  <c r="N39" i="15"/>
  <c r="N38" i="6"/>
  <c r="R25" i="15"/>
  <c r="D58" i="6"/>
  <c r="O45" i="15"/>
  <c r="L68" i="6"/>
  <c r="P55" i="15"/>
  <c r="M55" i="6"/>
  <c r="Q42" i="15"/>
  <c r="L76" i="6"/>
  <c r="P63" i="15"/>
  <c r="M69" i="6"/>
  <c r="Q56" i="15"/>
  <c r="D18" i="6"/>
  <c r="O5" i="15"/>
  <c r="N65" i="6"/>
  <c r="R52" i="15"/>
  <c r="N27" i="6"/>
  <c r="R14" i="15"/>
  <c r="L33" i="6"/>
  <c r="P20" i="15"/>
  <c r="D57" i="6"/>
  <c r="O44" i="15"/>
  <c r="B82" i="6"/>
  <c r="M69" i="15"/>
  <c r="D78" i="6"/>
  <c r="O65" i="15"/>
  <c r="M80" i="6"/>
  <c r="Q67" i="15"/>
  <c r="N49" i="6"/>
  <c r="R36" i="15"/>
  <c r="N43" i="6"/>
  <c r="R30" i="15"/>
  <c r="C23" i="6"/>
  <c r="N10" i="15"/>
  <c r="M25" i="6"/>
  <c r="Q12" i="15"/>
  <c r="Y31" i="6"/>
  <c r="BQ17" i="3"/>
  <c r="P18" i="17" s="1"/>
  <c r="C51" i="6"/>
  <c r="N38" i="15"/>
  <c r="N55" i="6"/>
  <c r="R42" i="15"/>
  <c r="X43" i="6"/>
  <c r="O30" i="17"/>
  <c r="L19" i="6"/>
  <c r="P6" i="15"/>
  <c r="M35" i="6"/>
  <c r="Q22" i="15"/>
  <c r="C78" i="6"/>
  <c r="N65" i="15"/>
  <c r="M52" i="6"/>
  <c r="Q39" i="15"/>
  <c r="D53" i="6"/>
  <c r="O40" i="15"/>
  <c r="D70" i="6"/>
  <c r="O57" i="15"/>
  <c r="D26" i="6"/>
  <c r="O13" i="15"/>
  <c r="X39" i="6"/>
  <c r="O26" i="17"/>
  <c r="D71" i="6"/>
  <c r="O58" i="15"/>
  <c r="L56" i="6"/>
  <c r="P43" i="15"/>
  <c r="W77" i="6"/>
  <c r="N64" i="17"/>
  <c r="L25" i="6"/>
  <c r="P12" i="15"/>
  <c r="D61" i="6"/>
  <c r="O48" i="15"/>
  <c r="C79" i="6"/>
  <c r="N66" i="15"/>
  <c r="M51" i="6"/>
  <c r="Q38" i="15"/>
  <c r="M41" i="6"/>
  <c r="Q28" i="15"/>
  <c r="D76" i="6"/>
  <c r="O63" i="15"/>
  <c r="C49" i="6"/>
  <c r="N36" i="15"/>
  <c r="M60" i="6"/>
  <c r="Q47" i="15"/>
  <c r="M27" i="6"/>
  <c r="Q14" i="15"/>
  <c r="D46" i="6"/>
  <c r="O33" i="15"/>
  <c r="C68" i="6"/>
  <c r="N55" i="15"/>
  <c r="AB82" i="6"/>
  <c r="BS68" i="3"/>
  <c r="X57" i="6"/>
  <c r="O44" i="17"/>
  <c r="X82" i="6"/>
  <c r="O69" i="17"/>
  <c r="X78" i="6"/>
  <c r="O65" i="17"/>
  <c r="D31" i="6"/>
  <c r="O18" i="15"/>
  <c r="N81" i="6"/>
  <c r="R68" i="15"/>
  <c r="N24" i="6"/>
  <c r="R11" i="15"/>
  <c r="N21" i="6"/>
  <c r="R8" i="15"/>
  <c r="B34" i="6"/>
  <c r="M21" i="15"/>
  <c r="B57" i="6"/>
  <c r="M44" i="15"/>
  <c r="N45" i="6"/>
  <c r="R32" i="15"/>
  <c r="L24" i="6"/>
  <c r="P11" i="15"/>
  <c r="O69" i="18"/>
  <c r="AF82" i="6"/>
  <c r="BW68" i="3"/>
  <c r="C53" i="6"/>
  <c r="N40" i="15"/>
  <c r="L73" i="6"/>
  <c r="P60" i="15"/>
  <c r="W39" i="6"/>
  <c r="N26" i="17"/>
  <c r="C71" i="6"/>
  <c r="N58" i="15"/>
  <c r="N32" i="6"/>
  <c r="R19" i="15"/>
  <c r="X71" i="6"/>
  <c r="O58" i="17"/>
  <c r="C33" i="6"/>
  <c r="N20" i="15"/>
  <c r="L72" i="6"/>
  <c r="P59" i="15"/>
  <c r="L69" i="6"/>
  <c r="P56" i="15"/>
  <c r="L40" i="6"/>
  <c r="P27" i="15"/>
  <c r="C50" i="6"/>
  <c r="N37" i="15"/>
  <c r="N77" i="6"/>
  <c r="R64" i="15"/>
  <c r="C66" i="6"/>
  <c r="N53" i="15"/>
  <c r="X33" i="6"/>
  <c r="O20" i="17"/>
  <c r="D54" i="6"/>
  <c r="O41" i="15"/>
  <c r="N39" i="6"/>
  <c r="R26" i="15"/>
  <c r="L59" i="6"/>
  <c r="P46" i="15"/>
  <c r="M42" i="6"/>
  <c r="Q29" i="15"/>
  <c r="M45" i="6"/>
  <c r="Q32" i="15"/>
  <c r="C59" i="6"/>
  <c r="N46" i="15"/>
  <c r="N76" i="6"/>
  <c r="R63" i="15"/>
  <c r="D48" i="6"/>
  <c r="O35" i="15"/>
  <c r="L66" i="6"/>
  <c r="P53" i="15"/>
  <c r="B49" i="6"/>
  <c r="BP41" i="3"/>
  <c r="BU41" i="3" s="1"/>
  <c r="S42" i="15" s="1"/>
  <c r="D28" i="6"/>
  <c r="O15" i="15"/>
  <c r="B35" i="6"/>
  <c r="M22" i="15"/>
  <c r="X25" i="6"/>
  <c r="O12" i="17"/>
  <c r="C70" i="6"/>
  <c r="N57" i="15"/>
  <c r="N34" i="6"/>
  <c r="R21" i="15"/>
  <c r="B53" i="6"/>
  <c r="M40" i="15"/>
  <c r="Y76" i="6"/>
  <c r="BQ62" i="3"/>
  <c r="X20" i="6"/>
  <c r="O7" i="17"/>
  <c r="N23" i="6"/>
  <c r="R10" i="15"/>
  <c r="B37" i="6"/>
  <c r="M24" i="15"/>
  <c r="C37" i="6"/>
  <c r="N24" i="15"/>
  <c r="C81" i="6"/>
  <c r="N68" i="15"/>
  <c r="D23" i="6"/>
  <c r="O10" i="15"/>
  <c r="L20" i="6"/>
  <c r="P7" i="15"/>
  <c r="L65" i="6"/>
  <c r="P52" i="15"/>
  <c r="C73" i="6"/>
  <c r="N60" i="15"/>
  <c r="N63" i="6"/>
  <c r="R50" i="15"/>
  <c r="C35" i="6"/>
  <c r="N22" i="15"/>
  <c r="C22" i="6"/>
  <c r="N9" i="15"/>
  <c r="X59" i="6"/>
  <c r="O46" i="17"/>
  <c r="N70" i="6"/>
  <c r="R57" i="15"/>
  <c r="X60" i="6"/>
  <c r="O47" i="17"/>
  <c r="X47" i="6"/>
  <c r="O34" i="17"/>
  <c r="D16" i="6"/>
  <c r="O3" i="15"/>
  <c r="D19" i="6"/>
  <c r="O6" i="15"/>
  <c r="C40" i="6"/>
  <c r="N27" i="15"/>
  <c r="M61" i="6"/>
  <c r="Q48" i="15"/>
  <c r="BT36" i="3"/>
  <c r="AC78" i="6"/>
  <c r="Y50" i="6"/>
  <c r="X64" i="6"/>
  <c r="O51" i="17"/>
  <c r="M31" i="6"/>
  <c r="Q18" i="15"/>
  <c r="L54" i="6"/>
  <c r="P41" i="15"/>
  <c r="M57" i="6"/>
  <c r="Q44" i="15"/>
  <c r="N57" i="6"/>
  <c r="R44" i="15"/>
  <c r="AF38" i="6"/>
  <c r="P25" i="18"/>
  <c r="L27" i="6"/>
  <c r="P14" i="15"/>
  <c r="C74" i="6"/>
  <c r="N61" i="15"/>
  <c r="N33" i="6"/>
  <c r="R20" i="15"/>
  <c r="X69" i="6"/>
  <c r="O56" i="17"/>
  <c r="L80" i="6"/>
  <c r="P67" i="15"/>
  <c r="M44" i="6"/>
  <c r="Q31" i="15"/>
  <c r="N82" i="6"/>
  <c r="R69" i="15"/>
  <c r="D77" i="6"/>
  <c r="O64" i="15"/>
  <c r="D75" i="6"/>
  <c r="O62" i="15"/>
  <c r="B121" i="6"/>
  <c r="O3" i="18"/>
  <c r="D63" i="6"/>
  <c r="O50" i="15"/>
  <c r="N59" i="6"/>
  <c r="R46" i="15"/>
  <c r="C47" i="6"/>
  <c r="N34" i="15"/>
  <c r="W32" i="6"/>
  <c r="Y25" i="6"/>
  <c r="AC36" i="6"/>
  <c r="BQ52" i="3"/>
  <c r="P53" i="17" s="1"/>
  <c r="W54" i="6"/>
  <c r="N41" i="17"/>
  <c r="L48" i="6"/>
  <c r="P35" i="15"/>
  <c r="X73" i="6"/>
  <c r="O60" i="17"/>
  <c r="M24" i="6"/>
  <c r="Q11" i="15"/>
  <c r="X30" i="6"/>
  <c r="O17" i="17"/>
  <c r="M23" i="6"/>
  <c r="Q10" i="15"/>
  <c r="Y43" i="6"/>
  <c r="BQ29" i="3"/>
  <c r="P30" i="17" s="1"/>
  <c r="C39" i="6"/>
  <c r="N26" i="15"/>
  <c r="D39" i="6"/>
  <c r="O26" i="15"/>
  <c r="X41" i="6"/>
  <c r="O28" i="17"/>
  <c r="C42" i="6"/>
  <c r="N29" i="15"/>
  <c r="B45" i="6"/>
  <c r="M32" i="15"/>
  <c r="D52" i="6"/>
  <c r="O39" i="15"/>
  <c r="C16" i="6"/>
  <c r="N3" i="15"/>
  <c r="X61" i="6"/>
  <c r="O48" i="17"/>
  <c r="X26" i="6"/>
  <c r="O13" i="17"/>
  <c r="X45" i="6"/>
  <c r="O32" i="17"/>
  <c r="M62" i="6"/>
  <c r="Q49" i="15"/>
  <c r="N35" i="6"/>
  <c r="R22" i="15"/>
  <c r="D55" i="6"/>
  <c r="O42" i="15"/>
  <c r="M40" i="6"/>
  <c r="Q27" i="15"/>
  <c r="N60" i="6"/>
  <c r="R47" i="15"/>
  <c r="L43" i="6"/>
  <c r="P30" i="15"/>
  <c r="L79" i="6"/>
  <c r="P66" i="15"/>
  <c r="L46" i="6"/>
  <c r="P33" i="15"/>
  <c r="L22" i="6"/>
  <c r="P9" i="15"/>
  <c r="D60" i="6"/>
  <c r="O47" i="15"/>
  <c r="D67" i="6"/>
  <c r="O54" i="15"/>
  <c r="Y82" i="6"/>
  <c r="BQ68" i="3"/>
  <c r="BV68" i="3" s="1"/>
  <c r="M78" i="6"/>
  <c r="Q65" i="15"/>
  <c r="C31" i="6"/>
  <c r="N18" i="15"/>
  <c r="BT31" i="3"/>
  <c r="BY31" i="3" s="1"/>
  <c r="BP45" i="3"/>
  <c r="BU45" i="3" s="1"/>
  <c r="S46" i="15" s="1"/>
  <c r="BS24" i="3"/>
  <c r="BT18" i="3"/>
  <c r="N71" i="6"/>
  <c r="R58" i="15"/>
  <c r="M22" i="6"/>
  <c r="Q9" i="15"/>
  <c r="N30" i="6"/>
  <c r="R17" i="15"/>
  <c r="M26" i="6"/>
  <c r="Q13" i="15"/>
  <c r="M54" i="6"/>
  <c r="Q41" i="15"/>
  <c r="X76" i="6"/>
  <c r="O63" i="17"/>
  <c r="N29" i="6"/>
  <c r="R16" i="15"/>
  <c r="M76" i="6"/>
  <c r="Q63" i="15"/>
  <c r="D40" i="6"/>
  <c r="O27" i="15"/>
  <c r="CA68" i="3"/>
  <c r="CB68" i="3"/>
  <c r="L69" i="15" s="1"/>
  <c r="L29" i="6"/>
  <c r="P16" i="15"/>
  <c r="M68" i="6"/>
  <c r="Q55" i="15"/>
  <c r="L21" i="6"/>
  <c r="P8" i="15"/>
  <c r="M72" i="6"/>
  <c r="Q59" i="15"/>
  <c r="C17" i="6"/>
  <c r="N4" i="15"/>
  <c r="D20" i="6"/>
  <c r="O7" i="15"/>
  <c r="N16" i="6"/>
  <c r="R3" i="15"/>
  <c r="D35" i="6"/>
  <c r="O22" i="15"/>
  <c r="D17" i="6"/>
  <c r="O4" i="15"/>
  <c r="M73" i="6"/>
  <c r="Q60" i="15"/>
  <c r="M75" i="6"/>
  <c r="Q62" i="15"/>
  <c r="W76" i="6"/>
  <c r="X31" i="6"/>
  <c r="O18" i="17"/>
  <c r="W55" i="6"/>
  <c r="N42" i="17"/>
  <c r="L60" i="6"/>
  <c r="P47" i="15"/>
  <c r="V82" i="6"/>
  <c r="BP68" i="3"/>
  <c r="BU68" i="3" s="1"/>
  <c r="BQ12" i="3"/>
  <c r="BV12" i="3" s="1"/>
  <c r="M13" i="17" s="1"/>
  <c r="Y60" i="6"/>
  <c r="BQ46" i="3"/>
  <c r="P47" i="17" s="1"/>
  <c r="Y23" i="6"/>
  <c r="BQ9" i="3"/>
  <c r="P10" i="17" s="1"/>
  <c r="W28" i="6"/>
  <c r="N15" i="17"/>
  <c r="L67" i="6"/>
  <c r="P54" i="15"/>
  <c r="N58" i="6"/>
  <c r="R45" i="15"/>
  <c r="C77" i="6"/>
  <c r="N64" i="15"/>
  <c r="D27" i="6"/>
  <c r="O14" i="15"/>
  <c r="D66" i="6"/>
  <c r="O53" i="15"/>
  <c r="X77" i="6"/>
  <c r="O64" i="17"/>
  <c r="L64" i="6"/>
  <c r="P51" i="15"/>
  <c r="X17" i="6"/>
  <c r="O4" i="17"/>
  <c r="N47" i="6"/>
  <c r="R34" i="15"/>
  <c r="L53" i="6"/>
  <c r="P40" i="15"/>
  <c r="X65" i="6"/>
  <c r="O52" i="17"/>
  <c r="N67" i="6"/>
  <c r="R54" i="15"/>
  <c r="N80" i="6"/>
  <c r="R67" i="15"/>
  <c r="L74" i="6"/>
  <c r="P61" i="15"/>
  <c r="C48" i="6"/>
  <c r="N35" i="15"/>
  <c r="L61" i="6"/>
  <c r="P48" i="15"/>
  <c r="W46" i="6"/>
  <c r="N33" i="17"/>
  <c r="C58" i="6"/>
  <c r="N45" i="15"/>
  <c r="X54" i="6"/>
  <c r="O41" i="17"/>
  <c r="N46" i="6"/>
  <c r="R33" i="15"/>
  <c r="C24" i="6"/>
  <c r="N11" i="15"/>
  <c r="M58" i="6"/>
  <c r="Q45" i="15"/>
  <c r="B77" i="6"/>
  <c r="M64" i="15"/>
  <c r="W73" i="6"/>
  <c r="N60" i="17"/>
  <c r="W59" i="6"/>
  <c r="N46" i="17"/>
  <c r="F7" i="23"/>
  <c r="D7" i="23"/>
  <c r="X72" i="6"/>
  <c r="O59" i="17"/>
  <c r="D44" i="6"/>
  <c r="O31" i="15"/>
  <c r="X52" i="6"/>
  <c r="O39" i="17"/>
  <c r="X38" i="6"/>
  <c r="O25" i="17"/>
  <c r="N73" i="6"/>
  <c r="R60" i="15"/>
  <c r="X16" i="6"/>
  <c r="O3" i="17"/>
  <c r="N36" i="6"/>
  <c r="R23" i="15"/>
  <c r="AF49" i="6"/>
  <c r="R36" i="18"/>
  <c r="C56" i="6"/>
  <c r="N43" i="15"/>
  <c r="L41" i="6"/>
  <c r="P28" i="15"/>
  <c r="L44" i="6"/>
  <c r="P31" i="15"/>
  <c r="D68" i="6"/>
  <c r="O55" i="15"/>
  <c r="C61" i="6"/>
  <c r="N48" i="15"/>
  <c r="L57" i="6"/>
  <c r="P44" i="15"/>
  <c r="AA82" i="6"/>
  <c r="AH82" i="6" s="1"/>
  <c r="BR68" i="3"/>
  <c r="CA35" i="3"/>
  <c r="K36" i="17" s="1"/>
  <c r="C30" i="6"/>
  <c r="N17" i="15"/>
  <c r="AF24" i="6"/>
  <c r="W51" i="6"/>
  <c r="D62" i="6"/>
  <c r="O49" i="15"/>
  <c r="B18" i="6"/>
  <c r="M5" i="15"/>
  <c r="B29" i="6"/>
  <c r="M16" i="15"/>
  <c r="Y62" i="6"/>
  <c r="BQ48" i="3"/>
  <c r="L81" i="6"/>
  <c r="P68" i="15"/>
  <c r="X79" i="6"/>
  <c r="O66" i="17"/>
  <c r="L62" i="6"/>
  <c r="P49" i="15"/>
  <c r="BQ39" i="3"/>
  <c r="P40" i="17" s="1"/>
  <c r="N79" i="6"/>
  <c r="R66" i="15"/>
  <c r="W3" i="15"/>
  <c r="Y3" i="15"/>
  <c r="L3" i="20"/>
  <c r="X3" i="15"/>
  <c r="V3" i="15"/>
  <c r="U3" i="15"/>
  <c r="K3" i="17"/>
  <c r="K3" i="18"/>
  <c r="L3" i="21"/>
  <c r="K3" i="15"/>
  <c r="L3" i="18"/>
  <c r="L3" i="15"/>
  <c r="L3" i="17"/>
  <c r="L63" i="15"/>
  <c r="L63" i="17"/>
  <c r="L63" i="18"/>
  <c r="L22" i="15"/>
  <c r="L22" i="18"/>
  <c r="L22" i="17"/>
  <c r="X8" i="15"/>
  <c r="Y8" i="15"/>
  <c r="W8" i="15"/>
  <c r="U8" i="15"/>
  <c r="V8" i="15"/>
  <c r="K8" i="15"/>
  <c r="L8" i="21"/>
  <c r="L8" i="20"/>
  <c r="K8" i="17"/>
  <c r="K8" i="18"/>
  <c r="L65" i="15"/>
  <c r="L65" i="18"/>
  <c r="L65" i="17"/>
  <c r="BV37" i="3"/>
  <c r="M38" i="17" s="1"/>
  <c r="P38" i="17"/>
  <c r="L20" i="17"/>
  <c r="L20" i="18"/>
  <c r="L20" i="15"/>
  <c r="L27" i="17"/>
  <c r="L27" i="18"/>
  <c r="L27" i="15"/>
  <c r="L35" i="17"/>
  <c r="L35" i="18"/>
  <c r="L35" i="15"/>
  <c r="L30" i="15"/>
  <c r="L30" i="17"/>
  <c r="L30" i="18"/>
  <c r="U18" i="15"/>
  <c r="X18" i="15"/>
  <c r="W18" i="15"/>
  <c r="L18" i="21"/>
  <c r="V18" i="15"/>
  <c r="K18" i="15"/>
  <c r="K18" i="18"/>
  <c r="K18" i="17"/>
  <c r="L18" i="20"/>
  <c r="Y18" i="15"/>
  <c r="L36" i="18"/>
  <c r="L36" i="17"/>
  <c r="L36" i="15"/>
  <c r="X20" i="15"/>
  <c r="Y20" i="15"/>
  <c r="W20" i="15"/>
  <c r="V20" i="15"/>
  <c r="K20" i="17"/>
  <c r="K20" i="15"/>
  <c r="L20" i="21"/>
  <c r="U20" i="15"/>
  <c r="L20" i="20"/>
  <c r="K20" i="18"/>
  <c r="L26" i="15"/>
  <c r="L26" i="18"/>
  <c r="L26" i="17"/>
  <c r="L7" i="17"/>
  <c r="L7" i="18"/>
  <c r="L7" i="15"/>
  <c r="L8" i="18"/>
  <c r="L8" i="15"/>
  <c r="L8" i="17"/>
  <c r="L21" i="17"/>
  <c r="L21" i="18"/>
  <c r="L21" i="15"/>
  <c r="L49" i="15"/>
  <c r="L49" i="17"/>
  <c r="L49" i="18"/>
  <c r="L41" i="18"/>
  <c r="L41" i="15"/>
  <c r="L41" i="17"/>
  <c r="L9" i="18"/>
  <c r="L9" i="17"/>
  <c r="L9" i="15"/>
  <c r="L38" i="17"/>
  <c r="L38" i="18"/>
  <c r="L38" i="15"/>
  <c r="L12" i="18"/>
  <c r="L12" i="15"/>
  <c r="L12" i="17"/>
  <c r="L43" i="15"/>
  <c r="L43" i="17"/>
  <c r="L43" i="18"/>
  <c r="Y42" i="15"/>
  <c r="L42" i="21"/>
  <c r="X42" i="15"/>
  <c r="W42" i="15"/>
  <c r="V42" i="15"/>
  <c r="U42" i="15"/>
  <c r="K42" i="15"/>
  <c r="K42" i="18"/>
  <c r="K42" i="17"/>
  <c r="L42" i="20"/>
  <c r="X60" i="15"/>
  <c r="L60" i="20"/>
  <c r="Y60" i="15"/>
  <c r="U60" i="15"/>
  <c r="L60" i="21"/>
  <c r="K60" i="18"/>
  <c r="W60" i="15"/>
  <c r="V60" i="15"/>
  <c r="K60" i="17"/>
  <c r="K60" i="15"/>
  <c r="X12" i="15"/>
  <c r="W12" i="15"/>
  <c r="V12" i="15"/>
  <c r="U12" i="15"/>
  <c r="K12" i="18"/>
  <c r="L12" i="20"/>
  <c r="K12" i="15"/>
  <c r="K12" i="17"/>
  <c r="L12" i="21"/>
  <c r="Y12" i="15"/>
  <c r="L37" i="17"/>
  <c r="L37" i="15"/>
  <c r="L37" i="18"/>
  <c r="L10" i="15"/>
  <c r="L10" i="18"/>
  <c r="L10" i="17"/>
  <c r="BV36" i="3"/>
  <c r="M37" i="17" s="1"/>
  <c r="P37" i="17"/>
  <c r="L11" i="17"/>
  <c r="L11" i="15"/>
  <c r="L11" i="18"/>
  <c r="L4" i="18"/>
  <c r="L4" i="17"/>
  <c r="L4" i="15"/>
  <c r="L55" i="18"/>
  <c r="L55" i="15"/>
  <c r="L55" i="17"/>
  <c r="BV34" i="3"/>
  <c r="M35" i="17" s="1"/>
  <c r="P35" i="17"/>
  <c r="L48" i="17"/>
  <c r="L48" i="18"/>
  <c r="L48" i="15"/>
  <c r="L68" i="18"/>
  <c r="L68" i="17"/>
  <c r="L68" i="15"/>
  <c r="U37" i="15"/>
  <c r="Y37" i="15"/>
  <c r="X37" i="15"/>
  <c r="W37" i="15"/>
  <c r="V37" i="15"/>
  <c r="L37" i="21"/>
  <c r="L37" i="20"/>
  <c r="K37" i="15"/>
  <c r="K37" i="17"/>
  <c r="K37" i="18"/>
  <c r="L42" i="18"/>
  <c r="L42" i="17"/>
  <c r="L42" i="15"/>
  <c r="X26" i="15"/>
  <c r="U26" i="15"/>
  <c r="K26" i="17"/>
  <c r="K26" i="15"/>
  <c r="W11" i="15"/>
  <c r="Y11" i="15"/>
  <c r="V11" i="15"/>
  <c r="X11" i="15"/>
  <c r="L11" i="21"/>
  <c r="U11" i="15"/>
  <c r="L11" i="20"/>
  <c r="K11" i="17"/>
  <c r="K11" i="15"/>
  <c r="K11" i="18"/>
  <c r="L66" i="17"/>
  <c r="L66" i="18"/>
  <c r="L66" i="15"/>
  <c r="L56" i="15"/>
  <c r="L56" i="18"/>
  <c r="L56" i="17"/>
  <c r="L16" i="17"/>
  <c r="L16" i="15"/>
  <c r="L16" i="18"/>
  <c r="V27" i="15"/>
  <c r="U27" i="15"/>
  <c r="L60" i="18"/>
  <c r="L60" i="17"/>
  <c r="L60" i="15"/>
  <c r="L18" i="18"/>
  <c r="L18" i="15"/>
  <c r="L18" i="17"/>
  <c r="BP16" i="3"/>
  <c r="BU16" i="3" s="1"/>
  <c r="S17" i="15" s="1"/>
  <c r="BT24" i="3"/>
  <c r="BP32" i="3"/>
  <c r="BU32" i="3" s="1"/>
  <c r="S33" i="15" s="1"/>
  <c r="BR35" i="3"/>
  <c r="AB56" i="6"/>
  <c r="AG52" i="6"/>
  <c r="BV14" i="3"/>
  <c r="M15" i="17" s="1"/>
  <c r="BX8" i="3"/>
  <c r="BT28" i="3"/>
  <c r="BY28" i="3" s="1"/>
  <c r="AG20" i="6"/>
  <c r="BP15" i="3"/>
  <c r="BU15" i="3" s="1"/>
  <c r="S16" i="15" s="1"/>
  <c r="AB58" i="6"/>
  <c r="AH58" i="6" s="1"/>
  <c r="BX54" i="3"/>
  <c r="AB77" i="6"/>
  <c r="BR11" i="3"/>
  <c r="BS20" i="3"/>
  <c r="BW34" i="3"/>
  <c r="M35" i="18" s="1"/>
  <c r="CA42" i="3"/>
  <c r="U42" i="8" s="1"/>
  <c r="Y26" i="6"/>
  <c r="AC80" i="6"/>
  <c r="BP8" i="3"/>
  <c r="BU8" i="3" s="1"/>
  <c r="S9" i="15" s="1"/>
  <c r="AB22" i="6"/>
  <c r="V16" i="6"/>
  <c r="BP63" i="3"/>
  <c r="BU63" i="3" s="1"/>
  <c r="S64" i="15" s="1"/>
  <c r="BS48" i="3"/>
  <c r="AG19" i="6"/>
  <c r="V18" i="6"/>
  <c r="V54" i="6"/>
  <c r="BW10" i="3"/>
  <c r="T10" i="8" s="1"/>
  <c r="AG28" i="6"/>
  <c r="BR49" i="3"/>
  <c r="AG70" i="6"/>
  <c r="BX38" i="3"/>
  <c r="BX31" i="3"/>
  <c r="AF39" i="6"/>
  <c r="BP33" i="3"/>
  <c r="BU33" i="3" s="1"/>
  <c r="S34" i="15" s="1"/>
  <c r="BP14" i="3"/>
  <c r="BU14" i="3" s="1"/>
  <c r="S15" i="15" s="1"/>
  <c r="V36" i="6"/>
  <c r="BX19" i="3"/>
  <c r="V69" i="6"/>
  <c r="BS36" i="3"/>
  <c r="AB40" i="6"/>
  <c r="BT21" i="3"/>
  <c r="BW24" i="3"/>
  <c r="M25" i="18" s="1"/>
  <c r="BP46" i="3"/>
  <c r="BU46" i="3" s="1"/>
  <c r="S47" i="15" s="1"/>
  <c r="CA47" i="3"/>
  <c r="BP21" i="3"/>
  <c r="BU21" i="3" s="1"/>
  <c r="S22" i="15" s="1"/>
  <c r="BR56" i="3"/>
  <c r="AA41" i="6"/>
  <c r="BX20" i="3"/>
  <c r="AF32" i="6"/>
  <c r="AB45" i="6"/>
  <c r="AH45" i="6" s="1"/>
  <c r="BS52" i="3"/>
  <c r="AG68" i="6"/>
  <c r="AF54" i="6"/>
  <c r="AF42" i="6"/>
  <c r="BS40" i="3"/>
  <c r="AC51" i="6"/>
  <c r="BX5" i="3"/>
  <c r="CA20" i="3"/>
  <c r="BR5" i="3"/>
  <c r="BY5" i="3" s="1"/>
  <c r="BS23" i="3"/>
  <c r="AC17" i="6"/>
  <c r="AH17" i="6" s="1"/>
  <c r="C67" i="9"/>
  <c r="AF44" i="6"/>
  <c r="AF29" i="6"/>
  <c r="BV15" i="3"/>
  <c r="M16" i="17" s="1"/>
  <c r="CA53" i="3"/>
  <c r="CB53" i="3"/>
  <c r="BT42" i="3"/>
  <c r="CA61" i="3"/>
  <c r="CB61" i="3"/>
  <c r="V40" i="6"/>
  <c r="BP26" i="3"/>
  <c r="BU26" i="3" s="1"/>
  <c r="S27" i="15" s="1"/>
  <c r="CA31" i="3"/>
  <c r="S31" i="8" s="1"/>
  <c r="CB31" i="3"/>
  <c r="CA24" i="3"/>
  <c r="CB24" i="3"/>
  <c r="AC68" i="6"/>
  <c r="BT54" i="3"/>
  <c r="BW39" i="3"/>
  <c r="M40" i="18" s="1"/>
  <c r="BX41" i="3"/>
  <c r="Y66" i="6"/>
  <c r="A2" i="12" a="1"/>
  <c r="D31" i="9" s="1"/>
  <c r="CB56" i="3"/>
  <c r="CA56" i="3"/>
  <c r="CA44" i="3"/>
  <c r="CB44" i="3"/>
  <c r="CA60" i="3"/>
  <c r="CB60" i="3"/>
  <c r="CA46" i="3"/>
  <c r="U46" i="8" s="1"/>
  <c r="CB46" i="3"/>
  <c r="CA22" i="3"/>
  <c r="CB22" i="3"/>
  <c r="CA27" i="3"/>
  <c r="U27" i="8" s="1"/>
  <c r="CB27" i="3"/>
  <c r="BW30" i="3"/>
  <c r="M31" i="18" s="1"/>
  <c r="CA12" i="3"/>
  <c r="CB12" i="3"/>
  <c r="CA39" i="3"/>
  <c r="CB39" i="3"/>
  <c r="CA14" i="3"/>
  <c r="CB14" i="3"/>
  <c r="BW26" i="3"/>
  <c r="CA66" i="3"/>
  <c r="CB66" i="3"/>
  <c r="CA63" i="3"/>
  <c r="CB63" i="3"/>
  <c r="CA38" i="3"/>
  <c r="CB38" i="3"/>
  <c r="Y63" i="6"/>
  <c r="CA18" i="3"/>
  <c r="CB18" i="3"/>
  <c r="CB52" i="3"/>
  <c r="CA52" i="3"/>
  <c r="AA22" i="6"/>
  <c r="BR8" i="3"/>
  <c r="AB81" i="6"/>
  <c r="AF61" i="6"/>
  <c r="CA30" i="3"/>
  <c r="CB30" i="3"/>
  <c r="CA33" i="3"/>
  <c r="CB33" i="3"/>
  <c r="BX49" i="3"/>
  <c r="Y47" i="6"/>
  <c r="CA28" i="3"/>
  <c r="CB28" i="3"/>
  <c r="CA23" i="3"/>
  <c r="S23" i="8" s="1"/>
  <c r="CB23" i="3"/>
  <c r="Z17" i="6"/>
  <c r="AG17" i="6" s="1"/>
  <c r="BX3" i="3"/>
  <c r="BT38" i="3"/>
  <c r="AC52" i="6"/>
  <c r="CA57" i="3"/>
  <c r="CB57" i="3"/>
  <c r="AF72" i="6"/>
  <c r="AB42" i="6"/>
  <c r="AH42" i="6" s="1"/>
  <c r="BT44" i="3"/>
  <c r="BW29" i="3"/>
  <c r="M30" i="18" s="1"/>
  <c r="AF43" i="6"/>
  <c r="Y69" i="6"/>
  <c r="CA49" i="3"/>
  <c r="CB49" i="3"/>
  <c r="BW36" i="3"/>
  <c r="CA58" i="3"/>
  <c r="CB58" i="3"/>
  <c r="CA4" i="3"/>
  <c r="CB4" i="3"/>
  <c r="CA43" i="3"/>
  <c r="CB43" i="3"/>
  <c r="BX59" i="3"/>
  <c r="CA51" i="3"/>
  <c r="CB51" i="3"/>
  <c r="BX42" i="3"/>
  <c r="CA45" i="3"/>
  <c r="CB45" i="3"/>
  <c r="CA32" i="3"/>
  <c r="CB32" i="3"/>
  <c r="BX34" i="3"/>
  <c r="BW55" i="3"/>
  <c r="M56" i="18" s="1"/>
  <c r="CA13" i="3"/>
  <c r="CB13" i="3"/>
  <c r="BX57" i="3"/>
  <c r="CA16" i="3"/>
  <c r="CB16" i="3"/>
  <c r="BP18" i="3"/>
  <c r="BU18" i="3" s="1"/>
  <c r="S19" i="15" s="1"/>
  <c r="CA5" i="3"/>
  <c r="CB5" i="3"/>
  <c r="Y42" i="6"/>
  <c r="AE42" i="6" s="1"/>
  <c r="AF21" i="6"/>
  <c r="AF65" i="6"/>
  <c r="CA50" i="3"/>
  <c r="CB50" i="3"/>
  <c r="AF57" i="6"/>
  <c r="AF75" i="6"/>
  <c r="BV41" i="3"/>
  <c r="BW7" i="3"/>
  <c r="Q17" i="8"/>
  <c r="S17" i="8"/>
  <c r="U17" i="8"/>
  <c r="U25" i="8"/>
  <c r="Q25" i="8"/>
  <c r="AH57" i="6"/>
  <c r="U59" i="8"/>
  <c r="S59" i="8"/>
  <c r="Q59" i="8"/>
  <c r="Q7" i="8"/>
  <c r="S7" i="8"/>
  <c r="U7" i="8"/>
  <c r="S11" i="8"/>
  <c r="Q11" i="8"/>
  <c r="U11" i="8"/>
  <c r="Q10" i="8"/>
  <c r="S10" i="8"/>
  <c r="U10" i="8"/>
  <c r="U36" i="8"/>
  <c r="S36" i="8"/>
  <c r="Q36" i="8"/>
  <c r="Q26" i="8"/>
  <c r="U19" i="8"/>
  <c r="S19" i="8"/>
  <c r="Q19" i="8"/>
  <c r="U2" i="8"/>
  <c r="Q2" i="8"/>
  <c r="S2" i="8"/>
  <c r="S41" i="8"/>
  <c r="Q41" i="8"/>
  <c r="U41" i="8"/>
  <c r="AF27" i="6"/>
  <c r="BW13" i="3"/>
  <c r="M14" i="18" s="1"/>
  <c r="AA81" i="6"/>
  <c r="BR67" i="3"/>
  <c r="W81" i="6"/>
  <c r="Y22" i="6"/>
  <c r="B47" i="6"/>
  <c r="Z36" i="6"/>
  <c r="AG36" i="6" s="1"/>
  <c r="BX22" i="3"/>
  <c r="Y56" i="6"/>
  <c r="AF63" i="6"/>
  <c r="BW49" i="3"/>
  <c r="V76" i="6"/>
  <c r="BP62" i="3"/>
  <c r="BU62" i="3" s="1"/>
  <c r="S63" i="15" s="1"/>
  <c r="Y61" i="6"/>
  <c r="B78" i="6"/>
  <c r="AB72" i="6"/>
  <c r="BS58" i="3"/>
  <c r="BS65" i="3"/>
  <c r="AB79" i="6"/>
  <c r="CA54" i="3"/>
  <c r="V81" i="6"/>
  <c r="BP67" i="3"/>
  <c r="V44" i="6"/>
  <c r="BP30" i="3"/>
  <c r="BU30" i="3" s="1"/>
  <c r="S31" i="15" s="1"/>
  <c r="AB18" i="6"/>
  <c r="BS4" i="3"/>
  <c r="BW61" i="3"/>
  <c r="M62" i="18" s="1"/>
  <c r="BP39" i="3"/>
  <c r="BU39" i="3" s="1"/>
  <c r="S40" i="15" s="1"/>
  <c r="V53" i="6"/>
  <c r="AB73" i="6"/>
  <c r="BS59" i="3"/>
  <c r="AF28" i="6"/>
  <c r="BW14" i="3"/>
  <c r="M15" i="18" s="1"/>
  <c r="BT9" i="3"/>
  <c r="AC23" i="6"/>
  <c r="Y18" i="6"/>
  <c r="W65" i="6"/>
  <c r="Y21" i="6"/>
  <c r="CA34" i="3"/>
  <c r="B30" i="6"/>
  <c r="AF76" i="6"/>
  <c r="BW62" i="3"/>
  <c r="M63" i="18" s="1"/>
  <c r="W66" i="6"/>
  <c r="BV52" i="3"/>
  <c r="BR40" i="3"/>
  <c r="AA54" i="6"/>
  <c r="AF36" i="6"/>
  <c r="BW22" i="3"/>
  <c r="M23" i="18" s="1"/>
  <c r="AC54" i="6"/>
  <c r="BT40" i="3"/>
  <c r="V64" i="6"/>
  <c r="BP50" i="3"/>
  <c r="BU50" i="3" s="1"/>
  <c r="S51" i="15" s="1"/>
  <c r="AB44" i="6"/>
  <c r="BS30" i="3"/>
  <c r="W63" i="6"/>
  <c r="V45" i="6"/>
  <c r="BP31" i="3"/>
  <c r="BU31" i="3" s="1"/>
  <c r="S32" i="15" s="1"/>
  <c r="W31" i="6"/>
  <c r="W17" i="6"/>
  <c r="AA30" i="6"/>
  <c r="BR16" i="3"/>
  <c r="BP48" i="3"/>
  <c r="BU48" i="3" s="1"/>
  <c r="S49" i="15" s="1"/>
  <c r="V62" i="6"/>
  <c r="BP11" i="3"/>
  <c r="BU11" i="3" s="1"/>
  <c r="S12" i="15" s="1"/>
  <c r="V25" i="6"/>
  <c r="BT47" i="3"/>
  <c r="AC61" i="6"/>
  <c r="W30" i="6"/>
  <c r="BV16" i="3"/>
  <c r="M17" i="17" s="1"/>
  <c r="AB36" i="6"/>
  <c r="BS22" i="3"/>
  <c r="Y54" i="6"/>
  <c r="W60" i="6"/>
  <c r="W80" i="6"/>
  <c r="Y75" i="6"/>
  <c r="AA59" i="6"/>
  <c r="BR45" i="3"/>
  <c r="AA48" i="6"/>
  <c r="BR34" i="3"/>
  <c r="BX15" i="3"/>
  <c r="Z29" i="6"/>
  <c r="AG29" i="6" s="1"/>
  <c r="AB20" i="6"/>
  <c r="BS6" i="3"/>
  <c r="B22" i="6"/>
  <c r="AC28" i="6"/>
  <c r="BT14" i="3"/>
  <c r="AA69" i="6"/>
  <c r="BR55" i="3"/>
  <c r="Y24" i="6"/>
  <c r="AF62" i="6"/>
  <c r="BW48" i="3"/>
  <c r="M49" i="18" s="1"/>
  <c r="BT46" i="3"/>
  <c r="AC60" i="6"/>
  <c r="AF79" i="6"/>
  <c r="BW65" i="3"/>
  <c r="M66" i="18" s="1"/>
  <c r="B33" i="6"/>
  <c r="W45" i="6"/>
  <c r="AF35" i="6"/>
  <c r="BW21" i="3"/>
  <c r="M22" i="18" s="1"/>
  <c r="AA71" i="6"/>
  <c r="BR57" i="3"/>
  <c r="B48" i="6"/>
  <c r="BU34" i="3"/>
  <c r="S35" i="15" s="1"/>
  <c r="AG62" i="6"/>
  <c r="AH19" i="6"/>
  <c r="AG51" i="6"/>
  <c r="AA72" i="6"/>
  <c r="BR58" i="3"/>
  <c r="BX11" i="3"/>
  <c r="Z25" i="6"/>
  <c r="AG25" i="6" s="1"/>
  <c r="B17" i="6"/>
  <c r="BU3" i="3"/>
  <c r="S4" i="15" s="1"/>
  <c r="AF46" i="6"/>
  <c r="BW32" i="3"/>
  <c r="M33" i="18" s="1"/>
  <c r="AA55" i="6"/>
  <c r="BR41" i="3"/>
  <c r="AF64" i="6"/>
  <c r="BW50" i="3"/>
  <c r="M51" i="18" s="1"/>
  <c r="BS19" i="3"/>
  <c r="AB33" i="6"/>
  <c r="BS10" i="3"/>
  <c r="AB24" i="6"/>
  <c r="AC72" i="6"/>
  <c r="BT58" i="3"/>
  <c r="CA67" i="3"/>
  <c r="CA29" i="3"/>
  <c r="Y19" i="6"/>
  <c r="BX29" i="3"/>
  <c r="Z43" i="6"/>
  <c r="AG43" i="6" s="1"/>
  <c r="Z79" i="6"/>
  <c r="AG79" i="6" s="1"/>
  <c r="BX65" i="3"/>
  <c r="B43" i="6"/>
  <c r="V67" i="6"/>
  <c r="BP53" i="3"/>
  <c r="BU53" i="3" s="1"/>
  <c r="S54" i="15" s="1"/>
  <c r="AF67" i="6"/>
  <c r="BW53" i="3"/>
  <c r="M54" i="18" s="1"/>
  <c r="BW59" i="3"/>
  <c r="AF73" i="6"/>
  <c r="AC55" i="6"/>
  <c r="BT41" i="3"/>
  <c r="V37" i="6"/>
  <c r="BP23" i="3"/>
  <c r="BU23" i="3" s="1"/>
  <c r="S24" i="15" s="1"/>
  <c r="BT35" i="3"/>
  <c r="AC49" i="6"/>
  <c r="CA6" i="3"/>
  <c r="AG50" i="6"/>
  <c r="BU55" i="3"/>
  <c r="S56" i="15" s="1"/>
  <c r="AG71" i="6"/>
  <c r="AG48" i="6"/>
  <c r="AF45" i="6"/>
  <c r="BW31" i="3"/>
  <c r="BP24" i="3"/>
  <c r="BU24" i="3" s="1"/>
  <c r="S25" i="15" s="1"/>
  <c r="V38" i="6"/>
  <c r="AA46" i="6"/>
  <c r="BR32" i="3"/>
  <c r="Z16" i="6"/>
  <c r="BX2" i="3"/>
  <c r="Y57" i="6"/>
  <c r="W18" i="6"/>
  <c r="B73" i="6"/>
  <c r="AF56" i="6"/>
  <c r="BW42" i="3"/>
  <c r="BP12" i="3"/>
  <c r="BU12" i="3" s="1"/>
  <c r="S13" i="15" s="1"/>
  <c r="V26" i="6"/>
  <c r="Z59" i="6"/>
  <c r="AG59" i="6" s="1"/>
  <c r="BX45" i="3"/>
  <c r="Z42" i="6"/>
  <c r="AG42" i="6" s="1"/>
  <c r="BX28" i="3"/>
  <c r="AF70" i="6"/>
  <c r="BW56" i="3"/>
  <c r="M57" i="18" s="1"/>
  <c r="W78" i="6"/>
  <c r="BV64" i="3"/>
  <c r="M65" i="17" s="1"/>
  <c r="BR51" i="3"/>
  <c r="AA65" i="6"/>
  <c r="AF31" i="6"/>
  <c r="BW17" i="3"/>
  <c r="BP29" i="3"/>
  <c r="BU29" i="3" s="1"/>
  <c r="S30" i="15" s="1"/>
  <c r="V43" i="6"/>
  <c r="AF69" i="6"/>
  <c r="CA62" i="3"/>
  <c r="W27" i="6"/>
  <c r="AE51" i="6"/>
  <c r="BW51" i="3"/>
  <c r="AG34" i="6"/>
  <c r="BW43" i="3"/>
  <c r="M44" i="18" s="1"/>
  <c r="AA24" i="6"/>
  <c r="BR10" i="3"/>
  <c r="W75" i="6"/>
  <c r="Z66" i="6"/>
  <c r="AG66" i="6" s="1"/>
  <c r="BX52" i="3"/>
  <c r="Z49" i="6"/>
  <c r="AG49" i="6" s="1"/>
  <c r="BX35" i="3"/>
  <c r="B20" i="6"/>
  <c r="AC29" i="6"/>
  <c r="BT15" i="3"/>
  <c r="B19" i="6"/>
  <c r="Y59" i="6"/>
  <c r="AB43" i="6"/>
  <c r="AH43" i="6" s="1"/>
  <c r="BS29" i="3"/>
  <c r="BY29" i="3" s="1"/>
  <c r="Z61" i="6"/>
  <c r="AG61" i="6" s="1"/>
  <c r="BX47" i="3"/>
  <c r="Y80" i="6"/>
  <c r="AA80" i="6"/>
  <c r="BR66" i="3"/>
  <c r="BY66" i="3" s="1"/>
  <c r="AG56" i="6"/>
  <c r="BW18" i="3"/>
  <c r="M19" i="18" s="1"/>
  <c r="BS51" i="3"/>
  <c r="AB65" i="6"/>
  <c r="W43" i="6"/>
  <c r="B56" i="6"/>
  <c r="BU42" i="3"/>
  <c r="S43" i="15" s="1"/>
  <c r="B66" i="6"/>
  <c r="W53" i="6"/>
  <c r="AA74" i="6"/>
  <c r="BR60" i="3"/>
  <c r="AF47" i="6"/>
  <c r="BW33" i="3"/>
  <c r="M34" i="18" s="1"/>
  <c r="AF33" i="6"/>
  <c r="BW19" i="3"/>
  <c r="Y20" i="6"/>
  <c r="AB67" i="6"/>
  <c r="BS53" i="3"/>
  <c r="AA36" i="6"/>
  <c r="BR22" i="3"/>
  <c r="W19" i="6"/>
  <c r="AB25" i="6"/>
  <c r="BS11" i="3"/>
  <c r="CA48" i="3"/>
  <c r="BP54" i="3"/>
  <c r="BU54" i="3" s="1"/>
  <c r="S55" i="15" s="1"/>
  <c r="V68" i="6"/>
  <c r="B70" i="6"/>
  <c r="V74" i="6"/>
  <c r="BP60" i="3"/>
  <c r="BU60" i="3" s="1"/>
  <c r="S61" i="15" s="1"/>
  <c r="B76" i="6"/>
  <c r="BW40" i="3"/>
  <c r="M41" i="18" s="1"/>
  <c r="BV60" i="3"/>
  <c r="M61" i="17" s="1"/>
  <c r="BU4" i="3"/>
  <c r="S5" i="15" s="1"/>
  <c r="Y81" i="6"/>
  <c r="Z53" i="6"/>
  <c r="AG53" i="6" s="1"/>
  <c r="BX39" i="3"/>
  <c r="Z76" i="6"/>
  <c r="AG76" i="6" s="1"/>
  <c r="BX62" i="3"/>
  <c r="W47" i="6"/>
  <c r="AC44" i="6"/>
  <c r="BT30" i="3"/>
  <c r="CA40" i="3"/>
  <c r="AA39" i="6"/>
  <c r="AH39" i="6" s="1"/>
  <c r="BR25" i="3"/>
  <c r="BP36" i="3"/>
  <c r="BU36" i="3" s="1"/>
  <c r="S37" i="15" s="1"/>
  <c r="V50" i="6"/>
  <c r="BP5" i="3"/>
  <c r="BU5" i="3" s="1"/>
  <c r="S6" i="15" s="1"/>
  <c r="V19" i="6"/>
  <c r="Z37" i="6"/>
  <c r="AG37" i="6" s="1"/>
  <c r="BX23" i="3"/>
  <c r="BX50" i="3"/>
  <c r="Z64" i="6"/>
  <c r="AG64" i="6" s="1"/>
  <c r="Z40" i="6"/>
  <c r="AG40" i="6" s="1"/>
  <c r="BX26" i="3"/>
  <c r="B68" i="6"/>
  <c r="AC79" i="6"/>
  <c r="BT65" i="3"/>
  <c r="BT52" i="3"/>
  <c r="AC66" i="6"/>
  <c r="AC73" i="6"/>
  <c r="BT59" i="3"/>
  <c r="W20" i="6"/>
  <c r="AG82" i="6"/>
  <c r="W70" i="6"/>
  <c r="BR54" i="3"/>
  <c r="AA68" i="6"/>
  <c r="BT60" i="3"/>
  <c r="AC74" i="6"/>
  <c r="B81" i="6"/>
  <c r="W58" i="6"/>
  <c r="Z47" i="6"/>
  <c r="AG47" i="6" s="1"/>
  <c r="BX33" i="3"/>
  <c r="W36" i="6"/>
  <c r="BU22" i="3"/>
  <c r="S23" i="15" s="1"/>
  <c r="BW35" i="3"/>
  <c r="BW11" i="3"/>
  <c r="AC75" i="6"/>
  <c r="BT61" i="3"/>
  <c r="W68" i="6"/>
  <c r="AB74" i="6"/>
  <c r="BS60" i="3"/>
  <c r="AC24" i="6"/>
  <c r="BT10" i="3"/>
  <c r="B21" i="6"/>
  <c r="AC27" i="6"/>
  <c r="BT13" i="3"/>
  <c r="AB30" i="6"/>
  <c r="BS16" i="3"/>
  <c r="Z32" i="6"/>
  <c r="AG32" i="6" s="1"/>
  <c r="BX18" i="3"/>
  <c r="B74" i="6"/>
  <c r="BT6" i="3"/>
  <c r="AC20" i="6"/>
  <c r="AA32" i="6"/>
  <c r="BR18" i="3"/>
  <c r="Y64" i="6"/>
  <c r="AG27" i="6"/>
  <c r="BW9" i="3"/>
  <c r="M10" i="18" s="1"/>
  <c r="AA77" i="6"/>
  <c r="BR63" i="3"/>
  <c r="BY63" i="3" s="1"/>
  <c r="AB68" i="6"/>
  <c r="BS54" i="3"/>
  <c r="BX43" i="3"/>
  <c r="Z57" i="6"/>
  <c r="AG57" i="6" s="1"/>
  <c r="BR53" i="3"/>
  <c r="AA67" i="6"/>
  <c r="Y36" i="6"/>
  <c r="Y40" i="6"/>
  <c r="AC48" i="6"/>
  <c r="BT34" i="3"/>
  <c r="AF26" i="6"/>
  <c r="BW12" i="3"/>
  <c r="M13" i="18" s="1"/>
  <c r="AC34" i="6"/>
  <c r="BT20" i="3"/>
  <c r="CA65" i="3"/>
  <c r="AB26" i="6"/>
  <c r="BS12" i="3"/>
  <c r="BU61" i="3"/>
  <c r="S62" i="15" s="1"/>
  <c r="B75" i="6"/>
  <c r="AA31" i="6"/>
  <c r="BR17" i="3"/>
  <c r="AA34" i="6"/>
  <c r="BR20" i="3"/>
  <c r="W24" i="6"/>
  <c r="AA37" i="6"/>
  <c r="AH37" i="6" s="1"/>
  <c r="BR23" i="3"/>
  <c r="AA64" i="6"/>
  <c r="AH64" i="6" s="1"/>
  <c r="BR50" i="3"/>
  <c r="AB60" i="6"/>
  <c r="BS46" i="3"/>
  <c r="W67" i="6"/>
  <c r="AF74" i="6"/>
  <c r="BW60" i="3"/>
  <c r="M61" i="18" s="1"/>
  <c r="BT49" i="3"/>
  <c r="AC63" i="6"/>
  <c r="Y52" i="6"/>
  <c r="B32" i="6"/>
  <c r="B55" i="6"/>
  <c r="B25" i="6"/>
  <c r="AA16" i="6"/>
  <c r="BR2" i="3"/>
  <c r="W35" i="6"/>
  <c r="Y17" i="6"/>
  <c r="BY3" i="3"/>
  <c r="BU20" i="3"/>
  <c r="S21" i="15" s="1"/>
  <c r="BW58" i="3"/>
  <c r="Z46" i="6"/>
  <c r="AG46" i="6" s="1"/>
  <c r="BX32" i="3"/>
  <c r="BS35" i="3"/>
  <c r="AB49" i="6"/>
  <c r="AB76" i="6"/>
  <c r="BS62" i="3"/>
  <c r="V57" i="6"/>
  <c r="BP43" i="3"/>
  <c r="BU43" i="3" s="1"/>
  <c r="S44" i="15" s="1"/>
  <c r="AF66" i="6"/>
  <c r="BW52" i="3"/>
  <c r="M53" i="18" s="1"/>
  <c r="BR37" i="3"/>
  <c r="BY37" i="3" s="1"/>
  <c r="AA51" i="6"/>
  <c r="W69" i="6"/>
  <c r="W79" i="6"/>
  <c r="BV65" i="3"/>
  <c r="M66" i="17" s="1"/>
  <c r="V20" i="6"/>
  <c r="BP6" i="3"/>
  <c r="BU6" i="3" s="1"/>
  <c r="S7" i="15" s="1"/>
  <c r="BX24" i="3"/>
  <c r="Z38" i="6"/>
  <c r="AG38" i="6" s="1"/>
  <c r="BS47" i="3"/>
  <c r="AB61" i="6"/>
  <c r="BX30" i="3"/>
  <c r="Z44" i="6"/>
  <c r="AG44" i="6" s="1"/>
  <c r="B52" i="6"/>
  <c r="AF58" i="6"/>
  <c r="BW44" i="3"/>
  <c r="M45" i="18" s="1"/>
  <c r="Z72" i="6"/>
  <c r="AG72" i="6" s="1"/>
  <c r="BX58" i="3"/>
  <c r="V80" i="6"/>
  <c r="BP66" i="3"/>
  <c r="BU66" i="3" s="1"/>
  <c r="S67" i="15" s="1"/>
  <c r="AC69" i="6"/>
  <c r="BT55" i="3"/>
  <c r="CA64" i="3"/>
  <c r="BR61" i="3"/>
  <c r="AA75" i="6"/>
  <c r="BX10" i="3"/>
  <c r="Z24" i="6"/>
  <c r="AG24" i="6" s="1"/>
  <c r="CA21" i="3"/>
  <c r="AF50" i="6"/>
  <c r="B67" i="6"/>
  <c r="AF78" i="6"/>
  <c r="BW64" i="3"/>
  <c r="M65" i="18" s="1"/>
  <c r="V51" i="6"/>
  <c r="BP37" i="3"/>
  <c r="BU37" i="3" s="1"/>
  <c r="S38" i="15" s="1"/>
  <c r="Z67" i="6"/>
  <c r="AG67" i="6" s="1"/>
  <c r="BX53" i="3"/>
  <c r="AB55" i="6"/>
  <c r="BS41" i="3"/>
  <c r="BT62" i="3"/>
  <c r="AC76" i="6"/>
  <c r="BX46" i="3"/>
  <c r="Z60" i="6"/>
  <c r="AG60" i="6" s="1"/>
  <c r="AC25" i="6"/>
  <c r="BT11" i="3"/>
  <c r="BS14" i="3"/>
  <c r="AB28" i="6"/>
  <c r="Z77" i="6"/>
  <c r="AG77" i="6" s="1"/>
  <c r="BX63" i="3"/>
  <c r="AF18" i="6"/>
  <c r="BW4" i="3"/>
  <c r="M5" i="18" s="1"/>
  <c r="BS17" i="3"/>
  <c r="AB31" i="6"/>
  <c r="Y65" i="6"/>
  <c r="W52" i="6"/>
  <c r="Z21" i="6"/>
  <c r="AG21" i="6" s="1"/>
  <c r="BX7" i="3"/>
  <c r="BW37" i="3"/>
  <c r="M38" i="18" s="1"/>
  <c r="AF51" i="6"/>
  <c r="V65" i="6"/>
  <c r="BP51" i="3"/>
  <c r="BU51" i="3" s="1"/>
  <c r="S52" i="15" s="1"/>
  <c r="W72" i="6"/>
  <c r="AE72" i="6" s="1"/>
  <c r="BV58" i="3"/>
  <c r="AB59" i="6"/>
  <c r="BS45" i="3"/>
  <c r="W38" i="6"/>
  <c r="Z65" i="6"/>
  <c r="AG65" i="6" s="1"/>
  <c r="BX51" i="3"/>
  <c r="AF34" i="6"/>
  <c r="BW20" i="3"/>
  <c r="M21" i="18" s="1"/>
  <c r="AG33" i="6"/>
  <c r="AC30" i="6"/>
  <c r="BT16" i="3"/>
  <c r="AB41" i="6"/>
  <c r="BS27" i="3"/>
  <c r="BY27" i="3" s="1"/>
  <c r="Y67" i="6"/>
  <c r="AA27" i="6"/>
  <c r="BR13" i="3"/>
  <c r="AF52" i="6"/>
  <c r="BW38" i="3"/>
  <c r="AF80" i="6"/>
  <c r="BW66" i="3"/>
  <c r="M67" i="18" s="1"/>
  <c r="Y68" i="6"/>
  <c r="W22" i="6"/>
  <c r="AA35" i="6"/>
  <c r="AH35" i="6" s="1"/>
  <c r="BR21" i="3"/>
  <c r="W62" i="6"/>
  <c r="W25" i="6"/>
  <c r="BV11" i="3"/>
  <c r="AA38" i="6"/>
  <c r="AH38" i="6" s="1"/>
  <c r="BR24" i="3"/>
  <c r="BZ67" i="3"/>
  <c r="E20" i="18" s="1" a="1"/>
  <c r="E20" i="18" s="1"/>
  <c r="Y46" i="6"/>
  <c r="BP59" i="3"/>
  <c r="BU59" i="3" s="1"/>
  <c r="S60" i="15" s="1"/>
  <c r="V73" i="6"/>
  <c r="BR47" i="3"/>
  <c r="AA61" i="6"/>
  <c r="AF68" i="6"/>
  <c r="BW54" i="3"/>
  <c r="M55" i="18" s="1"/>
  <c r="CA8" i="3"/>
  <c r="BT51" i="3"/>
  <c r="AC65" i="6"/>
  <c r="AB71" i="6"/>
  <c r="BS57" i="3"/>
  <c r="CA37" i="3"/>
  <c r="AG18" i="6"/>
  <c r="AG55" i="6"/>
  <c r="AG73" i="6"/>
  <c r="BW47" i="3"/>
  <c r="M48" i="18" s="1"/>
  <c r="BW28" i="3"/>
  <c r="W44" i="6"/>
  <c r="BV30" i="3"/>
  <c r="BX60" i="3"/>
  <c r="Z74" i="6"/>
  <c r="AG74" i="6" s="1"/>
  <c r="V61" i="6"/>
  <c r="BP47" i="3"/>
  <c r="BU47" i="3" s="1"/>
  <c r="S48" i="15" s="1"/>
  <c r="AA56" i="6"/>
  <c r="BR42" i="3"/>
  <c r="B42" i="6"/>
  <c r="B28" i="6"/>
  <c r="AA44" i="6"/>
  <c r="BR30" i="3"/>
  <c r="W61" i="6"/>
  <c r="V21" i="6"/>
  <c r="BP7" i="3"/>
  <c r="BU7" i="3" s="1"/>
  <c r="S8" i="15" s="1"/>
  <c r="Z39" i="6"/>
  <c r="AG39" i="6" s="1"/>
  <c r="BX25" i="3"/>
  <c r="V70" i="6"/>
  <c r="BP56" i="3"/>
  <c r="BU56" i="3" s="1"/>
  <c r="S57" i="15" s="1"/>
  <c r="BP64" i="3"/>
  <c r="BU64" i="3" s="1"/>
  <c r="S65" i="15" s="1"/>
  <c r="V78" i="6"/>
  <c r="BW45" i="3"/>
  <c r="AF59" i="6"/>
  <c r="V66" i="6"/>
  <c r="BP52" i="3"/>
  <c r="BU52" i="3" s="1"/>
  <c r="S53" i="15" s="1"/>
  <c r="B64" i="6"/>
  <c r="AB70" i="6"/>
  <c r="AH70" i="6" s="1"/>
  <c r="BS56" i="3"/>
  <c r="Y70" i="6"/>
  <c r="AA47" i="6"/>
  <c r="BR33" i="3"/>
  <c r="Y37" i="6"/>
  <c r="AF53" i="6"/>
  <c r="BP25" i="3"/>
  <c r="BU25" i="3" s="1"/>
  <c r="S26" i="15" s="1"/>
  <c r="V39" i="6"/>
  <c r="W71" i="6"/>
  <c r="AF41" i="6"/>
  <c r="BW27" i="3"/>
  <c r="AA50" i="6"/>
  <c r="AH50" i="6" s="1"/>
  <c r="BR36" i="3"/>
  <c r="AB78" i="6"/>
  <c r="BS64" i="3"/>
  <c r="BY64" i="3" s="1"/>
  <c r="BT12" i="3"/>
  <c r="AC26" i="6"/>
  <c r="AF16" i="6"/>
  <c r="BW2" i="3"/>
  <c r="M3" i="18" s="1"/>
  <c r="AB29" i="6"/>
  <c r="BS15" i="3"/>
  <c r="BW5" i="3"/>
  <c r="M6" i="18" s="1"/>
  <c r="AF19" i="6"/>
  <c r="BS18" i="3"/>
  <c r="AB32" i="6"/>
  <c r="Y34" i="6"/>
  <c r="W40" i="6"/>
  <c r="W64" i="6"/>
  <c r="M69" i="18"/>
  <c r="AF81" i="6"/>
  <c r="BW67" i="3"/>
  <c r="M68" i="18" s="1"/>
  <c r="Y27" i="6"/>
  <c r="AC18" i="6"/>
  <c r="BT4" i="3"/>
  <c r="AB63" i="6"/>
  <c r="BS49" i="3"/>
  <c r="CA9" i="3"/>
  <c r="AG45" i="6"/>
  <c r="BU35" i="3"/>
  <c r="S36" i="15" s="1"/>
  <c r="BV2" i="3"/>
  <c r="BX67" i="3"/>
  <c r="B79" i="6"/>
  <c r="BU65" i="3"/>
  <c r="S66" i="15" s="1"/>
  <c r="CA55" i="3"/>
  <c r="CA15" i="3"/>
  <c r="BT39" i="3"/>
  <c r="AC53" i="6"/>
  <c r="AH53" i="6" s="1"/>
  <c r="BX55" i="3"/>
  <c r="Z69" i="6"/>
  <c r="AG69" i="6" s="1"/>
  <c r="BR19" i="3"/>
  <c r="AA33" i="6"/>
  <c r="W23" i="6"/>
  <c r="W26" i="6"/>
  <c r="B41" i="6"/>
  <c r="BU27" i="3"/>
  <c r="S28" i="15" s="1"/>
  <c r="BT26" i="3"/>
  <c r="BY26" i="3" s="1"/>
  <c r="AC40" i="6"/>
  <c r="BR38" i="3"/>
  <c r="AA52" i="6"/>
  <c r="AA66" i="6"/>
  <c r="BR52" i="3"/>
  <c r="AA73" i="6"/>
  <c r="BR59" i="3"/>
  <c r="BR65" i="3"/>
  <c r="AA79" i="6"/>
  <c r="AG81" i="6"/>
  <c r="BW15" i="3"/>
  <c r="M16" i="18" s="1"/>
  <c r="V42" i="6"/>
  <c r="BP28" i="3"/>
  <c r="BU28" i="3" s="1"/>
  <c r="S29" i="15" s="1"/>
  <c r="BT45" i="3"/>
  <c r="AC59" i="6"/>
  <c r="BS34" i="3"/>
  <c r="AB48" i="6"/>
  <c r="Y38" i="6"/>
  <c r="BP38" i="3"/>
  <c r="BU38" i="3" s="1"/>
  <c r="S39" i="15" s="1"/>
  <c r="V52" i="6"/>
  <c r="Y71" i="6"/>
  <c r="BW16" i="3"/>
  <c r="M17" i="18" s="1"/>
  <c r="AF30" i="6"/>
  <c r="B54" i="6"/>
  <c r="BU40" i="3"/>
  <c r="S41" i="15" s="1"/>
  <c r="AC62" i="6"/>
  <c r="AH62" i="6" s="1"/>
  <c r="BT48" i="3"/>
  <c r="BY48" i="3" s="1"/>
  <c r="BX21" i="3"/>
  <c r="Z35" i="6"/>
  <c r="AG35" i="6" s="1"/>
  <c r="AF55" i="6"/>
  <c r="BW41" i="3"/>
  <c r="W41" i="6"/>
  <c r="BV27" i="3"/>
  <c r="BS33" i="3"/>
  <c r="AB47" i="6"/>
  <c r="AF60" i="6"/>
  <c r="BW46" i="3"/>
  <c r="B23" i="6"/>
  <c r="B65" i="6"/>
  <c r="BT57" i="3"/>
  <c r="AC71" i="6"/>
  <c r="Z78" i="6"/>
  <c r="AG78" i="6" s="1"/>
  <c r="BX64" i="3"/>
  <c r="V72" i="6"/>
  <c r="BP58" i="3"/>
  <c r="BU58" i="3" s="1"/>
  <c r="S59" i="15" s="1"/>
  <c r="AF48" i="6"/>
  <c r="AF40" i="6"/>
  <c r="AG63" i="6"/>
  <c r="BW57" i="3"/>
  <c r="M58" i="18" s="1"/>
  <c r="AF71" i="6"/>
  <c r="Z31" i="6"/>
  <c r="AG31" i="6" s="1"/>
  <c r="BX17" i="3"/>
  <c r="B59" i="6"/>
  <c r="B40" i="6"/>
  <c r="AA21" i="6"/>
  <c r="BR7" i="3"/>
  <c r="B16" i="6"/>
  <c r="BU2" i="3"/>
  <c r="BT8" i="3"/>
  <c r="AC22" i="6"/>
  <c r="AB27" i="6"/>
  <c r="BS13" i="3"/>
  <c r="AF17" i="6"/>
  <c r="BW3" i="3"/>
  <c r="M4" i="18" s="1"/>
  <c r="B80" i="6"/>
  <c r="AF20" i="6"/>
  <c r="BW6" i="3"/>
  <c r="M7" i="18" s="1"/>
  <c r="AC67" i="6"/>
  <c r="BT53" i="3"/>
  <c r="Y35" i="6"/>
  <c r="BP9" i="3"/>
  <c r="BU9" i="3" s="1"/>
  <c r="S10" i="15" s="1"/>
  <c r="V23" i="6"/>
  <c r="Y45" i="6"/>
  <c r="B26" i="6"/>
  <c r="Z30" i="6"/>
  <c r="AG30" i="6" s="1"/>
  <c r="BX16" i="3"/>
  <c r="BW8" i="3"/>
  <c r="M9" i="18" s="1"/>
  <c r="AF22" i="6"/>
  <c r="AB69" i="6"/>
  <c r="BS55" i="3"/>
  <c r="AB16" i="6"/>
  <c r="BS2" i="3"/>
  <c r="Z58" i="6"/>
  <c r="AG58" i="6" s="1"/>
  <c r="BX44" i="3"/>
  <c r="AF37" i="6"/>
  <c r="BW23" i="3"/>
  <c r="V71" i="6"/>
  <c r="BP57" i="3"/>
  <c r="BU57" i="3" s="1"/>
  <c r="S58" i="15" s="1"/>
  <c r="V31" i="6"/>
  <c r="BP17" i="3"/>
  <c r="BU17" i="3" s="1"/>
  <c r="S18" i="15" s="1"/>
  <c r="AB46" i="6"/>
  <c r="BS32" i="3"/>
  <c r="AA29" i="6"/>
  <c r="BR15" i="3"/>
  <c r="B63" i="6"/>
  <c r="BU49" i="3"/>
  <c r="S50" i="15" s="1"/>
  <c r="V24" i="6"/>
  <c r="BP10" i="3"/>
  <c r="BU10" i="3" s="1"/>
  <c r="S11" i="15" s="1"/>
  <c r="V27" i="6"/>
  <c r="BP13" i="3"/>
  <c r="BU13" i="3" s="1"/>
  <c r="S14" i="15" s="1"/>
  <c r="AA60" i="6"/>
  <c r="BR46" i="3"/>
  <c r="CA3" i="3"/>
  <c r="BX40" i="3"/>
  <c r="Z54" i="6"/>
  <c r="AG54" i="6" s="1"/>
  <c r="AB75" i="6"/>
  <c r="BS61" i="3"/>
  <c r="AB23" i="6"/>
  <c r="BS9" i="3"/>
  <c r="Z41" i="6"/>
  <c r="AG41" i="6" s="1"/>
  <c r="BX27" i="3"/>
  <c r="BX66" i="3"/>
  <c r="Z80" i="6"/>
  <c r="AG80" i="6" s="1"/>
  <c r="Y58" i="6"/>
  <c r="W37" i="6"/>
  <c r="AF77" i="6"/>
  <c r="BW63" i="3"/>
  <c r="B31" i="6"/>
  <c r="AG26" i="6"/>
  <c r="AD55" i="6" l="1"/>
  <c r="AE46" i="6"/>
  <c r="AD41" i="6"/>
  <c r="AH78" i="6"/>
  <c r="BY7" i="3"/>
  <c r="N8" i="21" s="1"/>
  <c r="BY50" i="3"/>
  <c r="AE53" i="6"/>
  <c r="B49" i="9"/>
  <c r="AD61" i="6"/>
  <c r="AE41" i="6"/>
  <c r="BY38" i="3"/>
  <c r="AE54" i="6"/>
  <c r="S25" i="8"/>
  <c r="AE56" i="6"/>
  <c r="AD51" i="6"/>
  <c r="AD63" i="6"/>
  <c r="AH21" i="6"/>
  <c r="AE25" i="6"/>
  <c r="BY44" i="3"/>
  <c r="AE32" i="6"/>
  <c r="AE28" i="6"/>
  <c r="BY56" i="3"/>
  <c r="AD29" i="6"/>
  <c r="AD49" i="6"/>
  <c r="AD46" i="6"/>
  <c r="K27" i="15"/>
  <c r="L27" i="20"/>
  <c r="M27" i="20" s="1"/>
  <c r="AE30" i="6"/>
  <c r="AD32" i="6"/>
  <c r="S26" i="8"/>
  <c r="X27" i="15"/>
  <c r="U26" i="8"/>
  <c r="Y27" i="15"/>
  <c r="T25" i="8"/>
  <c r="K27" i="18"/>
  <c r="L27" i="21"/>
  <c r="P27" i="21" s="1"/>
  <c r="W27" i="15"/>
  <c r="AD59" i="6"/>
  <c r="AE23" i="6"/>
  <c r="BY36" i="3"/>
  <c r="N37" i="21" s="1"/>
  <c r="AE44" i="6"/>
  <c r="P69" i="17"/>
  <c r="BV9" i="3"/>
  <c r="M10" i="17" s="1"/>
  <c r="AE57" i="6"/>
  <c r="K26" i="18"/>
  <c r="L26" i="20"/>
  <c r="M26" i="20" s="1"/>
  <c r="AD45" i="6"/>
  <c r="AE26" i="6"/>
  <c r="AE62" i="6"/>
  <c r="B47" i="9"/>
  <c r="AD39" i="6"/>
  <c r="BV39" i="3"/>
  <c r="M40" i="17" s="1"/>
  <c r="U23" i="8"/>
  <c r="Y26" i="15"/>
  <c r="Q23" i="8"/>
  <c r="AE77" i="6"/>
  <c r="BY39" i="3"/>
  <c r="AE34" i="6"/>
  <c r="AE79" i="6"/>
  <c r="AE78" i="6"/>
  <c r="R25" i="8"/>
  <c r="AD71" i="6"/>
  <c r="BY25" i="3"/>
  <c r="L36" i="21"/>
  <c r="Q36" i="21" s="1"/>
  <c r="X36" i="15"/>
  <c r="L26" i="21"/>
  <c r="V26" i="21" s="1"/>
  <c r="AD17" i="6"/>
  <c r="V26" i="15"/>
  <c r="AE43" i="6"/>
  <c r="U35" i="8"/>
  <c r="S35" i="8"/>
  <c r="AD75" i="6"/>
  <c r="P13" i="17"/>
  <c r="U36" i="15"/>
  <c r="AD60" i="6"/>
  <c r="L36" i="20"/>
  <c r="AD82" i="6"/>
  <c r="AE73" i="6"/>
  <c r="AE55" i="6"/>
  <c r="E17" i="17" a="1"/>
  <c r="E17" i="17" s="1"/>
  <c r="AD69" i="6"/>
  <c r="AE33" i="6"/>
  <c r="AH56" i="6"/>
  <c r="AD24" i="6"/>
  <c r="C21" i="15"/>
  <c r="D14" i="26"/>
  <c r="D15" i="24"/>
  <c r="D16" i="24" s="1"/>
  <c r="AH63" i="6"/>
  <c r="AE48" i="6"/>
  <c r="B53" i="9"/>
  <c r="B52" i="9"/>
  <c r="B51" i="9"/>
  <c r="AE60" i="6"/>
  <c r="B48" i="9"/>
  <c r="AD58" i="6"/>
  <c r="P19" i="17"/>
  <c r="AE82" i="6"/>
  <c r="D24" i="18"/>
  <c r="D15" i="9" a="1"/>
  <c r="D15" i="9" s="1"/>
  <c r="F14" i="26" s="1"/>
  <c r="AE16" i="6"/>
  <c r="AD35" i="6"/>
  <c r="AD77" i="6"/>
  <c r="Q35" i="8"/>
  <c r="Q27" i="8"/>
  <c r="V36" i="15"/>
  <c r="AD34" i="6"/>
  <c r="B50" i="9"/>
  <c r="AD53" i="6"/>
  <c r="W36" i="15"/>
  <c r="AE76" i="6"/>
  <c r="E19" i="17" a="1"/>
  <c r="E19" i="17" s="1"/>
  <c r="AD37" i="6"/>
  <c r="U31" i="8"/>
  <c r="AD36" i="6"/>
  <c r="AE66" i="6"/>
  <c r="AD44" i="6"/>
  <c r="BY68" i="3"/>
  <c r="E23" i="18" a="1"/>
  <c r="E23" i="18" s="1"/>
  <c r="K36" i="18"/>
  <c r="O26" i="24"/>
  <c r="E21" i="24"/>
  <c r="E24" i="18" a="1"/>
  <c r="E24" i="18" s="1"/>
  <c r="O27" i="24"/>
  <c r="F21" i="24"/>
  <c r="E25" i="18" a="1"/>
  <c r="E25" i="18" s="1"/>
  <c r="O28" i="24"/>
  <c r="G21" i="24"/>
  <c r="AD48" i="6"/>
  <c r="AD22" i="6"/>
  <c r="S27" i="8"/>
  <c r="F15" i="24"/>
  <c r="O29" i="24"/>
  <c r="H21" i="24"/>
  <c r="AD62" i="6"/>
  <c r="K36" i="15"/>
  <c r="AD47" i="6"/>
  <c r="Y36" i="15"/>
  <c r="AE59" i="6"/>
  <c r="AD79" i="6"/>
  <c r="AD27" i="6"/>
  <c r="B129" i="6"/>
  <c r="S69" i="15"/>
  <c r="AD18" i="6"/>
  <c r="AD33" i="6"/>
  <c r="BV17" i="3"/>
  <c r="P17" i="8" s="1"/>
  <c r="E9" i="7"/>
  <c r="F10" i="24" s="1"/>
  <c r="Q10" i="24" s="1"/>
  <c r="AD72" i="6"/>
  <c r="D25" i="15"/>
  <c r="AD28" i="6"/>
  <c r="AE31" i="6"/>
  <c r="AD30" i="6"/>
  <c r="F9" i="7"/>
  <c r="G10" i="24" s="1"/>
  <c r="B105" i="6"/>
  <c r="E12" i="15" a="1"/>
  <c r="E12" i="15" s="1"/>
  <c r="AD50" i="6"/>
  <c r="AD38" i="6"/>
  <c r="B15" i="24"/>
  <c r="AE21" i="6"/>
  <c r="F8" i="23"/>
  <c r="D8" i="23"/>
  <c r="E15" i="24"/>
  <c r="C15" i="24"/>
  <c r="B122" i="6"/>
  <c r="B124" i="6" s="1"/>
  <c r="B125" i="6" s="1"/>
  <c r="AD56" i="6"/>
  <c r="E10" i="7"/>
  <c r="F11" i="24" s="1"/>
  <c r="Q11" i="24" s="1"/>
  <c r="B137" i="6"/>
  <c r="BV29" i="3"/>
  <c r="M30" i="17" s="1"/>
  <c r="D23" i="18"/>
  <c r="D12" i="26"/>
  <c r="B113" i="6"/>
  <c r="D13" i="26"/>
  <c r="D7" i="9" a="1"/>
  <c r="D7" i="9" s="1"/>
  <c r="F12" i="26" s="1"/>
  <c r="D11" i="9" a="1"/>
  <c r="D11" i="9" s="1"/>
  <c r="F13" i="26" s="1"/>
  <c r="O23" i="24"/>
  <c r="B21" i="24"/>
  <c r="E19" i="18" a="1"/>
  <c r="E19" i="18" s="1"/>
  <c r="L69" i="17"/>
  <c r="AE39" i="6"/>
  <c r="O24" i="24"/>
  <c r="C21" i="24"/>
  <c r="AE49" i="6"/>
  <c r="AD57" i="6"/>
  <c r="L69" i="18"/>
  <c r="O25" i="24"/>
  <c r="D21" i="24"/>
  <c r="P36" i="8"/>
  <c r="Q20" i="21"/>
  <c r="T20" i="21"/>
  <c r="P20" i="21"/>
  <c r="O20" i="21"/>
  <c r="M20" i="21"/>
  <c r="R20" i="21"/>
  <c r="V20" i="21"/>
  <c r="S20" i="21"/>
  <c r="O8" i="21"/>
  <c r="T8" i="21"/>
  <c r="S8" i="21"/>
  <c r="R8" i="21"/>
  <c r="Q8" i="21"/>
  <c r="P8" i="21"/>
  <c r="M8" i="21"/>
  <c r="V8" i="21"/>
  <c r="D10" i="15" a="1"/>
  <c r="D10" i="15" s="1"/>
  <c r="C14" i="15" a="1"/>
  <c r="C14" i="15" s="1"/>
  <c r="P58" i="8"/>
  <c r="M59" i="17"/>
  <c r="BV61" i="3"/>
  <c r="M62" i="17" s="1"/>
  <c r="P62" i="17"/>
  <c r="L46" i="15"/>
  <c r="L46" i="18"/>
  <c r="L46" i="17"/>
  <c r="Q39" i="8"/>
  <c r="X40" i="15"/>
  <c r="V40" i="15"/>
  <c r="U40" i="15"/>
  <c r="L40" i="20"/>
  <c r="Y40" i="15"/>
  <c r="W40" i="15"/>
  <c r="K40" i="17"/>
  <c r="K40" i="15"/>
  <c r="K40" i="18"/>
  <c r="L40" i="21"/>
  <c r="S26" i="20"/>
  <c r="R26" i="20"/>
  <c r="O26" i="20"/>
  <c r="C17" i="17"/>
  <c r="E11" i="15" a="1"/>
  <c r="E11" i="15" s="1"/>
  <c r="X4" i="15"/>
  <c r="Y4" i="15"/>
  <c r="W4" i="15"/>
  <c r="L4" i="20"/>
  <c r="V4" i="15"/>
  <c r="U4" i="15"/>
  <c r="L4" i="21"/>
  <c r="K4" i="18"/>
  <c r="K4" i="17"/>
  <c r="K4" i="15"/>
  <c r="T38" i="8"/>
  <c r="M39" i="18"/>
  <c r="BV26" i="3"/>
  <c r="P27" i="17"/>
  <c r="K46" i="18"/>
  <c r="X46" i="15"/>
  <c r="W46" i="15"/>
  <c r="L46" i="20"/>
  <c r="V46" i="15"/>
  <c r="Y46" i="15"/>
  <c r="U46" i="15"/>
  <c r="L46" i="21"/>
  <c r="K46" i="17"/>
  <c r="K46" i="15"/>
  <c r="L13" i="17"/>
  <c r="L13" i="18"/>
  <c r="L13" i="15"/>
  <c r="U47" i="8"/>
  <c r="X48" i="15"/>
  <c r="Y48" i="15"/>
  <c r="W48" i="15"/>
  <c r="V48" i="15"/>
  <c r="U48" i="15"/>
  <c r="L48" i="20"/>
  <c r="L48" i="21"/>
  <c r="K48" i="17"/>
  <c r="K48" i="18"/>
  <c r="K48" i="15"/>
  <c r="P26" i="21"/>
  <c r="N26" i="21"/>
  <c r="S26" i="21"/>
  <c r="C20" i="15"/>
  <c r="D19" i="17"/>
  <c r="S42" i="21"/>
  <c r="V42" i="21"/>
  <c r="Q42" i="21"/>
  <c r="M42" i="21"/>
  <c r="T42" i="21"/>
  <c r="R42" i="21"/>
  <c r="P42" i="21"/>
  <c r="O42" i="21"/>
  <c r="B12" i="15" a="1"/>
  <c r="B12" i="15" s="1"/>
  <c r="B13" i="15" a="1"/>
  <c r="B13" i="15" s="1"/>
  <c r="M3" i="20"/>
  <c r="O3" i="20"/>
  <c r="N3" i="20"/>
  <c r="R3" i="20"/>
  <c r="S3" i="20"/>
  <c r="BV13" i="3"/>
  <c r="P14" i="17"/>
  <c r="BV67" i="3"/>
  <c r="M68" i="17" s="1"/>
  <c r="P68" i="17"/>
  <c r="BV5" i="3"/>
  <c r="P6" i="17"/>
  <c r="W35" i="15"/>
  <c r="L35" i="21"/>
  <c r="Y35" i="15"/>
  <c r="X35" i="15"/>
  <c r="L35" i="20"/>
  <c r="K35" i="18"/>
  <c r="K35" i="15"/>
  <c r="K35" i="17"/>
  <c r="V35" i="15"/>
  <c r="U35" i="15"/>
  <c r="BV8" i="3"/>
  <c r="M9" i="17" s="1"/>
  <c r="P9" i="17"/>
  <c r="L51" i="18"/>
  <c r="L51" i="15"/>
  <c r="L51" i="17"/>
  <c r="L58" i="17"/>
  <c r="L58" i="18"/>
  <c r="L58" i="15"/>
  <c r="X13" i="15"/>
  <c r="W13" i="15"/>
  <c r="L13" i="20"/>
  <c r="K13" i="17"/>
  <c r="K13" i="18"/>
  <c r="V13" i="15"/>
  <c r="U13" i="15"/>
  <c r="L13" i="21"/>
  <c r="Y13" i="15"/>
  <c r="K13" i="15"/>
  <c r="L25" i="17"/>
  <c r="L25" i="18"/>
  <c r="L25" i="15"/>
  <c r="BV48" i="3"/>
  <c r="M49" i="17" s="1"/>
  <c r="P49" i="17"/>
  <c r="C18" i="17"/>
  <c r="R46" i="8"/>
  <c r="M47" i="18"/>
  <c r="BV23" i="3"/>
  <c r="P24" i="17"/>
  <c r="P11" i="8"/>
  <c r="M12" i="17"/>
  <c r="BV45" i="3"/>
  <c r="M46" i="17" s="1"/>
  <c r="P46" i="17"/>
  <c r="BV43" i="3"/>
  <c r="M44" i="17" s="1"/>
  <c r="P44" i="17"/>
  <c r="BV47" i="3"/>
  <c r="M48" i="17" s="1"/>
  <c r="P48" i="17"/>
  <c r="Q45" i="8"/>
  <c r="L17" i="18"/>
  <c r="L17" i="17"/>
  <c r="L17" i="15"/>
  <c r="U58" i="8"/>
  <c r="W59" i="15"/>
  <c r="U59" i="15"/>
  <c r="Y59" i="15"/>
  <c r="L59" i="20"/>
  <c r="X59" i="15"/>
  <c r="V59" i="15"/>
  <c r="L59" i="21"/>
  <c r="K59" i="15"/>
  <c r="K59" i="17"/>
  <c r="K59" i="18"/>
  <c r="S28" i="8"/>
  <c r="L29" i="21"/>
  <c r="X29" i="15"/>
  <c r="K29" i="18"/>
  <c r="Y29" i="15"/>
  <c r="V29" i="15"/>
  <c r="K29" i="17"/>
  <c r="U29" i="15"/>
  <c r="K29" i="15"/>
  <c r="L29" i="20"/>
  <c r="W29" i="15"/>
  <c r="U38" i="8"/>
  <c r="W39" i="15"/>
  <c r="L39" i="21"/>
  <c r="U39" i="15"/>
  <c r="X39" i="15"/>
  <c r="V39" i="15"/>
  <c r="K39" i="18"/>
  <c r="K39" i="15"/>
  <c r="L39" i="20"/>
  <c r="Y39" i="15"/>
  <c r="K39" i="17"/>
  <c r="S60" i="8"/>
  <c r="L61" i="21"/>
  <c r="W61" i="15"/>
  <c r="Y61" i="15"/>
  <c r="X61" i="15"/>
  <c r="V61" i="15"/>
  <c r="L61" i="20"/>
  <c r="K61" i="15"/>
  <c r="K61" i="18"/>
  <c r="U61" i="15"/>
  <c r="K61" i="17"/>
  <c r="L54" i="17"/>
  <c r="L54" i="18"/>
  <c r="L54" i="15"/>
  <c r="BV25" i="3"/>
  <c r="P26" i="17"/>
  <c r="D18" i="17"/>
  <c r="BV31" i="3"/>
  <c r="P32" i="17"/>
  <c r="BV24" i="3"/>
  <c r="M25" i="17" s="1"/>
  <c r="P25" i="17"/>
  <c r="BV38" i="3"/>
  <c r="M39" i="17" s="1"/>
  <c r="P39" i="17"/>
  <c r="AH77" i="6"/>
  <c r="R17" i="8"/>
  <c r="M18" i="18"/>
  <c r="R59" i="8"/>
  <c r="M60" i="18"/>
  <c r="U45" i="8"/>
  <c r="Y17" i="15"/>
  <c r="U17" i="15"/>
  <c r="W17" i="15"/>
  <c r="V17" i="15"/>
  <c r="K17" i="17"/>
  <c r="X17" i="15"/>
  <c r="K17" i="18"/>
  <c r="L17" i="21"/>
  <c r="L17" i="20"/>
  <c r="K17" i="15"/>
  <c r="R36" i="8"/>
  <c r="M37" i="18"/>
  <c r="L64" i="17"/>
  <c r="L64" i="18"/>
  <c r="L64" i="15"/>
  <c r="L45" i="17"/>
  <c r="L45" i="15"/>
  <c r="L45" i="18"/>
  <c r="S53" i="8"/>
  <c r="L54" i="20"/>
  <c r="X54" i="15"/>
  <c r="W54" i="15"/>
  <c r="V54" i="15"/>
  <c r="U54" i="15"/>
  <c r="K54" i="17"/>
  <c r="Y54" i="15"/>
  <c r="L54" i="21"/>
  <c r="K54" i="18"/>
  <c r="K54" i="15"/>
  <c r="R11" i="21"/>
  <c r="V11" i="21"/>
  <c r="Q11" i="21"/>
  <c r="P11" i="21"/>
  <c r="O11" i="21"/>
  <c r="M11" i="21"/>
  <c r="T11" i="21"/>
  <c r="S11" i="21"/>
  <c r="Y66" i="15"/>
  <c r="L66" i="21"/>
  <c r="X66" i="15"/>
  <c r="L66" i="20"/>
  <c r="K66" i="17"/>
  <c r="W66" i="15"/>
  <c r="V66" i="15"/>
  <c r="U66" i="15"/>
  <c r="K66" i="15"/>
  <c r="K66" i="18"/>
  <c r="BV19" i="3"/>
  <c r="T49" i="8"/>
  <c r="M50" i="18"/>
  <c r="L14" i="18"/>
  <c r="L14" i="15"/>
  <c r="L14" i="17"/>
  <c r="S49" i="8"/>
  <c r="V50" i="15"/>
  <c r="W50" i="15"/>
  <c r="K50" i="18"/>
  <c r="K50" i="15"/>
  <c r="L50" i="20"/>
  <c r="X50" i="15"/>
  <c r="U50" i="15"/>
  <c r="L50" i="21"/>
  <c r="Y50" i="15"/>
  <c r="K50" i="17"/>
  <c r="L67" i="15"/>
  <c r="L67" i="18"/>
  <c r="L67" i="17"/>
  <c r="Y57" i="15"/>
  <c r="L57" i="21"/>
  <c r="W57" i="15"/>
  <c r="V57" i="15"/>
  <c r="K57" i="15"/>
  <c r="U57" i="15"/>
  <c r="K57" i="18"/>
  <c r="K57" i="17"/>
  <c r="L57" i="20"/>
  <c r="X57" i="15"/>
  <c r="T37" i="21"/>
  <c r="S37" i="21"/>
  <c r="R37" i="21"/>
  <c r="V37" i="21"/>
  <c r="Q37" i="21"/>
  <c r="O37" i="21"/>
  <c r="M37" i="21"/>
  <c r="P37" i="21"/>
  <c r="C20" i="18"/>
  <c r="M12" i="21"/>
  <c r="S12" i="21"/>
  <c r="V12" i="21"/>
  <c r="T12" i="21"/>
  <c r="R12" i="21"/>
  <c r="Q12" i="21"/>
  <c r="P12" i="21"/>
  <c r="O12" i="21"/>
  <c r="D11" i="15" a="1"/>
  <c r="D11" i="15" s="1"/>
  <c r="P27" i="8"/>
  <c r="M28" i="17"/>
  <c r="BV56" i="3"/>
  <c r="M57" i="17" s="1"/>
  <c r="P57" i="17"/>
  <c r="V49" i="15"/>
  <c r="U49" i="15"/>
  <c r="L49" i="20"/>
  <c r="K49" i="18"/>
  <c r="L49" i="21"/>
  <c r="X49" i="15"/>
  <c r="W49" i="15"/>
  <c r="K49" i="17"/>
  <c r="K49" i="15"/>
  <c r="Y49" i="15"/>
  <c r="U13" i="8"/>
  <c r="L14" i="21"/>
  <c r="X14" i="15"/>
  <c r="Y14" i="15"/>
  <c r="K14" i="17"/>
  <c r="L14" i="20"/>
  <c r="K14" i="15"/>
  <c r="W14" i="15"/>
  <c r="V14" i="15"/>
  <c r="U14" i="15"/>
  <c r="K14" i="18"/>
  <c r="L34" i="15"/>
  <c r="L34" i="18"/>
  <c r="L34" i="17"/>
  <c r="Q66" i="8"/>
  <c r="W67" i="15"/>
  <c r="U67" i="15"/>
  <c r="Y67" i="15"/>
  <c r="X67" i="15"/>
  <c r="K67" i="15"/>
  <c r="V67" i="15"/>
  <c r="K67" i="18"/>
  <c r="K67" i="17"/>
  <c r="L67" i="21"/>
  <c r="L67" i="20"/>
  <c r="L57" i="18"/>
  <c r="L57" i="15"/>
  <c r="L57" i="17"/>
  <c r="BV63" i="3"/>
  <c r="M64" i="17" s="1"/>
  <c r="P64" i="17"/>
  <c r="R27" i="21"/>
  <c r="V27" i="21"/>
  <c r="O27" i="21"/>
  <c r="M27" i="21"/>
  <c r="Q27" i="21"/>
  <c r="T27" i="21"/>
  <c r="S27" i="21"/>
  <c r="C24" i="18"/>
  <c r="D20" i="18"/>
  <c r="S18" i="21"/>
  <c r="M18" i="21"/>
  <c r="Q18" i="21"/>
  <c r="P18" i="21"/>
  <c r="O18" i="21"/>
  <c r="R18" i="21"/>
  <c r="T18" i="21"/>
  <c r="V18" i="21"/>
  <c r="B9" i="15" a="1"/>
  <c r="B9" i="15" s="1"/>
  <c r="D13" i="15" a="1"/>
  <c r="D13" i="15" s="1"/>
  <c r="BV21" i="3"/>
  <c r="M22" i="17" s="1"/>
  <c r="P22" i="17"/>
  <c r="L10" i="20"/>
  <c r="V10" i="15"/>
  <c r="U10" i="15"/>
  <c r="L10" i="21"/>
  <c r="K10" i="18"/>
  <c r="Y10" i="15"/>
  <c r="W10" i="15"/>
  <c r="X10" i="15"/>
  <c r="K10" i="17"/>
  <c r="K10" i="15"/>
  <c r="BV50" i="3"/>
  <c r="M51" i="17" s="1"/>
  <c r="P51" i="17"/>
  <c r="P52" i="8"/>
  <c r="M53" i="17"/>
  <c r="BV55" i="3"/>
  <c r="M56" i="17" s="1"/>
  <c r="P56" i="17"/>
  <c r="S33" i="8"/>
  <c r="U34" i="15"/>
  <c r="L34" i="20"/>
  <c r="L34" i="21"/>
  <c r="K34" i="17"/>
  <c r="Y34" i="15"/>
  <c r="X34" i="15"/>
  <c r="W34" i="15"/>
  <c r="V34" i="15"/>
  <c r="K34" i="15"/>
  <c r="K34" i="18"/>
  <c r="R26" i="8"/>
  <c r="M27" i="18"/>
  <c r="C25" i="18"/>
  <c r="D21" i="18"/>
  <c r="C9" i="15" a="1"/>
  <c r="C9" i="15" s="1"/>
  <c r="B7" i="15" a="1"/>
  <c r="B7" i="15" s="1"/>
  <c r="D14" i="15" a="1"/>
  <c r="D14" i="15" s="1"/>
  <c r="S12" i="20"/>
  <c r="R12" i="20"/>
  <c r="O12" i="20"/>
  <c r="N12" i="20"/>
  <c r="M12" i="20"/>
  <c r="O20" i="20"/>
  <c r="S20" i="20"/>
  <c r="R20" i="20"/>
  <c r="N20" i="20"/>
  <c r="M20" i="20"/>
  <c r="D9" i="15" a="1"/>
  <c r="D9" i="15" s="1"/>
  <c r="E13" i="15" a="1"/>
  <c r="E13" i="15" s="1"/>
  <c r="R41" i="8"/>
  <c r="M42" i="18"/>
  <c r="L31" i="17"/>
  <c r="L31" i="18"/>
  <c r="L31" i="15"/>
  <c r="C12" i="15" a="1"/>
  <c r="C12" i="15" s="1"/>
  <c r="C7" i="15"/>
  <c r="BV3" i="3"/>
  <c r="P4" i="17"/>
  <c r="BV22" i="3"/>
  <c r="M23" i="17" s="1"/>
  <c r="P23" i="17"/>
  <c r="AH80" i="6"/>
  <c r="BV46" i="3"/>
  <c r="S50" i="8"/>
  <c r="W51" i="15"/>
  <c r="Y51" i="15"/>
  <c r="K51" i="17"/>
  <c r="K51" i="15"/>
  <c r="K51" i="18"/>
  <c r="X51" i="15"/>
  <c r="V51" i="15"/>
  <c r="U51" i="15"/>
  <c r="L51" i="21"/>
  <c r="L51" i="20"/>
  <c r="L52" i="18"/>
  <c r="L52" i="15"/>
  <c r="L52" i="17"/>
  <c r="Q57" i="8"/>
  <c r="U58" i="15"/>
  <c r="L58" i="20"/>
  <c r="L58" i="21"/>
  <c r="K58" i="17"/>
  <c r="K58" i="18"/>
  <c r="Y58" i="15"/>
  <c r="V58" i="15"/>
  <c r="X58" i="15"/>
  <c r="W58" i="15"/>
  <c r="K58" i="15"/>
  <c r="V25" i="15"/>
  <c r="Y25" i="15"/>
  <c r="X25" i="15"/>
  <c r="W25" i="15"/>
  <c r="U25" i="15"/>
  <c r="K25" i="18"/>
  <c r="L25" i="21"/>
  <c r="L25" i="20"/>
  <c r="K25" i="17"/>
  <c r="K25" i="15"/>
  <c r="BV35" i="3"/>
  <c r="P36" i="17"/>
  <c r="D7" i="15" a="1"/>
  <c r="D7" i="15" s="1"/>
  <c r="W7" i="15"/>
  <c r="V7" i="15"/>
  <c r="L7" i="21"/>
  <c r="L7" i="20"/>
  <c r="K7" i="18"/>
  <c r="Y7" i="15"/>
  <c r="X7" i="15"/>
  <c r="U7" i="15"/>
  <c r="K7" i="17"/>
  <c r="K7" i="15"/>
  <c r="D12" i="15" a="1"/>
  <c r="D12" i="15" s="1"/>
  <c r="P30" i="8"/>
  <c r="M31" i="17"/>
  <c r="T19" i="8"/>
  <c r="M20" i="18"/>
  <c r="R51" i="8"/>
  <c r="M52" i="18"/>
  <c r="Q31" i="8"/>
  <c r="X32" i="15"/>
  <c r="L32" i="20"/>
  <c r="W32" i="15"/>
  <c r="V32" i="15"/>
  <c r="U32" i="15"/>
  <c r="Y32" i="15"/>
  <c r="K32" i="18"/>
  <c r="K32" i="15"/>
  <c r="L32" i="21"/>
  <c r="K32" i="17"/>
  <c r="R10" i="8"/>
  <c r="M11" i="18"/>
  <c r="C24" i="15"/>
  <c r="T42" i="8"/>
  <c r="M43" i="18"/>
  <c r="X68" i="15"/>
  <c r="U68" i="15"/>
  <c r="L68" i="21"/>
  <c r="K68" i="18"/>
  <c r="Y68" i="15"/>
  <c r="W68" i="15"/>
  <c r="V68" i="15"/>
  <c r="K68" i="15"/>
  <c r="L68" i="20"/>
  <c r="K68" i="17"/>
  <c r="BV40" i="3"/>
  <c r="M41" i="17" s="1"/>
  <c r="P41" i="17"/>
  <c r="BV4" i="3"/>
  <c r="M5" i="17" s="1"/>
  <c r="P5" i="17"/>
  <c r="BV28" i="3"/>
  <c r="M29" i="17" s="1"/>
  <c r="P29" i="17"/>
  <c r="L44" i="17"/>
  <c r="L44" i="18"/>
  <c r="L44" i="15"/>
  <c r="L19" i="18"/>
  <c r="L19" i="15"/>
  <c r="L19" i="17"/>
  <c r="L23" i="18"/>
  <c r="L23" i="15"/>
  <c r="L23" i="17"/>
  <c r="D25" i="18"/>
  <c r="E24" i="15" a="1"/>
  <c r="E24" i="15" s="1"/>
  <c r="E9" i="15" a="1"/>
  <c r="E9" i="15" s="1"/>
  <c r="BV54" i="3"/>
  <c r="M55" i="17" s="1"/>
  <c r="P55" i="17"/>
  <c r="R11" i="8"/>
  <c r="M12" i="18"/>
  <c r="BV42" i="3"/>
  <c r="P43" i="17"/>
  <c r="L15" i="18"/>
  <c r="L15" i="17"/>
  <c r="L15" i="15"/>
  <c r="BV62" i="3"/>
  <c r="M63" i="17" s="1"/>
  <c r="P63" i="17"/>
  <c r="W43" i="15"/>
  <c r="L43" i="20"/>
  <c r="V43" i="15"/>
  <c r="U43" i="15"/>
  <c r="L43" i="21"/>
  <c r="Y43" i="15"/>
  <c r="X43" i="15"/>
  <c r="K43" i="17"/>
  <c r="K43" i="18"/>
  <c r="K43" i="15"/>
  <c r="T23" i="8"/>
  <c r="M24" i="18"/>
  <c r="V9" i="15"/>
  <c r="U9" i="15"/>
  <c r="Y9" i="15"/>
  <c r="X9" i="15"/>
  <c r="W9" i="15"/>
  <c r="L9" i="20"/>
  <c r="K9" i="18"/>
  <c r="K9" i="17"/>
  <c r="L9" i="21"/>
  <c r="K9" i="15"/>
  <c r="R31" i="8"/>
  <c r="M32" i="18"/>
  <c r="S42" i="8"/>
  <c r="R7" i="8"/>
  <c r="M8" i="18"/>
  <c r="L33" i="18"/>
  <c r="L33" i="15"/>
  <c r="L33" i="17"/>
  <c r="W31" i="15"/>
  <c r="V31" i="15"/>
  <c r="U31" i="15"/>
  <c r="Y31" i="15"/>
  <c r="X31" i="15"/>
  <c r="L31" i="21"/>
  <c r="K31" i="18"/>
  <c r="L31" i="20"/>
  <c r="K31" i="17"/>
  <c r="K31" i="15"/>
  <c r="P14" i="8"/>
  <c r="W15" i="15"/>
  <c r="L15" i="21"/>
  <c r="X15" i="15"/>
  <c r="V15" i="15"/>
  <c r="U15" i="15"/>
  <c r="L15" i="20"/>
  <c r="K15" i="18"/>
  <c r="Y15" i="15"/>
  <c r="K15" i="17"/>
  <c r="K15" i="15"/>
  <c r="D20" i="15"/>
  <c r="D17" i="17"/>
  <c r="M8" i="20"/>
  <c r="S8" i="20"/>
  <c r="O8" i="20"/>
  <c r="N8" i="20"/>
  <c r="R8" i="20"/>
  <c r="B10" i="15" a="1"/>
  <c r="B10" i="15" s="1"/>
  <c r="B14" i="15" a="1"/>
  <c r="B14" i="15" s="1"/>
  <c r="W22" i="15"/>
  <c r="V22" i="15"/>
  <c r="L22" i="20"/>
  <c r="X22" i="15"/>
  <c r="L22" i="21"/>
  <c r="Y22" i="15"/>
  <c r="U22" i="15"/>
  <c r="K22" i="15"/>
  <c r="K22" i="17"/>
  <c r="K22" i="18"/>
  <c r="R58" i="8"/>
  <c r="M59" i="18"/>
  <c r="R35" i="8"/>
  <c r="M36" i="18"/>
  <c r="Q42" i="8"/>
  <c r="P41" i="8"/>
  <c r="M42" i="17"/>
  <c r="L33" i="21"/>
  <c r="X33" i="15"/>
  <c r="Y33" i="15"/>
  <c r="W33" i="15"/>
  <c r="K33" i="18"/>
  <c r="V33" i="15"/>
  <c r="U33" i="15"/>
  <c r="K33" i="17"/>
  <c r="L33" i="20"/>
  <c r="K33" i="15"/>
  <c r="L40" i="17"/>
  <c r="L40" i="18"/>
  <c r="L40" i="15"/>
  <c r="C19" i="17"/>
  <c r="E21" i="18" a="1"/>
  <c r="E21" i="18" s="1"/>
  <c r="T3" i="21"/>
  <c r="V3" i="21"/>
  <c r="O3" i="21"/>
  <c r="S3" i="21"/>
  <c r="R3" i="21"/>
  <c r="Q3" i="21"/>
  <c r="P3" i="21"/>
  <c r="M3" i="21"/>
  <c r="BV44" i="3"/>
  <c r="M45" i="17" s="1"/>
  <c r="P45" i="17"/>
  <c r="BV20" i="3"/>
  <c r="P21" i="17"/>
  <c r="AH41" i="6"/>
  <c r="W63" i="15"/>
  <c r="X63" i="15"/>
  <c r="U63" i="15"/>
  <c r="L63" i="20"/>
  <c r="K63" i="18"/>
  <c r="K63" i="15"/>
  <c r="K63" i="17"/>
  <c r="Y63" i="15"/>
  <c r="V63" i="15"/>
  <c r="L63" i="21"/>
  <c r="L6" i="18"/>
  <c r="L6" i="17"/>
  <c r="L6" i="15"/>
  <c r="L5" i="18"/>
  <c r="L5" i="17"/>
  <c r="L5" i="15"/>
  <c r="L24" i="17"/>
  <c r="L24" i="15"/>
  <c r="L24" i="18"/>
  <c r="BV49" i="3"/>
  <c r="M50" i="17" s="1"/>
  <c r="P50" i="17"/>
  <c r="L47" i="17"/>
  <c r="L47" i="15"/>
  <c r="L47" i="18"/>
  <c r="L62" i="17"/>
  <c r="L62" i="18"/>
  <c r="L62" i="15"/>
  <c r="V60" i="21"/>
  <c r="T60" i="21"/>
  <c r="M60" i="21"/>
  <c r="S60" i="21"/>
  <c r="R60" i="21"/>
  <c r="P60" i="21"/>
  <c r="O60" i="21"/>
  <c r="Q60" i="21"/>
  <c r="E25" i="15" a="1"/>
  <c r="E25" i="15" s="1"/>
  <c r="C10" i="15" a="1"/>
  <c r="C10" i="15" s="1"/>
  <c r="E18" i="17" a="1"/>
  <c r="E18" i="17" s="1"/>
  <c r="T27" i="8"/>
  <c r="M28" i="18"/>
  <c r="T45" i="8"/>
  <c r="M46" i="18"/>
  <c r="BV6" i="3"/>
  <c r="M7" i="17" s="1"/>
  <c r="P7" i="17"/>
  <c r="BV66" i="3"/>
  <c r="M67" i="17" s="1"/>
  <c r="P67" i="17"/>
  <c r="L30" i="21"/>
  <c r="Y30" i="15"/>
  <c r="X30" i="15"/>
  <c r="L30" i="20"/>
  <c r="V30" i="15"/>
  <c r="W30" i="15"/>
  <c r="U30" i="15"/>
  <c r="K30" i="17"/>
  <c r="K30" i="15"/>
  <c r="K30" i="18"/>
  <c r="BV10" i="3"/>
  <c r="P11" i="17"/>
  <c r="BV7" i="3"/>
  <c r="P8" i="17"/>
  <c r="W55" i="15"/>
  <c r="L55" i="21"/>
  <c r="Y55" i="15"/>
  <c r="X55" i="15"/>
  <c r="V55" i="15"/>
  <c r="L55" i="20"/>
  <c r="K55" i="17"/>
  <c r="K55" i="15"/>
  <c r="U55" i="15"/>
  <c r="K55" i="18"/>
  <c r="S51" i="8"/>
  <c r="X52" i="15"/>
  <c r="W52" i="15"/>
  <c r="Y52" i="15"/>
  <c r="L52" i="21"/>
  <c r="V52" i="15"/>
  <c r="K52" i="17"/>
  <c r="K52" i="15"/>
  <c r="U52" i="15"/>
  <c r="K52" i="18"/>
  <c r="L52" i="20"/>
  <c r="X53" i="15"/>
  <c r="W53" i="15"/>
  <c r="L53" i="20"/>
  <c r="Y53" i="15"/>
  <c r="L53" i="21"/>
  <c r="V53" i="15"/>
  <c r="U53" i="15"/>
  <c r="K53" i="15"/>
  <c r="K53" i="18"/>
  <c r="K53" i="17"/>
  <c r="L28" i="18"/>
  <c r="L28" i="15"/>
  <c r="L28" i="17"/>
  <c r="L32" i="18"/>
  <c r="L32" i="17"/>
  <c r="L32" i="15"/>
  <c r="D21" i="15"/>
  <c r="C21" i="18"/>
  <c r="R63" i="8"/>
  <c r="M64" i="18"/>
  <c r="BV32" i="3"/>
  <c r="M33" i="17" s="1"/>
  <c r="P33" i="17"/>
  <c r="BV53" i="3"/>
  <c r="M54" i="17" s="1"/>
  <c r="P54" i="17"/>
  <c r="X28" i="15"/>
  <c r="L28" i="21"/>
  <c r="U28" i="15"/>
  <c r="L28" i="20"/>
  <c r="K28" i="18"/>
  <c r="V28" i="15"/>
  <c r="K28" i="15"/>
  <c r="W28" i="15"/>
  <c r="K28" i="17"/>
  <c r="Y28" i="15"/>
  <c r="U20" i="8"/>
  <c r="L21" i="21"/>
  <c r="L21" i="20"/>
  <c r="V21" i="15"/>
  <c r="U21" i="15"/>
  <c r="K21" i="17"/>
  <c r="Y21" i="15"/>
  <c r="X21" i="15"/>
  <c r="W21" i="15"/>
  <c r="K21" i="18"/>
  <c r="K21" i="15"/>
  <c r="D19" i="18"/>
  <c r="E20" i="15" a="1"/>
  <c r="E20" i="15" s="1"/>
  <c r="X16" i="15"/>
  <c r="V16" i="15"/>
  <c r="L16" i="20"/>
  <c r="Y16" i="15"/>
  <c r="U16" i="15"/>
  <c r="K16" i="17"/>
  <c r="K16" i="18"/>
  <c r="K16" i="15"/>
  <c r="W16" i="15"/>
  <c r="L16" i="21"/>
  <c r="T28" i="8"/>
  <c r="M29" i="18"/>
  <c r="W19" i="15"/>
  <c r="L19" i="21"/>
  <c r="U19" i="15"/>
  <c r="Y19" i="15"/>
  <c r="X19" i="15"/>
  <c r="L19" i="20"/>
  <c r="K19" i="18"/>
  <c r="K19" i="15"/>
  <c r="K19" i="17"/>
  <c r="V19" i="15"/>
  <c r="C25" i="15"/>
  <c r="S3" i="15"/>
  <c r="BV57" i="3"/>
  <c r="M58" i="17" s="1"/>
  <c r="P58" i="17"/>
  <c r="BV51" i="3"/>
  <c r="P52" i="17"/>
  <c r="T26" i="8"/>
  <c r="K6" i="18"/>
  <c r="U6" i="15"/>
  <c r="L6" i="21"/>
  <c r="L6" i="20"/>
  <c r="Y6" i="15"/>
  <c r="X6" i="15"/>
  <c r="W6" i="15"/>
  <c r="V6" i="15"/>
  <c r="K6" i="17"/>
  <c r="K6" i="15"/>
  <c r="U4" i="8"/>
  <c r="Y5" i="15"/>
  <c r="L5" i="20"/>
  <c r="V5" i="15"/>
  <c r="U5" i="15"/>
  <c r="X5" i="15"/>
  <c r="W5" i="15"/>
  <c r="K5" i="18"/>
  <c r="K5" i="15"/>
  <c r="K5" i="17"/>
  <c r="L5" i="21"/>
  <c r="X24" i="15"/>
  <c r="L24" i="21"/>
  <c r="L24" i="20"/>
  <c r="W24" i="15"/>
  <c r="V24" i="15"/>
  <c r="U24" i="15"/>
  <c r="K24" i="15"/>
  <c r="K24" i="18"/>
  <c r="Y24" i="15"/>
  <c r="K24" i="17"/>
  <c r="Q46" i="8"/>
  <c r="W47" i="15"/>
  <c r="V47" i="15"/>
  <c r="L47" i="20"/>
  <c r="Y47" i="15"/>
  <c r="X47" i="15"/>
  <c r="U47" i="15"/>
  <c r="K47" i="18"/>
  <c r="K47" i="17"/>
  <c r="L47" i="21"/>
  <c r="K47" i="15"/>
  <c r="W62" i="15"/>
  <c r="V62" i="15"/>
  <c r="L62" i="21"/>
  <c r="Y62" i="15"/>
  <c r="X62" i="15"/>
  <c r="K62" i="17"/>
  <c r="U62" i="15"/>
  <c r="K62" i="18"/>
  <c r="L62" i="20"/>
  <c r="K62" i="15"/>
  <c r="D22" i="15"/>
  <c r="C22" i="15"/>
  <c r="E10" i="15" a="1"/>
  <c r="E10" i="15" s="1"/>
  <c r="E7" i="15" a="1"/>
  <c r="E7" i="15" s="1"/>
  <c r="V65" i="15"/>
  <c r="L65" i="21"/>
  <c r="X65" i="15"/>
  <c r="W65" i="15"/>
  <c r="U65" i="15"/>
  <c r="L65" i="20"/>
  <c r="K65" i="18"/>
  <c r="K65" i="15"/>
  <c r="Y65" i="15"/>
  <c r="K65" i="17"/>
  <c r="X69" i="15"/>
  <c r="Y69" i="15"/>
  <c r="L69" i="21"/>
  <c r="W69" i="15"/>
  <c r="V69" i="15"/>
  <c r="U69" i="15"/>
  <c r="K69" i="15"/>
  <c r="L69" i="20"/>
  <c r="K69" i="18"/>
  <c r="K69" i="17"/>
  <c r="L53" i="15"/>
  <c r="L53" i="18"/>
  <c r="L53" i="17"/>
  <c r="E14" i="15" a="1"/>
  <c r="E14" i="15" s="1"/>
  <c r="AD81" i="6"/>
  <c r="X56" i="15"/>
  <c r="L56" i="21"/>
  <c r="V56" i="15"/>
  <c r="U56" i="15"/>
  <c r="Y56" i="15"/>
  <c r="W56" i="15"/>
  <c r="K56" i="18"/>
  <c r="L56" i="20"/>
  <c r="K56" i="15"/>
  <c r="K56" i="17"/>
  <c r="X44" i="15"/>
  <c r="Y44" i="15"/>
  <c r="W44" i="15"/>
  <c r="K44" i="17"/>
  <c r="K44" i="18"/>
  <c r="K44" i="15"/>
  <c r="V44" i="15"/>
  <c r="U44" i="15"/>
  <c r="L44" i="20"/>
  <c r="L44" i="21"/>
  <c r="Q22" i="8"/>
  <c r="W23" i="15"/>
  <c r="L23" i="21"/>
  <c r="X23" i="15"/>
  <c r="K23" i="18"/>
  <c r="V23" i="15"/>
  <c r="K23" i="15"/>
  <c r="Y23" i="15"/>
  <c r="U23" i="15"/>
  <c r="K23" i="17"/>
  <c r="L23" i="20"/>
  <c r="D24" i="15"/>
  <c r="BY24" i="3"/>
  <c r="AH52" i="6"/>
  <c r="L59" i="15"/>
  <c r="L59" i="17"/>
  <c r="L59" i="18"/>
  <c r="L29" i="18"/>
  <c r="L29" i="17"/>
  <c r="L29" i="15"/>
  <c r="L39" i="18"/>
  <c r="L39" i="15"/>
  <c r="L39" i="17"/>
  <c r="L61" i="18"/>
  <c r="L61" i="15"/>
  <c r="L61" i="17"/>
  <c r="BV59" i="3"/>
  <c r="P60" i="17"/>
  <c r="O11" i="20"/>
  <c r="S11" i="20"/>
  <c r="R11" i="20"/>
  <c r="N11" i="20"/>
  <c r="M11" i="20"/>
  <c r="M18" i="20"/>
  <c r="S18" i="20"/>
  <c r="R18" i="20"/>
  <c r="O18" i="20"/>
  <c r="N18" i="20"/>
  <c r="B11" i="15" a="1"/>
  <c r="B11" i="15" s="1"/>
  <c r="M36" i="20"/>
  <c r="O36" i="20"/>
  <c r="N36" i="20"/>
  <c r="S36" i="20"/>
  <c r="R36" i="20"/>
  <c r="E22" i="17" a="1"/>
  <c r="E22" i="17" s="1"/>
  <c r="O60" i="20"/>
  <c r="S60" i="20"/>
  <c r="N60" i="20"/>
  <c r="R60" i="20"/>
  <c r="M60" i="20"/>
  <c r="E22" i="15" a="1"/>
  <c r="E22" i="15" s="1"/>
  <c r="E21" i="15" a="1"/>
  <c r="E21" i="15" s="1"/>
  <c r="E23" i="17" a="1"/>
  <c r="E23" i="17" s="1"/>
  <c r="C11" i="15" a="1"/>
  <c r="C11" i="15" s="1"/>
  <c r="V36" i="21"/>
  <c r="R36" i="21"/>
  <c r="P36" i="21"/>
  <c r="M36" i="21"/>
  <c r="P2" i="8"/>
  <c r="M3" i="17"/>
  <c r="W38" i="15"/>
  <c r="Y38" i="15"/>
  <c r="L38" i="20"/>
  <c r="V38" i="15"/>
  <c r="L38" i="21"/>
  <c r="K38" i="18"/>
  <c r="K38" i="17"/>
  <c r="K38" i="15"/>
  <c r="X38" i="15"/>
  <c r="U38" i="15"/>
  <c r="L41" i="21"/>
  <c r="W41" i="15"/>
  <c r="L41" i="20"/>
  <c r="U41" i="15"/>
  <c r="K41" i="15"/>
  <c r="K41" i="18"/>
  <c r="K41" i="17"/>
  <c r="V41" i="15"/>
  <c r="Y41" i="15"/>
  <c r="X41" i="15"/>
  <c r="S57" i="8"/>
  <c r="S45" i="8"/>
  <c r="L50" i="18"/>
  <c r="L50" i="15"/>
  <c r="L50" i="17"/>
  <c r="BV33" i="3"/>
  <c r="M34" i="17" s="1"/>
  <c r="P34" i="17"/>
  <c r="U63" i="8"/>
  <c r="X64" i="15"/>
  <c r="Y64" i="15"/>
  <c r="L64" i="20"/>
  <c r="K64" i="17"/>
  <c r="L64" i="21"/>
  <c r="K64" i="18"/>
  <c r="W64" i="15"/>
  <c r="V64" i="15"/>
  <c r="U64" i="15"/>
  <c r="K64" i="15"/>
  <c r="Q44" i="8"/>
  <c r="Y45" i="15"/>
  <c r="U45" i="15"/>
  <c r="L45" i="21"/>
  <c r="X45" i="15"/>
  <c r="W45" i="15"/>
  <c r="V45" i="15"/>
  <c r="L45" i="20"/>
  <c r="K45" i="18"/>
  <c r="K45" i="17"/>
  <c r="K45" i="15"/>
  <c r="N37" i="20"/>
  <c r="M37" i="20"/>
  <c r="S37" i="20"/>
  <c r="R37" i="20"/>
  <c r="O37" i="20"/>
  <c r="C23" i="18"/>
  <c r="C19" i="18"/>
  <c r="O42" i="20"/>
  <c r="R42" i="20"/>
  <c r="M42" i="20"/>
  <c r="S42" i="20"/>
  <c r="N42" i="20"/>
  <c r="C13" i="15" a="1"/>
  <c r="C13" i="15" s="1"/>
  <c r="AD40" i="6"/>
  <c r="T30" i="8"/>
  <c r="AH40" i="6"/>
  <c r="C68" i="9"/>
  <c r="BY21" i="3"/>
  <c r="R22" i="8"/>
  <c r="S22" i="8"/>
  <c r="U57" i="8"/>
  <c r="B72" i="9"/>
  <c r="T24" i="8"/>
  <c r="BY23" i="3"/>
  <c r="AH22" i="6"/>
  <c r="C70" i="9"/>
  <c r="S47" i="8"/>
  <c r="BY8" i="3"/>
  <c r="Q47" i="8"/>
  <c r="T47" i="8"/>
  <c r="AH51" i="6"/>
  <c r="Q33" i="8"/>
  <c r="AD54" i="6"/>
  <c r="Q51" i="8"/>
  <c r="AH81" i="6"/>
  <c r="Q50" i="8"/>
  <c r="U22" i="8"/>
  <c r="Q20" i="8"/>
  <c r="S46" i="8"/>
  <c r="S44" i="8"/>
  <c r="S58" i="8"/>
  <c r="U44" i="8"/>
  <c r="S20" i="8"/>
  <c r="Q58" i="8"/>
  <c r="B69" i="9"/>
  <c r="R4" i="8"/>
  <c r="B40" i="9"/>
  <c r="B28" i="26" s="1"/>
  <c r="T7" i="8"/>
  <c r="R24" i="8"/>
  <c r="T32" i="8"/>
  <c r="D16" i="8"/>
  <c r="A62" i="9"/>
  <c r="A34" i="26" s="1"/>
  <c r="T36" i="8"/>
  <c r="Q49" i="8"/>
  <c r="S14" i="8"/>
  <c r="U66" i="8"/>
  <c r="E16" i="8"/>
  <c r="B62" i="9" a="1"/>
  <c r="B62" i="9" s="1"/>
  <c r="B34" i="26" s="1"/>
  <c r="U49" i="8"/>
  <c r="Q14" i="8"/>
  <c r="U30" i="8"/>
  <c r="C16" i="8"/>
  <c r="P39" i="8"/>
  <c r="P16" i="8"/>
  <c r="S63" i="8"/>
  <c r="R30" i="8"/>
  <c r="S39" i="8"/>
  <c r="AE69" i="6"/>
  <c r="T13" i="8"/>
  <c r="Q32" i="8"/>
  <c r="T39" i="8"/>
  <c r="U33" i="8"/>
  <c r="B68" i="9"/>
  <c r="S66" i="8"/>
  <c r="U14" i="8"/>
  <c r="R57" i="8"/>
  <c r="AE22" i="6"/>
  <c r="R53" i="8"/>
  <c r="T50" i="8"/>
  <c r="S32" i="8"/>
  <c r="U39" i="8"/>
  <c r="Q53" i="8"/>
  <c r="BY42" i="3"/>
  <c r="T14" i="8"/>
  <c r="U32" i="8"/>
  <c r="U53" i="8"/>
  <c r="C71" i="9"/>
  <c r="S4" i="8"/>
  <c r="B70" i="9"/>
  <c r="B67" i="9"/>
  <c r="Q60" i="8"/>
  <c r="C66" i="9"/>
  <c r="C72" i="9"/>
  <c r="B71" i="9"/>
  <c r="C17" i="8"/>
  <c r="T44" i="8"/>
  <c r="P12" i="8"/>
  <c r="Q30" i="8"/>
  <c r="B39" i="9"/>
  <c r="B27" i="26" s="1"/>
  <c r="C69" i="9"/>
  <c r="R60" i="8"/>
  <c r="S13" i="8"/>
  <c r="B66" i="9"/>
  <c r="R39" i="8"/>
  <c r="R33" i="8"/>
  <c r="Q63" i="8"/>
  <c r="B41" i="9"/>
  <c r="B29" i="26" s="1"/>
  <c r="R66" i="8"/>
  <c r="U50" i="8"/>
  <c r="S30" i="8"/>
  <c r="Q13" i="8"/>
  <c r="U12" i="8"/>
  <c r="Q12" i="8"/>
  <c r="S12" i="8"/>
  <c r="AE47" i="6"/>
  <c r="U43" i="8"/>
  <c r="Q43" i="8"/>
  <c r="S43" i="8"/>
  <c r="U51" i="8"/>
  <c r="S5" i="8"/>
  <c r="Q5" i="8"/>
  <c r="U5" i="8"/>
  <c r="U52" i="8"/>
  <c r="Q52" i="8"/>
  <c r="S52" i="8"/>
  <c r="U24" i="8"/>
  <c r="Q24" i="8"/>
  <c r="S24" i="8"/>
  <c r="Q4" i="8"/>
  <c r="U16" i="8"/>
  <c r="Q16" i="8"/>
  <c r="S16" i="8"/>
  <c r="U18" i="8"/>
  <c r="Q18" i="8"/>
  <c r="S18" i="8"/>
  <c r="U60" i="8"/>
  <c r="U61" i="8"/>
  <c r="Q61" i="8"/>
  <c r="S61" i="8"/>
  <c r="P60" i="8"/>
  <c r="Q28" i="8"/>
  <c r="U28" i="8"/>
  <c r="S38" i="8"/>
  <c r="P18" i="8"/>
  <c r="AE63" i="6"/>
  <c r="Q38" i="8"/>
  <c r="U56" i="8"/>
  <c r="Q56" i="8"/>
  <c r="S56" i="8"/>
  <c r="A2" i="12"/>
  <c r="D33" i="9" s="1"/>
  <c r="D32" i="9"/>
  <c r="D34" i="9"/>
  <c r="B6" i="26" s="1"/>
  <c r="BU67" i="3"/>
  <c r="C26" i="15" s="1"/>
  <c r="AE18" i="6"/>
  <c r="AE67" i="6"/>
  <c r="T63" i="8"/>
  <c r="AD64" i="6"/>
  <c r="AD65" i="6"/>
  <c r="AE52" i="6"/>
  <c r="T53" i="8"/>
  <c r="T58" i="8"/>
  <c r="AD80" i="6"/>
  <c r="BY14" i="3"/>
  <c r="BY9" i="3"/>
  <c r="AH20" i="6"/>
  <c r="R2" i="8"/>
  <c r="E34" i="8" a="1"/>
  <c r="E34" i="8" s="1"/>
  <c r="E33" i="8" a="1"/>
  <c r="E33" i="8" s="1"/>
  <c r="T59" i="8"/>
  <c r="BY49" i="3"/>
  <c r="T46" i="8"/>
  <c r="BY40" i="3"/>
  <c r="T60" i="8"/>
  <c r="BY11" i="3"/>
  <c r="N12" i="21" s="1"/>
  <c r="R50" i="8"/>
  <c r="R47" i="8"/>
  <c r="AE35" i="6"/>
  <c r="AH25" i="6"/>
  <c r="T11" i="8"/>
  <c r="AD52" i="6"/>
  <c r="AH76" i="6"/>
  <c r="AH61" i="6"/>
  <c r="BY35" i="3"/>
  <c r="R19" i="8"/>
  <c r="E17" i="8"/>
  <c r="BY47" i="3"/>
  <c r="B31" i="5"/>
  <c r="B41" i="23" s="1"/>
  <c r="AE80" i="6"/>
  <c r="R13" i="8"/>
  <c r="AH67" i="6"/>
  <c r="AD67" i="6"/>
  <c r="T57" i="8"/>
  <c r="BY60" i="3"/>
  <c r="T66" i="8"/>
  <c r="AD25" i="6"/>
  <c r="AE27" i="6"/>
  <c r="AE20" i="6"/>
  <c r="AD70" i="6"/>
  <c r="R23" i="8"/>
  <c r="R49" i="8"/>
  <c r="T31" i="8"/>
  <c r="R45" i="8"/>
  <c r="R28" i="8"/>
  <c r="BY2" i="3"/>
  <c r="N3" i="21" s="1"/>
  <c r="AD26" i="6"/>
  <c r="E14" i="9" a="1"/>
  <c r="E14" i="9" s="1"/>
  <c r="P37" i="8"/>
  <c r="R37" i="8"/>
  <c r="Q37" i="8"/>
  <c r="U37" i="8"/>
  <c r="T37" i="8"/>
  <c r="S37" i="8"/>
  <c r="B26" i="5"/>
  <c r="B36" i="23" s="1"/>
  <c r="T2" i="8"/>
  <c r="U9" i="8"/>
  <c r="T9" i="8"/>
  <c r="S9" i="8"/>
  <c r="R9" i="8"/>
  <c r="P9" i="8"/>
  <c r="Q9" i="8"/>
  <c r="U62" i="8"/>
  <c r="R62" i="8"/>
  <c r="T62" i="8"/>
  <c r="S62" i="8"/>
  <c r="Q62" i="8"/>
  <c r="E6" i="9" a="1"/>
  <c r="E6" i="9" s="1"/>
  <c r="G7" i="7" a="1"/>
  <c r="G7" i="7" s="1"/>
  <c r="H8" i="24" s="1"/>
  <c r="R8" i="24" s="1"/>
  <c r="AH18" i="6"/>
  <c r="R44" i="8"/>
  <c r="R43" i="8"/>
  <c r="T43" i="8"/>
  <c r="R52" i="8"/>
  <c r="T52" i="8"/>
  <c r="T68" i="8"/>
  <c r="Q68" i="8"/>
  <c r="U68" i="8"/>
  <c r="S68" i="8"/>
  <c r="R68" i="8"/>
  <c r="AD42" i="6"/>
  <c r="BY15" i="3"/>
  <c r="R40" i="8"/>
  <c r="Q40" i="8"/>
  <c r="T40" i="8"/>
  <c r="U40" i="8"/>
  <c r="S40" i="8"/>
  <c r="U29" i="8"/>
  <c r="T29" i="8"/>
  <c r="S29" i="8"/>
  <c r="R29" i="8"/>
  <c r="Q29" i="8"/>
  <c r="R12" i="8"/>
  <c r="T12" i="8"/>
  <c r="U6" i="8"/>
  <c r="T6" i="8"/>
  <c r="S6" i="8"/>
  <c r="R6" i="8"/>
  <c r="Q6" i="8"/>
  <c r="R61" i="8"/>
  <c r="T61" i="8"/>
  <c r="B59" i="5"/>
  <c r="Q67" i="8"/>
  <c r="R67" i="8"/>
  <c r="T67" i="8"/>
  <c r="S67" i="8"/>
  <c r="U67" i="8"/>
  <c r="B43" i="5"/>
  <c r="B47" i="23" s="1"/>
  <c r="U8" i="8"/>
  <c r="Q8" i="8"/>
  <c r="T8" i="8"/>
  <c r="S8" i="8"/>
  <c r="R8" i="8"/>
  <c r="T20" i="8"/>
  <c r="R20" i="8"/>
  <c r="T15" i="8"/>
  <c r="S15" i="8"/>
  <c r="R15" i="8"/>
  <c r="U15" i="8"/>
  <c r="Q15" i="8"/>
  <c r="P15" i="8"/>
  <c r="R42" i="8"/>
  <c r="U48" i="8"/>
  <c r="T48" i="8"/>
  <c r="Q48" i="8"/>
  <c r="S48" i="8"/>
  <c r="R48" i="8"/>
  <c r="BY59" i="3"/>
  <c r="N60" i="21" s="1"/>
  <c r="AD68" i="6"/>
  <c r="T55" i="8"/>
  <c r="R55" i="8"/>
  <c r="S55" i="8"/>
  <c r="U55" i="8"/>
  <c r="Q55" i="8"/>
  <c r="AE19" i="6"/>
  <c r="AH65" i="6"/>
  <c r="AH66" i="6"/>
  <c r="AE40" i="6"/>
  <c r="R18" i="8"/>
  <c r="T18" i="8"/>
  <c r="AH46" i="6"/>
  <c r="C21" i="9"/>
  <c r="T3" i="8"/>
  <c r="S3" i="8"/>
  <c r="R3" i="8"/>
  <c r="Q3" i="8"/>
  <c r="U3" i="8"/>
  <c r="T4" i="8"/>
  <c r="BY12" i="3"/>
  <c r="AE75" i="6"/>
  <c r="AH23" i="6"/>
  <c r="T41" i="8"/>
  <c r="AH26" i="6"/>
  <c r="R56" i="8"/>
  <c r="T56" i="8"/>
  <c r="BY6" i="3"/>
  <c r="T22" i="8"/>
  <c r="T17" i="8"/>
  <c r="T64" i="8"/>
  <c r="P64" i="8"/>
  <c r="R64" i="8"/>
  <c r="S64" i="8"/>
  <c r="Q64" i="8"/>
  <c r="U64" i="8"/>
  <c r="T33" i="8"/>
  <c r="R38" i="8"/>
  <c r="T65" i="8"/>
  <c r="S65" i="8"/>
  <c r="U65" i="8"/>
  <c r="R65" i="8"/>
  <c r="Q65" i="8"/>
  <c r="P65" i="8"/>
  <c r="AH24" i="6"/>
  <c r="AD43" i="6"/>
  <c r="R32" i="8"/>
  <c r="T35" i="8"/>
  <c r="BY4" i="3"/>
  <c r="T51" i="8"/>
  <c r="R16" i="8"/>
  <c r="T16" i="8"/>
  <c r="AH49" i="6"/>
  <c r="AH73" i="6"/>
  <c r="AE64" i="6"/>
  <c r="AE71" i="6"/>
  <c r="AH28" i="6"/>
  <c r="R27" i="8"/>
  <c r="BY51" i="3"/>
  <c r="R21" i="8"/>
  <c r="S21" i="8"/>
  <c r="Q21" i="8"/>
  <c r="U21" i="8"/>
  <c r="T21" i="8"/>
  <c r="AD21" i="6"/>
  <c r="T54" i="8"/>
  <c r="U54" i="8"/>
  <c r="S54" i="8"/>
  <c r="R54" i="8"/>
  <c r="Q54" i="8"/>
  <c r="AH75" i="6"/>
  <c r="R14" i="8"/>
  <c r="P34" i="8"/>
  <c r="S34" i="8"/>
  <c r="R34" i="8"/>
  <c r="Q34" i="8"/>
  <c r="U34" i="8"/>
  <c r="T34" i="8"/>
  <c r="E7" i="7"/>
  <c r="F8" i="24" s="1"/>
  <c r="Q8" i="24" s="1"/>
  <c r="R5" i="8"/>
  <c r="T5" i="8"/>
  <c r="BY62" i="3"/>
  <c r="BY61" i="3"/>
  <c r="AE68" i="6"/>
  <c r="AE70" i="6"/>
  <c r="C13" i="9"/>
  <c r="B14" i="26" s="1"/>
  <c r="H10" i="8" a="1"/>
  <c r="H10" i="8" s="1"/>
  <c r="G9" i="7" a="1"/>
  <c r="G9" i="7" s="1"/>
  <c r="H10" i="24" s="1"/>
  <c r="R10" i="24" s="1"/>
  <c r="H6" i="7"/>
  <c r="I7" i="24" s="1"/>
  <c r="AE37" i="6"/>
  <c r="AH74" i="6"/>
  <c r="BY10" i="3"/>
  <c r="N11" i="21" s="1"/>
  <c r="BY32" i="3"/>
  <c r="BY55" i="3"/>
  <c r="B86" i="5"/>
  <c r="B70" i="5"/>
  <c r="D9" i="7" a="1"/>
  <c r="D9" i="7" s="1"/>
  <c r="E10" i="24" s="1"/>
  <c r="D20" i="9"/>
  <c r="C20" i="26" s="1"/>
  <c r="B78" i="26" s="1"/>
  <c r="E10" i="8"/>
  <c r="D17" i="8"/>
  <c r="I9" i="7" a="1"/>
  <c r="I9" i="7" s="1"/>
  <c r="J10" i="24" s="1"/>
  <c r="D21" i="9"/>
  <c r="D20" i="26" s="1"/>
  <c r="C78" i="26" s="1"/>
  <c r="B35" i="5"/>
  <c r="D6" i="9"/>
  <c r="C12" i="26" s="1"/>
  <c r="AH29" i="6"/>
  <c r="BY57" i="3"/>
  <c r="F10" i="8" a="1"/>
  <c r="F10" i="8" s="1"/>
  <c r="B89" i="5"/>
  <c r="B87" i="5"/>
  <c r="B80" i="5"/>
  <c r="C5" i="9"/>
  <c r="B12" i="26" s="1"/>
  <c r="B6" i="5"/>
  <c r="B13" i="23" s="1"/>
  <c r="F7" i="7" a="1"/>
  <c r="F7" i="7" s="1"/>
  <c r="G8" i="24" s="1"/>
  <c r="E7" i="9" a="1"/>
  <c r="E7" i="9" s="1"/>
  <c r="B16" i="5"/>
  <c r="B24" i="23" s="1"/>
  <c r="C14" i="9"/>
  <c r="D10" i="9"/>
  <c r="C13" i="26" s="1"/>
  <c r="E8" i="8"/>
  <c r="B27" i="5"/>
  <c r="B37" i="23" s="1"/>
  <c r="B68" i="5"/>
  <c r="B11" i="5"/>
  <c r="B18" i="23" s="1"/>
  <c r="H6" i="8" a="1"/>
  <c r="H6" i="8" s="1"/>
  <c r="C26" i="9"/>
  <c r="E11" i="8"/>
  <c r="B53" i="5"/>
  <c r="BY41" i="3"/>
  <c r="N42" i="21" s="1"/>
  <c r="B28" i="5"/>
  <c r="B38" i="23" s="1"/>
  <c r="BY18" i="3"/>
  <c r="AH55" i="6"/>
  <c r="AE65" i="6"/>
  <c r="B37" i="5"/>
  <c r="D6" i="7"/>
  <c r="E7" i="24" s="1"/>
  <c r="G10" i="7" a="1"/>
  <c r="G10" i="7" s="1"/>
  <c r="H11" i="24" s="1"/>
  <c r="R11" i="24" s="1"/>
  <c r="B42" i="5"/>
  <c r="B46" i="23" s="1"/>
  <c r="C15" i="9"/>
  <c r="H9" i="7" a="1"/>
  <c r="H9" i="7" s="1"/>
  <c r="I10" i="24" s="1"/>
  <c r="AE58" i="6"/>
  <c r="B81" i="5"/>
  <c r="B8" i="5"/>
  <c r="B15" i="23" s="1"/>
  <c r="C22" i="9"/>
  <c r="AH32" i="6"/>
  <c r="AH68" i="6"/>
  <c r="B10" i="5"/>
  <c r="B17" i="23" s="1"/>
  <c r="B71" i="5"/>
  <c r="B30" i="5"/>
  <c r="B40" i="23" s="1"/>
  <c r="B57" i="5"/>
  <c r="D24" i="9"/>
  <c r="C21" i="26" s="1"/>
  <c r="B79" i="26" s="1"/>
  <c r="E10" i="9" a="1"/>
  <c r="E10" i="9" s="1"/>
  <c r="BY19" i="3"/>
  <c r="N20" i="21" s="1"/>
  <c r="BY13" i="3"/>
  <c r="AH16" i="6"/>
  <c r="BY54" i="3"/>
  <c r="BY22" i="3"/>
  <c r="AD19" i="6"/>
  <c r="AE45" i="6"/>
  <c r="D25" i="9"/>
  <c r="D21" i="26" s="1"/>
  <c r="C79" i="26" s="1"/>
  <c r="B7" i="5"/>
  <c r="B14" i="23" s="1"/>
  <c r="B58" i="5"/>
  <c r="B2" i="5"/>
  <c r="H10" i="7"/>
  <c r="I11" i="24" s="1"/>
  <c r="B64" i="5"/>
  <c r="D7" i="7"/>
  <c r="E8" i="24" s="1"/>
  <c r="C24" i="9"/>
  <c r="B21" i="26" s="1"/>
  <c r="C9" i="9"/>
  <c r="B13" i="26" s="1"/>
  <c r="H7" i="8" a="1"/>
  <c r="H7" i="8" s="1"/>
  <c r="B72" i="5"/>
  <c r="F10" i="7" a="1"/>
  <c r="F10" i="7" s="1"/>
  <c r="G11" i="24" s="1"/>
  <c r="B63" i="5"/>
  <c r="G11" i="8" a="1"/>
  <c r="G11" i="8" s="1"/>
  <c r="B73" i="5"/>
  <c r="E12" i="8"/>
  <c r="G6" i="7" a="1"/>
  <c r="G6" i="7" s="1"/>
  <c r="H7" i="24" s="1"/>
  <c r="R7" i="24" s="1"/>
  <c r="C32" i="9"/>
  <c r="AG16" i="6"/>
  <c r="B130" i="6" s="1"/>
  <c r="AH69" i="6"/>
  <c r="C33" i="9"/>
  <c r="B36" i="5"/>
  <c r="H9" i="8" a="1"/>
  <c r="H9" i="8" s="1"/>
  <c r="E11" i="9" a="1"/>
  <c r="E11" i="9" s="1"/>
  <c r="D10" i="7"/>
  <c r="E11" i="24" s="1"/>
  <c r="E6" i="7"/>
  <c r="F7" i="24" s="1"/>
  <c r="Q7" i="24" s="1"/>
  <c r="G12" i="8" a="1"/>
  <c r="G12" i="8" s="1"/>
  <c r="F8" i="8"/>
  <c r="B77" i="5"/>
  <c r="AD16" i="6"/>
  <c r="C34" i="9"/>
  <c r="B75" i="5"/>
  <c r="C25" i="9"/>
  <c r="BY33" i="3"/>
  <c r="BY20" i="3"/>
  <c r="AD74" i="6"/>
  <c r="AD73" i="6"/>
  <c r="E9" i="8"/>
  <c r="B45" i="5"/>
  <c r="B49" i="23" s="1"/>
  <c r="B21" i="5"/>
  <c r="B30" i="23" s="1"/>
  <c r="BY65" i="3"/>
  <c r="AH34" i="6"/>
  <c r="BY53" i="3"/>
  <c r="AD20" i="6"/>
  <c r="BY34" i="3"/>
  <c r="B65" i="5"/>
  <c r="D34" i="4"/>
  <c r="G8" i="8" a="1"/>
  <c r="G8" i="8" s="1"/>
  <c r="D10" i="8"/>
  <c r="H7" i="7"/>
  <c r="I8" i="24" s="1"/>
  <c r="B52" i="5"/>
  <c r="C10" i="9"/>
  <c r="F6" i="8" a="1"/>
  <c r="F6" i="8" s="1"/>
  <c r="AE81" i="6"/>
  <c r="BY58" i="3"/>
  <c r="AH48" i="6"/>
  <c r="BY67" i="3"/>
  <c r="C31" i="9"/>
  <c r="F6" i="7" a="1"/>
  <c r="F6" i="7" s="1"/>
  <c r="G7" i="24" s="1"/>
  <c r="B38" i="5"/>
  <c r="B76" i="5"/>
  <c r="B44" i="5"/>
  <c r="B48" i="23" s="1"/>
  <c r="I6" i="7"/>
  <c r="J7" i="24" s="1"/>
  <c r="D8" i="8"/>
  <c r="F9" i="8" a="1"/>
  <c r="F9" i="8" s="1"/>
  <c r="AH27" i="6"/>
  <c r="B9" i="5"/>
  <c r="B16" i="23" s="1"/>
  <c r="AH31" i="6"/>
  <c r="AH72" i="6"/>
  <c r="BY45" i="3"/>
  <c r="BY16" i="3"/>
  <c r="AH54" i="6"/>
  <c r="B15" i="5"/>
  <c r="B23" i="23" s="1"/>
  <c r="D32" i="4"/>
  <c r="B61" i="5"/>
  <c r="B60" i="5"/>
  <c r="D14" i="9"/>
  <c r="C14" i="26" s="1"/>
  <c r="C6" i="9"/>
  <c r="G10" i="8" a="1"/>
  <c r="G10" i="8" s="1"/>
  <c r="B54" i="5"/>
  <c r="B29" i="5"/>
  <c r="B39" i="23" s="1"/>
  <c r="AE38" i="6"/>
  <c r="AH33" i="6"/>
  <c r="AE24" i="6"/>
  <c r="AH36" i="6"/>
  <c r="B85" i="5"/>
  <c r="I10" i="7"/>
  <c r="J11" i="24" s="1"/>
  <c r="AH79" i="6"/>
  <c r="AH47" i="6"/>
  <c r="G9" i="8" a="1"/>
  <c r="G9" i="8" s="1"/>
  <c r="AE61" i="6"/>
  <c r="BY17" i="3"/>
  <c r="N18" i="21" s="1"/>
  <c r="BY46" i="3"/>
  <c r="AD23" i="6"/>
  <c r="BY30" i="3"/>
  <c r="AD31" i="6"/>
  <c r="AH60" i="6"/>
  <c r="BY52" i="3"/>
  <c r="AH44" i="6"/>
  <c r="AH59" i="6"/>
  <c r="AH30" i="6"/>
  <c r="AD78" i="6"/>
  <c r="B62" i="5"/>
  <c r="B74" i="5"/>
  <c r="D9" i="8"/>
  <c r="B90" i="5"/>
  <c r="H8" i="8" a="1"/>
  <c r="H8" i="8" s="1"/>
  <c r="F7" i="8" a="1"/>
  <c r="F7" i="8" s="1"/>
  <c r="AD66" i="6"/>
  <c r="B88" i="5"/>
  <c r="AH71" i="6"/>
  <c r="I7" i="7"/>
  <c r="J8" i="24" s="1"/>
  <c r="AE36" i="6"/>
  <c r="AD76" i="6"/>
  <c r="B20" i="5"/>
  <c r="B29" i="23" s="1"/>
  <c r="C7" i="9"/>
  <c r="C11" i="9"/>
  <c r="AE17" i="6"/>
  <c r="B69" i="5"/>
  <c r="D33" i="4"/>
  <c r="B22" i="5"/>
  <c r="B31" i="23" s="1"/>
  <c r="E15" i="9" a="1"/>
  <c r="E15" i="9" s="1"/>
  <c r="C20" i="9"/>
  <c r="B20" i="26" s="1"/>
  <c r="N27" i="20" l="1"/>
  <c r="T26" i="21"/>
  <c r="S27" i="20"/>
  <c r="O26" i="21"/>
  <c r="R27" i="20"/>
  <c r="N27" i="21"/>
  <c r="R26" i="21"/>
  <c r="M26" i="21"/>
  <c r="Q26" i="21"/>
  <c r="N26" i="20"/>
  <c r="P29" i="8"/>
  <c r="O27" i="20"/>
  <c r="O17" i="24"/>
  <c r="P50" i="8"/>
  <c r="S36" i="21"/>
  <c r="C52" i="9"/>
  <c r="P48" i="8"/>
  <c r="N36" i="21"/>
  <c r="T36" i="21"/>
  <c r="O36" i="21"/>
  <c r="C47" i="9"/>
  <c r="E13" i="18" a="1"/>
  <c r="E13" i="18" s="1"/>
  <c r="C50" i="9"/>
  <c r="C53" i="9"/>
  <c r="P56" i="8"/>
  <c r="C48" i="9"/>
  <c r="M18" i="17"/>
  <c r="C51" i="9"/>
  <c r="E8" i="15" a="1"/>
  <c r="E8" i="15" s="1"/>
  <c r="E46" i="18" a="1"/>
  <c r="E46" i="18" s="1"/>
  <c r="C32" i="18" s="1"/>
  <c r="C49" i="9"/>
  <c r="B54" i="9"/>
  <c r="P61" i="8"/>
  <c r="B16" i="24"/>
  <c r="O15" i="24"/>
  <c r="P33" i="8"/>
  <c r="F4" i="7" a="1"/>
  <c r="F4" i="7" s="1"/>
  <c r="G5" i="24" s="1"/>
  <c r="C13" i="18"/>
  <c r="C10" i="18"/>
  <c r="D51" i="15" a="1"/>
  <c r="D51" i="15" s="1"/>
  <c r="G51" i="15" s="1"/>
  <c r="E38" i="15" s="1"/>
  <c r="B8" i="15" a="1"/>
  <c r="B8" i="15" s="1"/>
  <c r="C9" i="18"/>
  <c r="F16" i="24"/>
  <c r="O19" i="24"/>
  <c r="B32" i="23"/>
  <c r="C16" i="24"/>
  <c r="O16" i="24"/>
  <c r="E16" i="24"/>
  <c r="O18" i="24"/>
  <c r="D8" i="15" a="1"/>
  <c r="D8" i="15" s="1"/>
  <c r="D54" i="17" a="1"/>
  <c r="D54" i="17" s="1"/>
  <c r="G54" i="17" s="1"/>
  <c r="E31" i="17" s="1"/>
  <c r="E52" i="18" a="1"/>
  <c r="E52" i="18" s="1"/>
  <c r="C33" i="18" s="1"/>
  <c r="B50" i="23"/>
  <c r="D74" i="15" a="1"/>
  <c r="D74" i="15" s="1"/>
  <c r="G74" i="15" s="1"/>
  <c r="D7" i="17" a="1"/>
  <c r="D7" i="17" s="1"/>
  <c r="D75" i="15" a="1"/>
  <c r="D75" i="15" s="1"/>
  <c r="G75" i="15" s="1"/>
  <c r="E8" i="18" a="1"/>
  <c r="E8" i="18" s="1"/>
  <c r="D8" i="18" a="1"/>
  <c r="D8" i="18" s="1"/>
  <c r="E64" i="18" a="1"/>
  <c r="E64" i="18" s="1"/>
  <c r="C8" i="18" a="1"/>
  <c r="C8" i="18" s="1"/>
  <c r="E47" i="15" a="1"/>
  <c r="E47" i="15" s="1"/>
  <c r="C34" i="15" s="1"/>
  <c r="C7" i="18"/>
  <c r="E49" i="15" a="1"/>
  <c r="E49" i="15" s="1"/>
  <c r="C36" i="15" s="1"/>
  <c r="B6" i="25" s="1"/>
  <c r="B55" i="25" s="1"/>
  <c r="B25" i="23"/>
  <c r="B42" i="23"/>
  <c r="E74" i="15" a="1"/>
  <c r="E74" i="15" s="1"/>
  <c r="B19" i="23"/>
  <c r="B7" i="17" a="1"/>
  <c r="B7" i="17" s="1"/>
  <c r="E11" i="18" a="1"/>
  <c r="E11" i="18" s="1"/>
  <c r="D11" i="17" a="1"/>
  <c r="D11" i="17" s="1"/>
  <c r="P54" i="8"/>
  <c r="P63" i="8"/>
  <c r="P6" i="8"/>
  <c r="P8" i="8"/>
  <c r="P21" i="8"/>
  <c r="B11" i="17" a="1"/>
  <c r="B11" i="17" s="1"/>
  <c r="P45" i="8"/>
  <c r="E60" i="17" a="1"/>
  <c r="E60" i="17" s="1"/>
  <c r="P57" i="8"/>
  <c r="P67" i="8"/>
  <c r="P66" i="8"/>
  <c r="P43" i="8"/>
  <c r="P40" i="8"/>
  <c r="P62" i="8"/>
  <c r="P24" i="8"/>
  <c r="B8" i="26"/>
  <c r="B30" i="26"/>
  <c r="D55" i="26"/>
  <c r="B100" i="26"/>
  <c r="D98" i="26"/>
  <c r="B57" i="26"/>
  <c r="C98" i="26"/>
  <c r="B56" i="26"/>
  <c r="B55" i="26"/>
  <c r="B98" i="26"/>
  <c r="D57" i="26"/>
  <c r="D100" i="26"/>
  <c r="D56" i="26"/>
  <c r="C100" i="26"/>
  <c r="B7" i="26"/>
  <c r="B5" i="26"/>
  <c r="R15" i="21"/>
  <c r="S15" i="21"/>
  <c r="V15" i="21"/>
  <c r="Q15" i="21"/>
  <c r="P15" i="21"/>
  <c r="O15" i="21"/>
  <c r="T15" i="21"/>
  <c r="N15" i="21"/>
  <c r="M15" i="21"/>
  <c r="P35" i="8"/>
  <c r="M36" i="17"/>
  <c r="D60" i="17" a="1"/>
  <c r="D60" i="17" s="1"/>
  <c r="S62" i="20"/>
  <c r="R62" i="20"/>
  <c r="O62" i="20"/>
  <c r="N62" i="20"/>
  <c r="M62" i="20"/>
  <c r="N13" i="21"/>
  <c r="V13" i="21"/>
  <c r="Q13" i="21"/>
  <c r="T13" i="21"/>
  <c r="S13" i="21"/>
  <c r="R13" i="21"/>
  <c r="P13" i="21"/>
  <c r="O13" i="21"/>
  <c r="M13" i="21"/>
  <c r="M43" i="20"/>
  <c r="R43" i="20"/>
  <c r="N43" i="20"/>
  <c r="O43" i="20"/>
  <c r="S43" i="20"/>
  <c r="O68" i="21"/>
  <c r="Q68" i="21"/>
  <c r="P68" i="21"/>
  <c r="V68" i="21"/>
  <c r="T68" i="21"/>
  <c r="S68" i="21"/>
  <c r="N68" i="21"/>
  <c r="M68" i="21"/>
  <c r="R68" i="21"/>
  <c r="M4" i="17"/>
  <c r="E21" i="17" a="1"/>
  <c r="E21" i="17" s="1"/>
  <c r="Q10" i="21"/>
  <c r="S10" i="21"/>
  <c r="R10" i="21"/>
  <c r="T10" i="21"/>
  <c r="P10" i="21"/>
  <c r="N10" i="21"/>
  <c r="M10" i="21"/>
  <c r="O10" i="21"/>
  <c r="V10" i="21"/>
  <c r="R61" i="21"/>
  <c r="M61" i="21"/>
  <c r="T61" i="21"/>
  <c r="N61" i="21"/>
  <c r="S61" i="21"/>
  <c r="Q61" i="21"/>
  <c r="P61" i="21"/>
  <c r="O61" i="21"/>
  <c r="V61" i="21"/>
  <c r="S35" i="20"/>
  <c r="O35" i="20"/>
  <c r="N35" i="20"/>
  <c r="R35" i="20"/>
  <c r="M35" i="20"/>
  <c r="P55" i="8"/>
  <c r="B10" i="18" a="1"/>
  <c r="B10" i="18" s="1"/>
  <c r="D52" i="18" a="1"/>
  <c r="D52" i="18" s="1"/>
  <c r="T64" i="21"/>
  <c r="S64" i="21"/>
  <c r="R64" i="21"/>
  <c r="Q64" i="21"/>
  <c r="P64" i="21"/>
  <c r="N64" i="21"/>
  <c r="M64" i="21"/>
  <c r="V64" i="21"/>
  <c r="O64" i="21"/>
  <c r="S41" i="20"/>
  <c r="R41" i="20"/>
  <c r="O41" i="20"/>
  <c r="N41" i="20"/>
  <c r="M41" i="20"/>
  <c r="O19" i="20"/>
  <c r="R19" i="20"/>
  <c r="S19" i="20"/>
  <c r="N19" i="20"/>
  <c r="M19" i="20"/>
  <c r="D21" i="17"/>
  <c r="O28" i="21"/>
  <c r="T28" i="21"/>
  <c r="M28" i="21"/>
  <c r="V28" i="21"/>
  <c r="R28" i="21"/>
  <c r="Q28" i="21"/>
  <c r="P28" i="21"/>
  <c r="N28" i="21"/>
  <c r="S28" i="21"/>
  <c r="Q30" i="21"/>
  <c r="P30" i="21"/>
  <c r="N30" i="21"/>
  <c r="M30" i="21"/>
  <c r="O30" i="21"/>
  <c r="V30" i="21"/>
  <c r="T30" i="21"/>
  <c r="S30" i="21"/>
  <c r="R30" i="21"/>
  <c r="T33" i="21"/>
  <c r="S33" i="21"/>
  <c r="N33" i="21"/>
  <c r="M33" i="21"/>
  <c r="R33" i="21"/>
  <c r="V33" i="21"/>
  <c r="P33" i="21"/>
  <c r="O33" i="21"/>
  <c r="Q33" i="21"/>
  <c r="P25" i="21"/>
  <c r="Q25" i="21"/>
  <c r="M25" i="21"/>
  <c r="T25" i="21"/>
  <c r="R25" i="21"/>
  <c r="O25" i="21"/>
  <c r="N25" i="21"/>
  <c r="S25" i="21"/>
  <c r="V25" i="21"/>
  <c r="O34" i="20"/>
  <c r="S34" i="20"/>
  <c r="R34" i="20"/>
  <c r="N34" i="20"/>
  <c r="M34" i="20"/>
  <c r="N10" i="20"/>
  <c r="M10" i="20"/>
  <c r="S10" i="20"/>
  <c r="R10" i="20"/>
  <c r="O10" i="20"/>
  <c r="D72" i="15" a="1"/>
  <c r="D72" i="15" s="1"/>
  <c r="G72" i="15" s="1"/>
  <c r="T29" i="21"/>
  <c r="S29" i="21"/>
  <c r="R29" i="21"/>
  <c r="Q29" i="21"/>
  <c r="O29" i="21"/>
  <c r="N29" i="21"/>
  <c r="M29" i="21"/>
  <c r="V29" i="21"/>
  <c r="P29" i="21"/>
  <c r="O40" i="20"/>
  <c r="N40" i="20"/>
  <c r="M40" i="20"/>
  <c r="S40" i="20"/>
  <c r="R40" i="20"/>
  <c r="P53" i="8"/>
  <c r="P47" i="8"/>
  <c r="B12" i="18" a="1"/>
  <c r="B12" i="18" s="1"/>
  <c r="B11" i="18" a="1"/>
  <c r="B11" i="18" s="1"/>
  <c r="R53" i="21"/>
  <c r="Q53" i="21"/>
  <c r="P53" i="21"/>
  <c r="O53" i="21"/>
  <c r="N53" i="21"/>
  <c r="M53" i="21"/>
  <c r="S53" i="21"/>
  <c r="T53" i="21"/>
  <c r="V53" i="21"/>
  <c r="S55" i="20"/>
  <c r="M55" i="20"/>
  <c r="O55" i="20"/>
  <c r="N55" i="20"/>
  <c r="R55" i="20"/>
  <c r="O31" i="20"/>
  <c r="N31" i="20"/>
  <c r="M31" i="20"/>
  <c r="S31" i="20"/>
  <c r="R31" i="20"/>
  <c r="O9" i="20"/>
  <c r="N9" i="20"/>
  <c r="M9" i="20"/>
  <c r="S9" i="20"/>
  <c r="R9" i="20"/>
  <c r="S51" i="20"/>
  <c r="R51" i="20"/>
  <c r="M51" i="20"/>
  <c r="O51" i="20"/>
  <c r="N51" i="20"/>
  <c r="C7" i="17"/>
  <c r="N57" i="21"/>
  <c r="V57" i="21"/>
  <c r="R57" i="21"/>
  <c r="M57" i="21"/>
  <c r="P57" i="21"/>
  <c r="O57" i="21"/>
  <c r="T57" i="21"/>
  <c r="S57" i="21"/>
  <c r="Q57" i="21"/>
  <c r="V35" i="21"/>
  <c r="P35" i="21"/>
  <c r="T35" i="21"/>
  <c r="S35" i="21"/>
  <c r="R35" i="21"/>
  <c r="Q35" i="21"/>
  <c r="O35" i="21"/>
  <c r="M35" i="21"/>
  <c r="N35" i="21"/>
  <c r="P44" i="8"/>
  <c r="P32" i="8"/>
  <c r="D12" i="18" a="1"/>
  <c r="D12" i="18" s="1"/>
  <c r="E7" i="18" a="1"/>
  <c r="E7" i="18" s="1"/>
  <c r="O64" i="20"/>
  <c r="N64" i="20"/>
  <c r="M64" i="20"/>
  <c r="S64" i="20"/>
  <c r="R64" i="20"/>
  <c r="R41" i="21"/>
  <c r="O41" i="21"/>
  <c r="N41" i="21"/>
  <c r="T41" i="21"/>
  <c r="V41" i="21"/>
  <c r="S41" i="21"/>
  <c r="Q41" i="21"/>
  <c r="P41" i="21"/>
  <c r="M41" i="21"/>
  <c r="N51" i="21"/>
  <c r="M51" i="21"/>
  <c r="P51" i="21"/>
  <c r="T51" i="21"/>
  <c r="V51" i="21"/>
  <c r="R51" i="21"/>
  <c r="S51" i="21"/>
  <c r="Q51" i="21"/>
  <c r="O51" i="21"/>
  <c r="C9" i="17"/>
  <c r="E72" i="15" a="1"/>
  <c r="E72" i="15" s="1"/>
  <c r="T49" i="21"/>
  <c r="V49" i="21"/>
  <c r="P49" i="21"/>
  <c r="O49" i="21"/>
  <c r="N49" i="21"/>
  <c r="M49" i="21"/>
  <c r="S49" i="21"/>
  <c r="R49" i="21"/>
  <c r="Q49" i="21"/>
  <c r="D26" i="15"/>
  <c r="P19" i="8"/>
  <c r="M20" i="17"/>
  <c r="S17" i="20"/>
  <c r="O17" i="20"/>
  <c r="R17" i="20"/>
  <c r="N17" i="20"/>
  <c r="M17" i="20"/>
  <c r="P31" i="8"/>
  <c r="M32" i="17"/>
  <c r="O39" i="20"/>
  <c r="S39" i="20"/>
  <c r="R39" i="20"/>
  <c r="N39" i="20"/>
  <c r="M39" i="20"/>
  <c r="M13" i="20"/>
  <c r="S13" i="20"/>
  <c r="R13" i="20"/>
  <c r="O13" i="20"/>
  <c r="N13" i="20"/>
  <c r="O4" i="20"/>
  <c r="M4" i="20"/>
  <c r="R4" i="20"/>
  <c r="N4" i="20"/>
  <c r="S4" i="20"/>
  <c r="D7" i="18" a="1"/>
  <c r="D7" i="18" s="1"/>
  <c r="R30" i="20"/>
  <c r="M30" i="20"/>
  <c r="O30" i="20"/>
  <c r="N30" i="20"/>
  <c r="S30" i="20"/>
  <c r="P20" i="8"/>
  <c r="M21" i="17"/>
  <c r="N17" i="21"/>
  <c r="T17" i="21"/>
  <c r="R17" i="21"/>
  <c r="Q17" i="21"/>
  <c r="P17" i="21"/>
  <c r="V17" i="21"/>
  <c r="M17" i="21"/>
  <c r="S17" i="21"/>
  <c r="O17" i="21"/>
  <c r="M32" i="21"/>
  <c r="S32" i="21"/>
  <c r="T32" i="21"/>
  <c r="R32" i="21"/>
  <c r="V32" i="21"/>
  <c r="Q32" i="21"/>
  <c r="O32" i="21"/>
  <c r="N32" i="21"/>
  <c r="P32" i="21"/>
  <c r="E54" i="17" a="1"/>
  <c r="E54" i="17" s="1"/>
  <c r="E9" i="17" a="1"/>
  <c r="E9" i="17" s="1"/>
  <c r="D49" i="15" a="1"/>
  <c r="D49" i="15" s="1"/>
  <c r="P23" i="8"/>
  <c r="M24" i="17"/>
  <c r="S56" i="20"/>
  <c r="O56" i="20"/>
  <c r="N56" i="20"/>
  <c r="M56" i="20"/>
  <c r="R56" i="20"/>
  <c r="T69" i="21"/>
  <c r="V69" i="21"/>
  <c r="M69" i="21"/>
  <c r="S69" i="21"/>
  <c r="R69" i="21"/>
  <c r="Q69" i="21"/>
  <c r="P69" i="21"/>
  <c r="O69" i="21"/>
  <c r="N69" i="21"/>
  <c r="D9" i="18" a="1"/>
  <c r="D9" i="18" s="1"/>
  <c r="M60" i="17"/>
  <c r="P59" i="8"/>
  <c r="O4" i="21"/>
  <c r="N4" i="21"/>
  <c r="M4" i="21"/>
  <c r="T4" i="21"/>
  <c r="V4" i="21"/>
  <c r="R4" i="21"/>
  <c r="Q4" i="21"/>
  <c r="P4" i="21"/>
  <c r="S4" i="21"/>
  <c r="P7" i="8"/>
  <c r="M8" i="17"/>
  <c r="D10" i="17" a="1"/>
  <c r="D10" i="17" s="1"/>
  <c r="E10" i="17" a="1"/>
  <c r="E10" i="17" s="1"/>
  <c r="E48" i="15" a="1"/>
  <c r="E48" i="15" s="1"/>
  <c r="Q50" i="21"/>
  <c r="N50" i="21"/>
  <c r="R50" i="21"/>
  <c r="P50" i="21"/>
  <c r="O50" i="21"/>
  <c r="M50" i="21"/>
  <c r="V50" i="21"/>
  <c r="T50" i="21"/>
  <c r="S50" i="21"/>
  <c r="P39" i="21"/>
  <c r="M39" i="21"/>
  <c r="V39" i="21"/>
  <c r="S39" i="21"/>
  <c r="O39" i="21"/>
  <c r="N39" i="21"/>
  <c r="T39" i="21"/>
  <c r="R39" i="21"/>
  <c r="Q39" i="21"/>
  <c r="O59" i="20"/>
  <c r="N59" i="20"/>
  <c r="M59" i="20"/>
  <c r="S59" i="20"/>
  <c r="R59" i="20"/>
  <c r="P13" i="8"/>
  <c r="M14" i="17"/>
  <c r="R46" i="20"/>
  <c r="O46" i="20"/>
  <c r="N46" i="20"/>
  <c r="M46" i="20"/>
  <c r="S46" i="20"/>
  <c r="B13" i="18" a="1"/>
  <c r="B13" i="18" s="1"/>
  <c r="D9" i="17" a="1"/>
  <c r="D9" i="17" s="1"/>
  <c r="R7" i="21"/>
  <c r="M7" i="21"/>
  <c r="S7" i="21"/>
  <c r="N7" i="21"/>
  <c r="T7" i="21"/>
  <c r="V7" i="21"/>
  <c r="Q7" i="21"/>
  <c r="P7" i="21"/>
  <c r="O7" i="21"/>
  <c r="D48" i="15" a="1"/>
  <c r="D48" i="15" s="1"/>
  <c r="S44" i="21"/>
  <c r="R44" i="21"/>
  <c r="Q44" i="21"/>
  <c r="P44" i="21"/>
  <c r="V44" i="21"/>
  <c r="T44" i="21"/>
  <c r="O44" i="21"/>
  <c r="N44" i="21"/>
  <c r="M44" i="21"/>
  <c r="O52" i="20"/>
  <c r="N52" i="20"/>
  <c r="M52" i="20"/>
  <c r="R52" i="20"/>
  <c r="S52" i="20"/>
  <c r="D46" i="15" a="1"/>
  <c r="D46" i="15" s="1"/>
  <c r="S66" i="20"/>
  <c r="R66" i="20"/>
  <c r="O66" i="20"/>
  <c r="N66" i="20"/>
  <c r="M66" i="20"/>
  <c r="D46" i="18" a="1"/>
  <c r="D46" i="18" s="1"/>
  <c r="M38" i="20"/>
  <c r="S38" i="20"/>
  <c r="R38" i="20"/>
  <c r="O38" i="20"/>
  <c r="N38" i="20"/>
  <c r="D23" i="17"/>
  <c r="P51" i="8"/>
  <c r="M52" i="17"/>
  <c r="R21" i="21"/>
  <c r="Q21" i="21"/>
  <c r="P21" i="21"/>
  <c r="S21" i="21"/>
  <c r="O21" i="21"/>
  <c r="N21" i="21"/>
  <c r="M21" i="21"/>
  <c r="T21" i="21"/>
  <c r="V21" i="21"/>
  <c r="P10" i="8"/>
  <c r="M11" i="17"/>
  <c r="F5" i="7" a="1"/>
  <c r="F5" i="7" s="1"/>
  <c r="G6" i="24" s="1"/>
  <c r="E5" i="7"/>
  <c r="F6" i="24" s="1"/>
  <c r="Q6" i="24" s="1"/>
  <c r="M69" i="17"/>
  <c r="E70" i="18" a="1"/>
  <c r="E70" i="18" s="1"/>
  <c r="E9" i="18" a="1"/>
  <c r="E9" i="18" s="1"/>
  <c r="P45" i="21"/>
  <c r="N45" i="21"/>
  <c r="Q45" i="21"/>
  <c r="S45" i="21"/>
  <c r="R45" i="21"/>
  <c r="O45" i="21"/>
  <c r="V45" i="21"/>
  <c r="M45" i="21"/>
  <c r="T45" i="21"/>
  <c r="M63" i="20"/>
  <c r="S63" i="20"/>
  <c r="R63" i="20"/>
  <c r="O63" i="20"/>
  <c r="N63" i="20"/>
  <c r="M68" i="20"/>
  <c r="S68" i="20"/>
  <c r="R68" i="20"/>
  <c r="O68" i="20"/>
  <c r="N68" i="20"/>
  <c r="E11" i="17" a="1"/>
  <c r="E11" i="17" s="1"/>
  <c r="E73" i="15" a="1"/>
  <c r="E73" i="15" s="1"/>
  <c r="O14" i="20"/>
  <c r="S14" i="20"/>
  <c r="R14" i="20"/>
  <c r="N14" i="20"/>
  <c r="M14" i="20"/>
  <c r="S50" i="20"/>
  <c r="R50" i="20"/>
  <c r="N50" i="20"/>
  <c r="M50" i="20"/>
  <c r="O50" i="20"/>
  <c r="V66" i="21"/>
  <c r="M66" i="21"/>
  <c r="R66" i="21"/>
  <c r="Q66" i="21"/>
  <c r="P66" i="21"/>
  <c r="O66" i="21"/>
  <c r="N66" i="21"/>
  <c r="T66" i="21"/>
  <c r="S66" i="21"/>
  <c r="O54" i="20"/>
  <c r="M54" i="20"/>
  <c r="R54" i="20"/>
  <c r="N54" i="20"/>
  <c r="S54" i="20"/>
  <c r="O48" i="21"/>
  <c r="S48" i="21"/>
  <c r="R48" i="21"/>
  <c r="P48" i="21"/>
  <c r="T48" i="21"/>
  <c r="Q48" i="21"/>
  <c r="N48" i="21"/>
  <c r="M48" i="21"/>
  <c r="V48" i="21"/>
  <c r="P49" i="8"/>
  <c r="C12" i="18"/>
  <c r="S25" i="20"/>
  <c r="R25" i="20"/>
  <c r="O25" i="20"/>
  <c r="N25" i="20"/>
  <c r="M25" i="20"/>
  <c r="B10" i="17" a="1"/>
  <c r="B10" i="17" s="1"/>
  <c r="O34" i="21"/>
  <c r="V34" i="21"/>
  <c r="N34" i="21"/>
  <c r="M34" i="21"/>
  <c r="Q34" i="21"/>
  <c r="T34" i="21"/>
  <c r="S34" i="21"/>
  <c r="R34" i="21"/>
  <c r="P34" i="21"/>
  <c r="D58" i="18" a="1"/>
  <c r="D58" i="18" s="1"/>
  <c r="B7" i="18" a="1"/>
  <c r="B7" i="18" s="1"/>
  <c r="E75" i="15" a="1"/>
  <c r="E75" i="15" s="1"/>
  <c r="D6" i="8"/>
  <c r="S68" i="15"/>
  <c r="C83" i="15" s="1" a="1"/>
  <c r="C83" i="15" s="1"/>
  <c r="P38" i="8"/>
  <c r="O44" i="20"/>
  <c r="S44" i="20"/>
  <c r="R44" i="20"/>
  <c r="N44" i="20"/>
  <c r="M44" i="20"/>
  <c r="R47" i="21"/>
  <c r="S47" i="21"/>
  <c r="Q47" i="21"/>
  <c r="P47" i="21"/>
  <c r="O47" i="21"/>
  <c r="N47" i="21"/>
  <c r="T47" i="21"/>
  <c r="M47" i="21"/>
  <c r="V47" i="21"/>
  <c r="P5" i="21"/>
  <c r="V5" i="21"/>
  <c r="S5" i="21"/>
  <c r="T5" i="21"/>
  <c r="R5" i="21"/>
  <c r="Q5" i="21"/>
  <c r="O5" i="21"/>
  <c r="N5" i="21"/>
  <c r="M5" i="21"/>
  <c r="P65" i="21"/>
  <c r="T65" i="21"/>
  <c r="M65" i="21"/>
  <c r="V65" i="21"/>
  <c r="S65" i="21"/>
  <c r="N65" i="21"/>
  <c r="R65" i="21"/>
  <c r="Q65" i="21"/>
  <c r="O65" i="21"/>
  <c r="E46" i="15" a="1"/>
  <c r="E46" i="15" s="1"/>
  <c r="O21" i="20"/>
  <c r="N21" i="20"/>
  <c r="M21" i="20"/>
  <c r="S21" i="20"/>
  <c r="R21" i="20"/>
  <c r="E26" i="15" a="1"/>
  <c r="E26" i="15" s="1"/>
  <c r="M7" i="20"/>
  <c r="N7" i="20"/>
  <c r="O7" i="20"/>
  <c r="R7" i="20"/>
  <c r="S7" i="20"/>
  <c r="E7" i="17" a="1"/>
  <c r="E7" i="17" s="1"/>
  <c r="D48" i="17" a="1"/>
  <c r="D48" i="17" s="1"/>
  <c r="P22" i="8"/>
  <c r="E58" i="18" a="1"/>
  <c r="E58" i="18" s="1"/>
  <c r="M52" i="21"/>
  <c r="S52" i="21"/>
  <c r="R52" i="21"/>
  <c r="T52" i="21"/>
  <c r="P52" i="21"/>
  <c r="O52" i="21"/>
  <c r="N52" i="21"/>
  <c r="Q52" i="21"/>
  <c r="V52" i="21"/>
  <c r="M33" i="20"/>
  <c r="S33" i="20"/>
  <c r="R33" i="20"/>
  <c r="O33" i="20"/>
  <c r="N33" i="20"/>
  <c r="S15" i="20"/>
  <c r="N15" i="20"/>
  <c r="M15" i="20"/>
  <c r="O15" i="20"/>
  <c r="R15" i="20"/>
  <c r="P46" i="8"/>
  <c r="M47" i="17"/>
  <c r="E50" i="15" a="1"/>
  <c r="E50" i="15" s="1"/>
  <c r="S67" i="20"/>
  <c r="M67" i="20"/>
  <c r="R67" i="20"/>
  <c r="O67" i="20"/>
  <c r="N67" i="20"/>
  <c r="D45" i="15" a="1"/>
  <c r="D45" i="15" s="1"/>
  <c r="O29" i="20"/>
  <c r="S29" i="20"/>
  <c r="R29" i="20"/>
  <c r="N29" i="20"/>
  <c r="M29" i="20"/>
  <c r="M48" i="20"/>
  <c r="S48" i="20"/>
  <c r="O48" i="20"/>
  <c r="N48" i="20"/>
  <c r="R48" i="20"/>
  <c r="M23" i="20"/>
  <c r="S23" i="20"/>
  <c r="R23" i="20"/>
  <c r="O23" i="20"/>
  <c r="N23" i="20"/>
  <c r="S5" i="20"/>
  <c r="R5" i="20"/>
  <c r="O5" i="20"/>
  <c r="N5" i="20"/>
  <c r="M5" i="20"/>
  <c r="N16" i="20"/>
  <c r="M16" i="20"/>
  <c r="R16" i="20"/>
  <c r="S16" i="20"/>
  <c r="O16" i="20"/>
  <c r="N22" i="20"/>
  <c r="M22" i="20"/>
  <c r="O22" i="20"/>
  <c r="R22" i="20"/>
  <c r="S22" i="20"/>
  <c r="M58" i="20"/>
  <c r="S58" i="20"/>
  <c r="O58" i="20"/>
  <c r="N58" i="20"/>
  <c r="R58" i="20"/>
  <c r="O14" i="21"/>
  <c r="M14" i="21"/>
  <c r="V14" i="21"/>
  <c r="R14" i="21"/>
  <c r="Q14" i="21"/>
  <c r="P14" i="21"/>
  <c r="T14" i="21"/>
  <c r="S14" i="21"/>
  <c r="N14" i="21"/>
  <c r="M28" i="20"/>
  <c r="S28" i="20"/>
  <c r="O28" i="20"/>
  <c r="N28" i="20"/>
  <c r="R28" i="20"/>
  <c r="T9" i="21"/>
  <c r="N9" i="21"/>
  <c r="M9" i="21"/>
  <c r="S9" i="21"/>
  <c r="R9" i="21"/>
  <c r="Q9" i="21"/>
  <c r="P9" i="21"/>
  <c r="O9" i="21"/>
  <c r="V9" i="21"/>
  <c r="B9" i="18" a="1"/>
  <c r="B9" i="18" s="1"/>
  <c r="D70" i="18" a="1"/>
  <c r="D70" i="18" s="1"/>
  <c r="S65" i="20"/>
  <c r="N65" i="20"/>
  <c r="M65" i="20"/>
  <c r="O65" i="20"/>
  <c r="R65" i="20"/>
  <c r="M24" i="21"/>
  <c r="Q24" i="21"/>
  <c r="P24" i="21"/>
  <c r="O24" i="21"/>
  <c r="N24" i="21"/>
  <c r="V24" i="21"/>
  <c r="T24" i="21"/>
  <c r="S24" i="21"/>
  <c r="R24" i="21"/>
  <c r="M6" i="21"/>
  <c r="S6" i="21"/>
  <c r="R6" i="21"/>
  <c r="T6" i="21"/>
  <c r="Q6" i="21"/>
  <c r="V6" i="21"/>
  <c r="P6" i="21"/>
  <c r="O6" i="21"/>
  <c r="N6" i="21"/>
  <c r="N55" i="21"/>
  <c r="T55" i="21"/>
  <c r="S55" i="21"/>
  <c r="R55" i="21"/>
  <c r="Q55" i="21"/>
  <c r="P55" i="21"/>
  <c r="O55" i="21"/>
  <c r="M55" i="21"/>
  <c r="V55" i="21"/>
  <c r="N63" i="21"/>
  <c r="T63" i="21"/>
  <c r="Q63" i="21"/>
  <c r="P63" i="21"/>
  <c r="S63" i="21"/>
  <c r="R63" i="21"/>
  <c r="O63" i="21"/>
  <c r="M63" i="21"/>
  <c r="V63" i="21"/>
  <c r="P42" i="8"/>
  <c r="M43" i="17"/>
  <c r="P3" i="8"/>
  <c r="D11" i="18" a="1"/>
  <c r="D11" i="18" s="1"/>
  <c r="D10" i="18" a="1"/>
  <c r="D10" i="18" s="1"/>
  <c r="D76" i="18" a="1"/>
  <c r="D76" i="18" s="1"/>
  <c r="C11" i="18"/>
  <c r="S45" i="20"/>
  <c r="R45" i="20"/>
  <c r="O45" i="20"/>
  <c r="N45" i="20"/>
  <c r="M45" i="20"/>
  <c r="P4" i="8"/>
  <c r="C62" i="9"/>
  <c r="E12" i="18" a="1"/>
  <c r="E12" i="18" s="1"/>
  <c r="O69" i="20"/>
  <c r="R69" i="20"/>
  <c r="S69" i="20"/>
  <c r="N69" i="20"/>
  <c r="M69" i="20"/>
  <c r="C8" i="15"/>
  <c r="O47" i="20"/>
  <c r="S47" i="20"/>
  <c r="M47" i="20"/>
  <c r="R47" i="20"/>
  <c r="N47" i="20"/>
  <c r="V22" i="21"/>
  <c r="O22" i="21"/>
  <c r="Q22" i="21"/>
  <c r="P22" i="21"/>
  <c r="N22" i="21"/>
  <c r="R22" i="21"/>
  <c r="M22" i="21"/>
  <c r="T22" i="21"/>
  <c r="S22" i="21"/>
  <c r="C21" i="17"/>
  <c r="M32" i="20"/>
  <c r="S32" i="20"/>
  <c r="R32" i="20"/>
  <c r="O32" i="20"/>
  <c r="N32" i="20"/>
  <c r="B9" i="17" a="1"/>
  <c r="B9" i="17" s="1"/>
  <c r="D50" i="15" a="1"/>
  <c r="D50" i="15" s="1"/>
  <c r="R67" i="21"/>
  <c r="P67" i="21"/>
  <c r="T67" i="21"/>
  <c r="V67" i="21"/>
  <c r="S67" i="21"/>
  <c r="Q67" i="21"/>
  <c r="O67" i="21"/>
  <c r="N67" i="21"/>
  <c r="M67" i="21"/>
  <c r="M61" i="20"/>
  <c r="S61" i="20"/>
  <c r="N61" i="20"/>
  <c r="R61" i="20"/>
  <c r="O61" i="20"/>
  <c r="P26" i="8"/>
  <c r="M27" i="17"/>
  <c r="D64" i="18" a="1"/>
  <c r="D64" i="18" s="1"/>
  <c r="N23" i="21"/>
  <c r="T23" i="21"/>
  <c r="V23" i="21"/>
  <c r="R23" i="21"/>
  <c r="S23" i="21"/>
  <c r="Q23" i="21"/>
  <c r="P23" i="21"/>
  <c r="O23" i="21"/>
  <c r="M23" i="21"/>
  <c r="Q62" i="21"/>
  <c r="N62" i="21"/>
  <c r="M62" i="21"/>
  <c r="T62" i="21"/>
  <c r="S62" i="21"/>
  <c r="R62" i="21"/>
  <c r="P62" i="21"/>
  <c r="O62" i="21"/>
  <c r="V62" i="21"/>
  <c r="M53" i="20"/>
  <c r="N53" i="20"/>
  <c r="O53" i="20"/>
  <c r="S53" i="20"/>
  <c r="R53" i="20"/>
  <c r="P31" i="21"/>
  <c r="O31" i="21"/>
  <c r="V31" i="21"/>
  <c r="T31" i="21"/>
  <c r="S31" i="21"/>
  <c r="R31" i="21"/>
  <c r="Q31" i="21"/>
  <c r="N31" i="21"/>
  <c r="M31" i="21"/>
  <c r="C10" i="17"/>
  <c r="D47" i="15" a="1"/>
  <c r="D47" i="15" s="1"/>
  <c r="B8" i="18" a="1"/>
  <c r="B8" i="18" s="1"/>
  <c r="Q56" i="21"/>
  <c r="M56" i="21"/>
  <c r="V56" i="21"/>
  <c r="P56" i="21"/>
  <c r="O56" i="21"/>
  <c r="N56" i="21"/>
  <c r="S56" i="21"/>
  <c r="R56" i="21"/>
  <c r="T56" i="21"/>
  <c r="O24" i="20"/>
  <c r="M24" i="20"/>
  <c r="N24" i="20"/>
  <c r="S24" i="20"/>
  <c r="R24" i="20"/>
  <c r="O6" i="20"/>
  <c r="M6" i="20"/>
  <c r="S6" i="20"/>
  <c r="N6" i="20"/>
  <c r="R6" i="20"/>
  <c r="V19" i="21"/>
  <c r="P19" i="21"/>
  <c r="M19" i="21"/>
  <c r="Q19" i="21"/>
  <c r="T19" i="21"/>
  <c r="S19" i="21"/>
  <c r="R19" i="21"/>
  <c r="O19" i="21"/>
  <c r="N19" i="21"/>
  <c r="C11" i="17"/>
  <c r="D73" i="15" a="1"/>
  <c r="D73" i="15" s="1"/>
  <c r="G73" i="15" s="1"/>
  <c r="O49" i="20"/>
  <c r="M49" i="20"/>
  <c r="S49" i="20"/>
  <c r="R49" i="20"/>
  <c r="N49" i="20"/>
  <c r="O54" i="21"/>
  <c r="N54" i="21"/>
  <c r="Q54" i="21"/>
  <c r="P54" i="21"/>
  <c r="M54" i="21"/>
  <c r="T54" i="21"/>
  <c r="V54" i="21"/>
  <c r="S54" i="21"/>
  <c r="R54" i="21"/>
  <c r="P5" i="8"/>
  <c r="M6" i="17"/>
  <c r="V46" i="21"/>
  <c r="M46" i="21"/>
  <c r="O46" i="21"/>
  <c r="N46" i="21"/>
  <c r="T46" i="21"/>
  <c r="S46" i="21"/>
  <c r="R46" i="21"/>
  <c r="Q46" i="21"/>
  <c r="P46" i="21"/>
  <c r="E48" i="17" a="1"/>
  <c r="E48" i="17" s="1"/>
  <c r="E51" i="15" a="1"/>
  <c r="E51" i="15" s="1"/>
  <c r="M26" i="17"/>
  <c r="P25" i="8"/>
  <c r="P59" i="21"/>
  <c r="O59" i="21"/>
  <c r="N59" i="21"/>
  <c r="M59" i="21"/>
  <c r="R59" i="21"/>
  <c r="Q59" i="21"/>
  <c r="V59" i="21"/>
  <c r="T59" i="21"/>
  <c r="S59" i="21"/>
  <c r="D13" i="18" a="1"/>
  <c r="D13" i="18" s="1"/>
  <c r="E10" i="18" a="1"/>
  <c r="E10" i="18" s="1"/>
  <c r="S38" i="21"/>
  <c r="T38" i="21"/>
  <c r="R38" i="21"/>
  <c r="Q38" i="21"/>
  <c r="P38" i="21"/>
  <c r="V38" i="21"/>
  <c r="O38" i="21"/>
  <c r="N38" i="21"/>
  <c r="M38" i="21"/>
  <c r="Q16" i="21"/>
  <c r="R16" i="21"/>
  <c r="P16" i="21"/>
  <c r="V16" i="21"/>
  <c r="O16" i="21"/>
  <c r="N16" i="21"/>
  <c r="T16" i="21"/>
  <c r="S16" i="21"/>
  <c r="M16" i="21"/>
  <c r="P28" i="8"/>
  <c r="E76" i="18" a="1"/>
  <c r="E76" i="18" s="1"/>
  <c r="E45" i="15" a="1"/>
  <c r="E45" i="15" s="1"/>
  <c r="N43" i="21"/>
  <c r="T43" i="21"/>
  <c r="S43" i="21"/>
  <c r="R43" i="21"/>
  <c r="V43" i="21"/>
  <c r="M43" i="21"/>
  <c r="Q43" i="21"/>
  <c r="P43" i="21"/>
  <c r="O43" i="21"/>
  <c r="D22" i="17"/>
  <c r="C23" i="17"/>
  <c r="S58" i="21"/>
  <c r="Q58" i="21"/>
  <c r="P58" i="21"/>
  <c r="T58" i="21"/>
  <c r="R58" i="21"/>
  <c r="O58" i="21"/>
  <c r="N58" i="21"/>
  <c r="M58" i="21"/>
  <c r="V58" i="21"/>
  <c r="R57" i="20"/>
  <c r="O57" i="20"/>
  <c r="N57" i="20"/>
  <c r="M57" i="20"/>
  <c r="S57" i="20"/>
  <c r="V40" i="21"/>
  <c r="O40" i="21"/>
  <c r="S40" i="21"/>
  <c r="R40" i="21"/>
  <c r="Q40" i="21"/>
  <c r="T40" i="21"/>
  <c r="N40" i="21"/>
  <c r="P40" i="21"/>
  <c r="M40" i="21"/>
  <c r="C22" i="17"/>
  <c r="I4" i="7"/>
  <c r="J5" i="24" s="1"/>
  <c r="H4" i="7"/>
  <c r="I5" i="24" s="1"/>
  <c r="C41" i="9"/>
  <c r="C29" i="26" s="1"/>
  <c r="E4" i="7"/>
  <c r="F5" i="24" s="1"/>
  <c r="Q5" i="24" s="1"/>
  <c r="G4" i="7" a="1"/>
  <c r="G4" i="7" s="1"/>
  <c r="H5" i="24" s="1"/>
  <c r="R5" i="24" s="1"/>
  <c r="D4" i="7"/>
  <c r="E5" i="24" s="1"/>
  <c r="E6" i="8"/>
  <c r="G6" i="8" a="1"/>
  <c r="G6" i="8" s="1"/>
  <c r="B42" i="9"/>
  <c r="C39" i="9"/>
  <c r="C27" i="26" s="1"/>
  <c r="C40" i="9"/>
  <c r="C28" i="26" s="1"/>
  <c r="E31" i="8" a="1"/>
  <c r="E31" i="8" s="1"/>
  <c r="E35" i="8" a="1"/>
  <c r="E35" i="8" s="1"/>
  <c r="C26" i="8" s="1"/>
  <c r="E32" i="8" a="1"/>
  <c r="E32" i="8" s="1"/>
  <c r="F32" i="8" s="1"/>
  <c r="G32" i="8" s="1"/>
  <c r="C15" i="5"/>
  <c r="E36" i="8" a="1"/>
  <c r="E36" i="8" s="1"/>
  <c r="P68" i="8"/>
  <c r="D9" i="9"/>
  <c r="E13" i="26" s="1"/>
  <c r="C35" i="5"/>
  <c r="D35" i="5" s="1"/>
  <c r="C68" i="5"/>
  <c r="D68" i="5" s="1"/>
  <c r="C27" i="5"/>
  <c r="C90" i="5"/>
  <c r="D90" i="5" s="1"/>
  <c r="C85" i="5"/>
  <c r="D85" i="5" s="1"/>
  <c r="C36" i="5"/>
  <c r="D36" i="5" s="1"/>
  <c r="C58" i="5"/>
  <c r="D58" i="5" s="1"/>
  <c r="C45" i="5"/>
  <c r="C7" i="5"/>
  <c r="C74" i="5"/>
  <c r="D74" i="5" s="1"/>
  <c r="C42" i="5"/>
  <c r="C62" i="5"/>
  <c r="D62" i="5" s="1"/>
  <c r="C69" i="5"/>
  <c r="D69" i="5" s="1"/>
  <c r="C70" i="5"/>
  <c r="D70" i="5" s="1"/>
  <c r="C86" i="5"/>
  <c r="D86" i="5" s="1"/>
  <c r="C65" i="5"/>
  <c r="D65" i="5" s="1"/>
  <c r="C72" i="5"/>
  <c r="D72" i="5" s="1"/>
  <c r="C29" i="5"/>
  <c r="C54" i="5"/>
  <c r="D54" i="5" s="1"/>
  <c r="B11" i="4"/>
  <c r="C84" i="5"/>
  <c r="D84" i="5" s="1"/>
  <c r="D26" i="9"/>
  <c r="E21" i="26" s="1"/>
  <c r="D79" i="26" s="1"/>
  <c r="C8" i="5"/>
  <c r="D13" i="9"/>
  <c r="E14" i="26" s="1"/>
  <c r="C81" i="5"/>
  <c r="D81" i="5" s="1"/>
  <c r="C9" i="5"/>
  <c r="C52" i="5"/>
  <c r="D52" i="5" s="1"/>
  <c r="C22" i="5"/>
  <c r="C73" i="5"/>
  <c r="D73" i="5" s="1"/>
  <c r="F12" i="8"/>
  <c r="C77" i="5"/>
  <c r="D77" i="5" s="1"/>
  <c r="C57" i="5"/>
  <c r="D57" i="5" s="1"/>
  <c r="C80" i="5"/>
  <c r="D80" i="5" s="1"/>
  <c r="C44" i="5"/>
  <c r="D5" i="9"/>
  <c r="E12" i="26" s="1"/>
  <c r="C87" i="5"/>
  <c r="D87" i="5" s="1"/>
  <c r="F8" i="7" a="1"/>
  <c r="F8" i="7" s="1"/>
  <c r="G9" i="24" s="1"/>
  <c r="C20" i="5"/>
  <c r="C76" i="5"/>
  <c r="D76" i="5" s="1"/>
  <c r="C30" i="5"/>
  <c r="C28" i="5"/>
  <c r="C89" i="5"/>
  <c r="D89" i="5" s="1"/>
  <c r="C60" i="5"/>
  <c r="D60" i="5" s="1"/>
  <c r="C38" i="5"/>
  <c r="D38" i="5" s="1"/>
  <c r="C71" i="5"/>
  <c r="D71" i="5" s="1"/>
  <c r="C88" i="5"/>
  <c r="D88" i="5" s="1"/>
  <c r="C21" i="5"/>
  <c r="C75" i="5"/>
  <c r="D75" i="5" s="1"/>
  <c r="C16" i="5"/>
  <c r="C61" i="5"/>
  <c r="D61" i="5" s="1"/>
  <c r="C64" i="5"/>
  <c r="D64" i="5" s="1"/>
  <c r="C53" i="5"/>
  <c r="D53" i="5" s="1"/>
  <c r="F33" i="8"/>
  <c r="G33" i="8" s="1"/>
  <c r="C23" i="8"/>
  <c r="C24" i="8"/>
  <c r="F34" i="8"/>
  <c r="G34" i="8" s="1"/>
  <c r="C8" i="6"/>
  <c r="B126" i="6"/>
  <c r="D8" i="6" s="1"/>
  <c r="I5" i="7"/>
  <c r="J6" i="24" s="1"/>
  <c r="B106" i="6"/>
  <c r="B108" i="6" s="1"/>
  <c r="B109" i="6" s="1"/>
  <c r="D11" i="8"/>
  <c r="E8" i="7"/>
  <c r="F9" i="24" s="1"/>
  <c r="Q9" i="24" s="1"/>
  <c r="G5" i="7" a="1"/>
  <c r="G5" i="7" s="1"/>
  <c r="H6" i="24" s="1"/>
  <c r="R6" i="24" s="1"/>
  <c r="C63" i="5"/>
  <c r="D63" i="5" s="1"/>
  <c r="D12" i="8"/>
  <c r="E5" i="9" a="1"/>
  <c r="E5" i="9" s="1"/>
  <c r="H12" i="8" a="1"/>
  <c r="H12" i="8" s="1"/>
  <c r="E7" i="8"/>
  <c r="C37" i="5"/>
  <c r="D37" i="5" s="1"/>
  <c r="C59" i="5"/>
  <c r="D59" i="5" s="1"/>
  <c r="D7" i="8"/>
  <c r="C31" i="5"/>
  <c r="H11" i="8" a="1"/>
  <c r="H11" i="8" s="1"/>
  <c r="H8" i="7"/>
  <c r="I9" i="24" s="1"/>
  <c r="G7" i="8" a="1"/>
  <c r="G7" i="8" s="1"/>
  <c r="C10" i="5"/>
  <c r="C6" i="5"/>
  <c r="H5" i="7"/>
  <c r="I6" i="24" s="1"/>
  <c r="E13" i="9" a="1"/>
  <c r="E13" i="9" s="1"/>
  <c r="F11" i="8"/>
  <c r="D8" i="7"/>
  <c r="E9" i="24" s="1"/>
  <c r="B114" i="6"/>
  <c r="B116" i="6" s="1"/>
  <c r="B117" i="6" s="1"/>
  <c r="E9" i="9" a="1"/>
  <c r="E9" i="9" s="1"/>
  <c r="G8" i="7" a="1"/>
  <c r="G8" i="7" s="1"/>
  <c r="H9" i="24" s="1"/>
  <c r="R9" i="24" s="1"/>
  <c r="D22" i="9"/>
  <c r="E20" i="26" s="1"/>
  <c r="D78" i="26" s="1"/>
  <c r="B132" i="6"/>
  <c r="B133" i="6" s="1"/>
  <c r="I8" i="7"/>
  <c r="J9" i="24" s="1"/>
  <c r="D5" i="7"/>
  <c r="E6" i="24" s="1"/>
  <c r="C43" i="5"/>
  <c r="B138" i="6"/>
  <c r="B140" i="6" s="1"/>
  <c r="B141" i="6" s="1"/>
  <c r="C26" i="5"/>
  <c r="C11" i="5"/>
  <c r="C54" i="9" l="1"/>
  <c r="F75" i="15"/>
  <c r="H75" i="15" s="1"/>
  <c r="I75" i="15" s="1"/>
  <c r="F74" i="15"/>
  <c r="H74" i="15" s="1"/>
  <c r="I74" i="15" s="1"/>
  <c r="B38" i="15"/>
  <c r="E34" i="20" a="1"/>
  <c r="E34" i="20" s="1"/>
  <c r="B43" i="1" s="1"/>
  <c r="D19" i="21" a="1"/>
  <c r="D19" i="21" s="1"/>
  <c r="A34" i="25" s="1"/>
  <c r="F49" i="15"/>
  <c r="D36" i="15" s="1"/>
  <c r="C6" i="25" s="1"/>
  <c r="B8" i="20" a="1"/>
  <c r="B8" i="20" s="1"/>
  <c r="B31" i="17"/>
  <c r="B7" i="20" a="1"/>
  <c r="B7" i="20" s="1"/>
  <c r="F52" i="18"/>
  <c r="D33" i="18" s="1"/>
  <c r="C21" i="25" s="1"/>
  <c r="E7" i="21" a="1"/>
  <c r="E7" i="21" s="1"/>
  <c r="E19" i="21" a="1"/>
  <c r="E19" i="21" s="1"/>
  <c r="B34" i="25" s="1"/>
  <c r="B60" i="25" s="1"/>
  <c r="C7" i="21" a="1"/>
  <c r="C7" i="21" s="1"/>
  <c r="E9" i="21" a="1"/>
  <c r="E9" i="21" s="1"/>
  <c r="E10" i="21" a="1"/>
  <c r="E10" i="21" s="1"/>
  <c r="E27" i="21" a="1"/>
  <c r="E27" i="21" s="1"/>
  <c r="B48" i="1" s="1"/>
  <c r="D84" i="15" a="1"/>
  <c r="D84" i="15" s="1"/>
  <c r="B9" i="20" a="1"/>
  <c r="B9" i="20" s="1"/>
  <c r="B11" i="21" a="1"/>
  <c r="B11" i="21" s="1"/>
  <c r="D12" i="21" a="1"/>
  <c r="D12" i="21" s="1"/>
  <c r="D27" i="5"/>
  <c r="C37" i="23"/>
  <c r="D10" i="5"/>
  <c r="C17" i="23"/>
  <c r="C7" i="10"/>
  <c r="C45" i="25"/>
  <c r="D44" i="5"/>
  <c r="C48" i="23"/>
  <c r="D11" i="5"/>
  <c r="C18" i="23"/>
  <c r="D31" i="5"/>
  <c r="C41" i="23"/>
  <c r="D26" i="5"/>
  <c r="C36" i="23"/>
  <c r="D42" i="5"/>
  <c r="C46" i="23"/>
  <c r="D15" i="5"/>
  <c r="C23" i="23"/>
  <c r="D8" i="5"/>
  <c r="C15" i="23"/>
  <c r="D29" i="5"/>
  <c r="C39" i="23"/>
  <c r="D43" i="5"/>
  <c r="C47" i="23"/>
  <c r="D16" i="5"/>
  <c r="C24" i="23"/>
  <c r="D7" i="5"/>
  <c r="C14" i="23"/>
  <c r="D30" i="21" a="1"/>
  <c r="D30" i="21" s="1"/>
  <c r="G30" i="21" s="1"/>
  <c r="D45" i="5"/>
  <c r="C49" i="23"/>
  <c r="D30" i="5"/>
  <c r="C40" i="23"/>
  <c r="E20" i="21" a="1"/>
  <c r="E20" i="21" s="1"/>
  <c r="C10" i="10"/>
  <c r="C48" i="25"/>
  <c r="F47" i="15"/>
  <c r="D11" i="21" a="1"/>
  <c r="D11" i="21" s="1"/>
  <c r="D28" i="5"/>
  <c r="C38" i="23"/>
  <c r="D9" i="5"/>
  <c r="C16" i="23"/>
  <c r="D6" i="5"/>
  <c r="C13" i="23"/>
  <c r="D27" i="21" a="1"/>
  <c r="D27" i="21" s="1"/>
  <c r="G27" i="21" s="1"/>
  <c r="C10" i="21" a="1"/>
  <c r="C10" i="21" s="1"/>
  <c r="E35" i="20" a="1"/>
  <c r="E35" i="20" s="1"/>
  <c r="B44" i="1" s="1"/>
  <c r="D29" i="21" a="1"/>
  <c r="D29" i="21" s="1"/>
  <c r="G29" i="21" s="1"/>
  <c r="E36" i="20" a="1"/>
  <c r="E36" i="20" s="1"/>
  <c r="D35" i="20" a="1"/>
  <c r="D35" i="20" s="1"/>
  <c r="C8" i="10"/>
  <c r="C46" i="25"/>
  <c r="C38" i="15"/>
  <c r="B40" i="1"/>
  <c r="E29" i="21" a="1"/>
  <c r="E29" i="21" s="1"/>
  <c r="B50" i="1" s="1"/>
  <c r="D22" i="5"/>
  <c r="C31" i="23"/>
  <c r="D21" i="5"/>
  <c r="C30" i="23"/>
  <c r="D20" i="5"/>
  <c r="C29" i="23"/>
  <c r="C8" i="17"/>
  <c r="E42" i="17" a="1"/>
  <c r="E42" i="17" s="1"/>
  <c r="C29" i="17" s="1"/>
  <c r="C56" i="26"/>
  <c r="C99" i="26"/>
  <c r="D62" i="9"/>
  <c r="C34" i="26"/>
  <c r="C57" i="26"/>
  <c r="D99" i="26"/>
  <c r="C55" i="26"/>
  <c r="B99" i="26"/>
  <c r="B21" i="25"/>
  <c r="B58" i="25" s="1"/>
  <c r="C33" i="1"/>
  <c r="C32" i="1"/>
  <c r="B16" i="25"/>
  <c r="B57" i="25" s="1"/>
  <c r="D17" i="7"/>
  <c r="F17" i="7" s="1"/>
  <c r="K7" i="24"/>
  <c r="F73" i="15"/>
  <c r="H73" i="15" s="1"/>
  <c r="I73" i="15" s="1"/>
  <c r="F72" i="15"/>
  <c r="H72" i="15" s="1"/>
  <c r="I72" i="15" s="1"/>
  <c r="D8" i="21" a="1"/>
  <c r="D8" i="21" s="1"/>
  <c r="C35" i="15"/>
  <c r="B33" i="15"/>
  <c r="G46" i="15"/>
  <c r="E33" i="15" s="1"/>
  <c r="C31" i="17"/>
  <c r="B41" i="1" s="1"/>
  <c r="F54" i="17"/>
  <c r="H54" i="17" s="1"/>
  <c r="E8" i="21" a="1"/>
  <c r="E8" i="21" s="1"/>
  <c r="C12" i="21" a="1"/>
  <c r="C12" i="21" s="1"/>
  <c r="C37" i="15"/>
  <c r="F50" i="15"/>
  <c r="D8" i="17" a="1"/>
  <c r="D8" i="17" s="1"/>
  <c r="G70" i="18"/>
  <c r="E36" i="18" s="1"/>
  <c r="B36" i="18"/>
  <c r="C33" i="15"/>
  <c r="F46" i="15"/>
  <c r="G60" i="17"/>
  <c r="E32" i="17" s="1"/>
  <c r="B32" i="17"/>
  <c r="F83" i="15"/>
  <c r="B11" i="20" a="1"/>
  <c r="B11" i="20" s="1"/>
  <c r="C11" i="21" a="1"/>
  <c r="C11" i="21" s="1"/>
  <c r="D36" i="20" a="1"/>
  <c r="D36" i="20" s="1"/>
  <c r="C84" i="15" a="1"/>
  <c r="C84" i="15" s="1"/>
  <c r="D34" i="20" a="1"/>
  <c r="D34" i="20" s="1"/>
  <c r="D42" i="17" a="1"/>
  <c r="D42" i="17" s="1"/>
  <c r="B8" i="17" a="1"/>
  <c r="B8" i="17" s="1"/>
  <c r="F51" i="15"/>
  <c r="B33" i="18"/>
  <c r="A21" i="25" s="1"/>
  <c r="G52" i="18"/>
  <c r="E33" i="18" s="1"/>
  <c r="D21" i="25" s="1"/>
  <c r="C32" i="17"/>
  <c r="F60" i="17"/>
  <c r="D20" i="21" a="1"/>
  <c r="D20" i="21" s="1"/>
  <c r="A39" i="25" s="1"/>
  <c r="B35" i="18"/>
  <c r="G64" i="18"/>
  <c r="E35" i="18" s="1"/>
  <c r="B32" i="18"/>
  <c r="A16" i="25" s="1"/>
  <c r="G46" i="18"/>
  <c r="E32" i="18" s="1"/>
  <c r="D16" i="25" s="1"/>
  <c r="B12" i="21" a="1"/>
  <c r="B12" i="21" s="1"/>
  <c r="E12" i="21" a="1"/>
  <c r="E12" i="21" s="1"/>
  <c r="E11" i="21" a="1"/>
  <c r="E11" i="21" s="1"/>
  <c r="F64" i="18"/>
  <c r="C35" i="18"/>
  <c r="B34" i="18"/>
  <c r="G58" i="18"/>
  <c r="E34" i="18" s="1"/>
  <c r="C30" i="17"/>
  <c r="F48" i="17"/>
  <c r="B32" i="15"/>
  <c r="G45" i="15"/>
  <c r="E32" i="15" s="1"/>
  <c r="C36" i="18"/>
  <c r="F70" i="18"/>
  <c r="D28" i="21" a="1"/>
  <c r="D28" i="21" s="1"/>
  <c r="D82" i="15" a="1"/>
  <c r="D82" i="15" s="1"/>
  <c r="B34" i="15"/>
  <c r="G47" i="15"/>
  <c r="E34" i="15" s="1"/>
  <c r="B10" i="20" a="1"/>
  <c r="B10" i="20" s="1"/>
  <c r="B9" i="21" a="1"/>
  <c r="B9" i="21" s="1"/>
  <c r="E28" i="21" a="1"/>
  <c r="E28" i="21" s="1"/>
  <c r="B49" i="1" s="1"/>
  <c r="D7" i="21" a="1"/>
  <c r="D7" i="21" s="1"/>
  <c r="E30" i="21" a="1"/>
  <c r="E30" i="21" s="1"/>
  <c r="B51" i="1" s="1"/>
  <c r="B37" i="15"/>
  <c r="G50" i="15"/>
  <c r="E37" i="15" s="1"/>
  <c r="B10" i="21" a="1"/>
  <c r="B10" i="21" s="1"/>
  <c r="B7" i="21" a="1"/>
  <c r="B7" i="21" s="1"/>
  <c r="F45" i="15"/>
  <c r="C32" i="15"/>
  <c r="D10" i="21" a="1"/>
  <c r="D10" i="21" s="1"/>
  <c r="F46" i="18"/>
  <c r="C37" i="18"/>
  <c r="B42" i="1" s="1"/>
  <c r="F76" i="18"/>
  <c r="B37" i="18"/>
  <c r="G76" i="18"/>
  <c r="E37" i="18" s="1"/>
  <c r="D9" i="21" a="1"/>
  <c r="D9" i="21" s="1"/>
  <c r="C9" i="21" a="1"/>
  <c r="C9" i="21" s="1"/>
  <c r="F48" i="15"/>
  <c r="G48" i="15"/>
  <c r="E35" i="15" s="1"/>
  <c r="B35" i="15"/>
  <c r="C82" i="15" a="1"/>
  <c r="C82" i="15" s="1"/>
  <c r="C34" i="18"/>
  <c r="F58" i="18"/>
  <c r="D83" i="15" a="1"/>
  <c r="D83" i="15" s="1"/>
  <c r="E83" i="15" s="1"/>
  <c r="B30" i="17"/>
  <c r="G48" i="17"/>
  <c r="E30" i="17" s="1"/>
  <c r="B8" i="21" a="1"/>
  <c r="B8" i="21" s="1"/>
  <c r="C8" i="21" a="1"/>
  <c r="C8" i="21" s="1"/>
  <c r="E8" i="17" a="1"/>
  <c r="E8" i="17" s="1"/>
  <c r="B36" i="15"/>
  <c r="A6" i="25" s="1"/>
  <c r="G49" i="15"/>
  <c r="E36" i="15" s="1"/>
  <c r="D6" i="25" s="1"/>
  <c r="C21" i="8"/>
  <c r="F31" i="8"/>
  <c r="G31" i="8" s="1"/>
  <c r="C22" i="8"/>
  <c r="F35" i="8"/>
  <c r="G35" i="8" s="1"/>
  <c r="D26" i="8" s="1"/>
  <c r="D48" i="25" s="1"/>
  <c r="D24" i="8"/>
  <c r="D46" i="25" s="1"/>
  <c r="H34" i="8"/>
  <c r="I34" i="8" s="1"/>
  <c r="D23" i="8"/>
  <c r="D45" i="25" s="1"/>
  <c r="H33" i="8"/>
  <c r="I33" i="8" s="1"/>
  <c r="F36" i="8"/>
  <c r="G36" i="8" s="1"/>
  <c r="C27" i="8"/>
  <c r="D22" i="8"/>
  <c r="D44" i="25" s="1"/>
  <c r="H32" i="8"/>
  <c r="I32" i="8" s="1"/>
  <c r="B142" i="6"/>
  <c r="D10" i="6" s="1"/>
  <c r="C10" i="6"/>
  <c r="B118" i="6"/>
  <c r="D7" i="6" s="1"/>
  <c r="C7" i="6"/>
  <c r="B110" i="6"/>
  <c r="D6" i="6" s="1"/>
  <c r="C6" i="6"/>
  <c r="B134" i="6"/>
  <c r="D9" i="6" s="1"/>
  <c r="C9" i="6"/>
  <c r="G19" i="21" l="1"/>
  <c r="P69" i="20"/>
  <c r="P51" i="20"/>
  <c r="P44" i="20"/>
  <c r="P33" i="20"/>
  <c r="P63" i="20"/>
  <c r="P29" i="20"/>
  <c r="P62" i="20"/>
  <c r="P43" i="20"/>
  <c r="P68" i="20"/>
  <c r="P39" i="20"/>
  <c r="P23" i="20"/>
  <c r="P65" i="20"/>
  <c r="P26" i="20"/>
  <c r="P8" i="20"/>
  <c r="P20" i="20"/>
  <c r="P37" i="20"/>
  <c r="P3" i="20"/>
  <c r="P42" i="20"/>
  <c r="P18" i="20"/>
  <c r="P60" i="20"/>
  <c r="P12" i="20"/>
  <c r="P11" i="20"/>
  <c r="P27" i="20"/>
  <c r="P36" i="20"/>
  <c r="P40" i="20"/>
  <c r="P16" i="20"/>
  <c r="P14" i="20"/>
  <c r="P31" i="20"/>
  <c r="P25" i="20"/>
  <c r="P13" i="20"/>
  <c r="F19" i="21"/>
  <c r="C34" i="25" s="1"/>
  <c r="P30" i="20"/>
  <c r="P7" i="20"/>
  <c r="P52" i="20"/>
  <c r="D27" i="20" s="1" a="1"/>
  <c r="D27" i="20" s="1"/>
  <c r="P53" i="20"/>
  <c r="P24" i="20"/>
  <c r="P58" i="20"/>
  <c r="P49" i="20"/>
  <c r="P28" i="20"/>
  <c r="P21" i="20"/>
  <c r="P54" i="20"/>
  <c r="P10" i="20"/>
  <c r="P67" i="20"/>
  <c r="P48" i="20"/>
  <c r="P22" i="20"/>
  <c r="P5" i="20"/>
  <c r="H47" i="15"/>
  <c r="I47" i="15" s="1"/>
  <c r="G34" i="15" s="1"/>
  <c r="P15" i="20"/>
  <c r="P57" i="20"/>
  <c r="P61" i="20"/>
  <c r="F27" i="21"/>
  <c r="P47" i="20"/>
  <c r="P9" i="20"/>
  <c r="P17" i="20"/>
  <c r="P38" i="20"/>
  <c r="P46" i="20"/>
  <c r="P50" i="20"/>
  <c r="P45" i="20"/>
  <c r="P56" i="20"/>
  <c r="P34" i="20"/>
  <c r="P41" i="20"/>
  <c r="P6" i="20"/>
  <c r="P55" i="20"/>
  <c r="C35" i="1"/>
  <c r="P4" i="20"/>
  <c r="P66" i="20"/>
  <c r="P35" i="20"/>
  <c r="P59" i="20"/>
  <c r="P32" i="20"/>
  <c r="P19" i="20"/>
  <c r="P64" i="20"/>
  <c r="D16" i="7"/>
  <c r="F16" i="7" s="1"/>
  <c r="K6" i="24"/>
  <c r="F35" i="20"/>
  <c r="G45" i="25"/>
  <c r="F45" i="25"/>
  <c r="E45" i="25"/>
  <c r="H19" i="21"/>
  <c r="C60" i="21" s="1"/>
  <c r="D34" i="25"/>
  <c r="B39" i="25"/>
  <c r="B61" i="25" s="1"/>
  <c r="C36" i="1"/>
  <c r="D34" i="15"/>
  <c r="G48" i="25"/>
  <c r="F48" i="25"/>
  <c r="E48" i="25"/>
  <c r="C11" i="10"/>
  <c r="C49" i="25"/>
  <c r="F29" i="21"/>
  <c r="C38" i="21"/>
  <c r="G35" i="20"/>
  <c r="G46" i="25"/>
  <c r="F46" i="25"/>
  <c r="E46" i="25"/>
  <c r="C5" i="10"/>
  <c r="C43" i="25"/>
  <c r="C30" i="1"/>
  <c r="B38" i="21"/>
  <c r="D15" i="7"/>
  <c r="F15" i="7" s="1"/>
  <c r="K5" i="24"/>
  <c r="C31" i="1"/>
  <c r="B11" i="25"/>
  <c r="B56" i="25" s="1"/>
  <c r="C6" i="10"/>
  <c r="C44" i="25"/>
  <c r="G44" i="25"/>
  <c r="F44" i="25"/>
  <c r="E44" i="25"/>
  <c r="E62" i="9"/>
  <c r="E34" i="26" s="1"/>
  <c r="D34" i="26"/>
  <c r="D18" i="7"/>
  <c r="F18" i="7" s="1"/>
  <c r="K8" i="24"/>
  <c r="D19" i="7"/>
  <c r="F19" i="7" s="1"/>
  <c r="K9" i="24"/>
  <c r="O7" i="24"/>
  <c r="L7" i="24"/>
  <c r="H60" i="17"/>
  <c r="D32" i="17"/>
  <c r="D36" i="18"/>
  <c r="H70" i="18"/>
  <c r="H27" i="21"/>
  <c r="C48" i="1" s="1"/>
  <c r="D38" i="15"/>
  <c r="H51" i="15"/>
  <c r="C40" i="1" s="1"/>
  <c r="G34" i="20"/>
  <c r="F34" i="20"/>
  <c r="F84" i="15"/>
  <c r="E84" i="15"/>
  <c r="H58" i="18"/>
  <c r="D34" i="18"/>
  <c r="G36" i="20"/>
  <c r="F36" i="20"/>
  <c r="H49" i="15"/>
  <c r="G42" i="17"/>
  <c r="E29" i="17" s="1"/>
  <c r="D11" i="25" s="1"/>
  <c r="B29" i="17"/>
  <c r="A11" i="25" s="1"/>
  <c r="C39" i="21"/>
  <c r="B39" i="21"/>
  <c r="D30" i="17"/>
  <c r="H48" i="17"/>
  <c r="H29" i="21"/>
  <c r="C50" i="1" s="1"/>
  <c r="H45" i="15"/>
  <c r="D32" i="15"/>
  <c r="D31" i="17"/>
  <c r="F82" i="15"/>
  <c r="E82" i="15"/>
  <c r="D35" i="18"/>
  <c r="H64" i="18"/>
  <c r="G83" i="15"/>
  <c r="H83" i="15" s="1"/>
  <c r="F42" i="17"/>
  <c r="D35" i="15"/>
  <c r="H48" i="15"/>
  <c r="H52" i="18"/>
  <c r="H46" i="15"/>
  <c r="D33" i="15"/>
  <c r="D37" i="18"/>
  <c r="H76" i="18"/>
  <c r="F20" i="21"/>
  <c r="C39" i="25" s="1"/>
  <c r="G20" i="21"/>
  <c r="F30" i="21"/>
  <c r="H30" i="21" s="1"/>
  <c r="G28" i="21"/>
  <c r="F28" i="21"/>
  <c r="H46" i="18"/>
  <c r="D32" i="18"/>
  <c r="C16" i="25" s="1"/>
  <c r="D37" i="15"/>
  <c r="H50" i="15"/>
  <c r="D21" i="8"/>
  <c r="H31" i="8"/>
  <c r="I31" i="8" s="1"/>
  <c r="H35" i="8"/>
  <c r="I35" i="8" s="1"/>
  <c r="H36" i="8"/>
  <c r="I36" i="8" s="1"/>
  <c r="D27" i="8"/>
  <c r="D49" i="25" s="1"/>
  <c r="E23" i="8"/>
  <c r="G23" i="8" s="1"/>
  <c r="E7" i="10" s="1"/>
  <c r="D7" i="10"/>
  <c r="E26" i="8"/>
  <c r="G26" i="8" s="1"/>
  <c r="E10" i="10" s="1"/>
  <c r="D10" i="10"/>
  <c r="D6" i="10"/>
  <c r="E22" i="8"/>
  <c r="G22" i="8" s="1"/>
  <c r="E6" i="10" s="1"/>
  <c r="E24" i="8"/>
  <c r="G24" i="8" s="1"/>
  <c r="E8" i="10" s="1"/>
  <c r="D8" i="10"/>
  <c r="E21" i="8"/>
  <c r="G21" i="8" s="1"/>
  <c r="E5" i="10" s="1"/>
  <c r="D5" i="10"/>
  <c r="B17" i="20" l="1"/>
  <c r="F34" i="15"/>
  <c r="B60" i="21"/>
  <c r="H35" i="20"/>
  <c r="C44" i="1" s="1"/>
  <c r="L6" i="24"/>
  <c r="O6" i="24"/>
  <c r="I19" i="21"/>
  <c r="E34" i="25"/>
  <c r="G34" i="25" s="1"/>
  <c r="D35" i="1"/>
  <c r="H20" i="21"/>
  <c r="B61" i="21" s="1"/>
  <c r="D39" i="25"/>
  <c r="G49" i="25"/>
  <c r="F49" i="25"/>
  <c r="E49" i="25"/>
  <c r="D43" i="25"/>
  <c r="D30" i="1"/>
  <c r="I35" i="20"/>
  <c r="I30" i="21"/>
  <c r="C51" i="1"/>
  <c r="L5" i="24"/>
  <c r="O5" i="24"/>
  <c r="D28" i="25"/>
  <c r="B87" i="25" s="1"/>
  <c r="C57" i="1"/>
  <c r="L9" i="24"/>
  <c r="O9" i="24"/>
  <c r="O8" i="24"/>
  <c r="L8" i="24"/>
  <c r="B42" i="21"/>
  <c r="B55" i="21" s="1"/>
  <c r="F37" i="18"/>
  <c r="C42" i="1" s="1"/>
  <c r="I76" i="18"/>
  <c r="G37" i="18" s="1"/>
  <c r="I45" i="15"/>
  <c r="G32" i="15" s="1"/>
  <c r="F32" i="15"/>
  <c r="B57" i="15"/>
  <c r="H36" i="20"/>
  <c r="I36" i="20" s="1"/>
  <c r="C25" i="20" a="1"/>
  <c r="C25" i="20" s="1"/>
  <c r="D17" i="20"/>
  <c r="D16" i="20"/>
  <c r="C18" i="20"/>
  <c r="C17" i="20"/>
  <c r="E18" i="20"/>
  <c r="E16" i="20"/>
  <c r="C27" i="20" a="1"/>
  <c r="C27" i="20" s="1"/>
  <c r="B16" i="20"/>
  <c r="D18" i="20"/>
  <c r="D26" i="20" a="1"/>
  <c r="D26" i="20" s="1"/>
  <c r="D25" i="20" a="1"/>
  <c r="D25" i="20" s="1"/>
  <c r="C16" i="20"/>
  <c r="B18" i="20"/>
  <c r="E17" i="20"/>
  <c r="C26" i="20" a="1"/>
  <c r="C26" i="20" s="1"/>
  <c r="G84" i="15"/>
  <c r="H84" i="15" s="1"/>
  <c r="H28" i="21"/>
  <c r="C49" i="1" s="1"/>
  <c r="G82" i="15"/>
  <c r="H82" i="15" s="1"/>
  <c r="F31" i="17"/>
  <c r="C41" i="1" s="1"/>
  <c r="I54" i="17"/>
  <c r="G31" i="17" s="1"/>
  <c r="I60" i="17"/>
  <c r="G32" i="17" s="1"/>
  <c r="F32" i="17"/>
  <c r="I20" i="21"/>
  <c r="C61" i="21"/>
  <c r="I49" i="15"/>
  <c r="G36" i="15" s="1"/>
  <c r="F36" i="15"/>
  <c r="E6" i="25" s="1"/>
  <c r="G6" i="25" s="1"/>
  <c r="F33" i="18"/>
  <c r="I52" i="18"/>
  <c r="G33" i="18" s="1"/>
  <c r="H34" i="20"/>
  <c r="F37" i="15"/>
  <c r="I50" i="15"/>
  <c r="G37" i="15" s="1"/>
  <c r="I51" i="15"/>
  <c r="G38" i="15" s="1"/>
  <c r="F38" i="15"/>
  <c r="F35" i="18"/>
  <c r="I64" i="18"/>
  <c r="G35" i="18" s="1"/>
  <c r="I27" i="21"/>
  <c r="C49" i="21"/>
  <c r="B49" i="21"/>
  <c r="C40" i="21"/>
  <c r="B40" i="21"/>
  <c r="I29" i="21"/>
  <c r="F34" i="18"/>
  <c r="I58" i="18"/>
  <c r="G34" i="18" s="1"/>
  <c r="I46" i="15"/>
  <c r="G33" i="15" s="1"/>
  <c r="F33" i="15"/>
  <c r="F35" i="15"/>
  <c r="I48" i="15"/>
  <c r="G35" i="15" s="1"/>
  <c r="D29" i="17"/>
  <c r="C11" i="25" s="1"/>
  <c r="H42" i="17"/>
  <c r="F30" i="17"/>
  <c r="I48" i="17"/>
  <c r="G30" i="17" s="1"/>
  <c r="F32" i="18"/>
  <c r="I46" i="18"/>
  <c r="G32" i="18" s="1"/>
  <c r="F36" i="18"/>
  <c r="I70" i="18"/>
  <c r="G36" i="18" s="1"/>
  <c r="E27" i="8"/>
  <c r="G27" i="8" s="1"/>
  <c r="E11" i="10" s="1"/>
  <c r="D11" i="10"/>
  <c r="A60" i="15" l="1"/>
  <c r="D36" i="1"/>
  <c r="E39" i="25"/>
  <c r="G39" i="25" s="1"/>
  <c r="I34" i="20"/>
  <c r="C43" i="1"/>
  <c r="A61" i="15"/>
  <c r="F43" i="25"/>
  <c r="E43" i="25"/>
  <c r="G43" i="25"/>
  <c r="B56" i="1"/>
  <c r="C27" i="25"/>
  <c r="C55" i="1"/>
  <c r="D26" i="25"/>
  <c r="C34" i="1"/>
  <c r="D27" i="25"/>
  <c r="B86" i="25" s="1"/>
  <c r="C56" i="1"/>
  <c r="C26" i="25"/>
  <c r="B55" i="1"/>
  <c r="C28" i="25"/>
  <c r="B57" i="1"/>
  <c r="E27" i="20"/>
  <c r="E28" i="25" s="1"/>
  <c r="E16" i="25"/>
  <c r="G16" i="25" s="1"/>
  <c r="D32" i="1"/>
  <c r="E21" i="25"/>
  <c r="G21" i="25" s="1"/>
  <c r="D33" i="1"/>
  <c r="A59" i="15"/>
  <c r="E25" i="20"/>
  <c r="F25" i="20"/>
  <c r="I28" i="21"/>
  <c r="C52" i="21"/>
  <c r="B52" i="21"/>
  <c r="F26" i="20"/>
  <c r="E26" i="20"/>
  <c r="E27" i="25" s="1"/>
  <c r="F27" i="20"/>
  <c r="F29" i="17"/>
  <c r="I42" i="17"/>
  <c r="G29" i="17" s="1"/>
  <c r="B41" i="20"/>
  <c r="E11" i="25" l="1"/>
  <c r="G11" i="25" s="1"/>
  <c r="D31" i="1"/>
  <c r="G25" i="20"/>
  <c r="E26" i="25"/>
  <c r="B59" i="25"/>
  <c r="B85" i="25"/>
  <c r="G27" i="20"/>
  <c r="G26" i="20"/>
  <c r="H26" i="20" l="1"/>
  <c r="F27" i="25"/>
  <c r="D56" i="1"/>
  <c r="D55" i="1"/>
  <c r="H25" i="20"/>
  <c r="G26" i="25" s="1"/>
  <c r="F26" i="25"/>
  <c r="H27" i="20"/>
  <c r="D57" i="1"/>
  <c r="F28" i="25"/>
  <c r="A44" i="20" l="1"/>
  <c r="A45" i="20"/>
  <c r="G27" i="25"/>
  <c r="A46" i="20"/>
  <c r="G28" i="2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<sst xmlns="http://schemas.openxmlformats.org/spreadsheetml/2006/main" count="5590" uniqueCount="1446">
  <si>
    <t>📋 RÉCAPITULATIF — ORDRE DES OPÉRATIONS DANS EXCEL</t>
  </si>
  <si>
    <t>Ordre</t>
  </si>
  <si>
    <t>Action</t>
  </si>
  <si>
    <t>Feuille Excel</t>
  </si>
  <si>
    <t>Section mémoire</t>
  </si>
  <si>
    <t>Statut</t>
  </si>
  <si>
    <t>Insertion des données brutes non filtrées</t>
  </si>
  <si>
    <t>DONNEES BRUTES non filtrées</t>
  </si>
  <si>
    <t>—</t>
  </si>
  <si>
    <t>✅ Automatisé</t>
  </si>
  <si>
    <t>Vérifier les 2 filtres appliqués (Q1≠Jamais, Q29=Neutre) et concerne l'audit</t>
  </si>
  <si>
    <t>DONNEES_SOURCE</t>
  </si>
  <si>
    <t>4.3.2</t>
  </si>
  <si>
    <t>Variables inversées Q11_inv, Q22_inv, Q25_inv, Q26_inv, Q8_norm</t>
  </si>
  <si>
    <t>0_PREPARATION</t>
  </si>
  <si>
    <t>4.2.1</t>
  </si>
  <si>
    <t>✅ Calculé</t>
  </si>
  <si>
    <t>5 scores composites (SUP, SFU, SRP, SMF, SS)</t>
  </si>
  <si>
    <t>Regroupement Q33 → Q33_groupe (3 niveaux)</t>
  </si>
  <si>
    <t>5.1</t>
  </si>
  <si>
    <t>Tableaux de fréquences Q31→Q36 + graphiques</t>
  </si>
  <si>
    <t>5.1_PROFIL_ECHANTILLON</t>
  </si>
  <si>
    <t>Statistiques descriptives des 5 scores + Q1 + Q30</t>
  </si>
  <si>
    <t>5.2_STATS_DESC_CRONBACH</t>
  </si>
  <si>
    <t>5.2</t>
  </si>
  <si>
    <t>Alpha de Cronbach pour les 5 scores (×5)</t>
  </si>
  <si>
    <t>Corrélations Spearman H1, H2, H3, H4a, H4b</t>
  </si>
  <si>
    <t>5.3_TEST_HYPOTHESES</t>
  </si>
  <si>
    <t>5.3</t>
  </si>
  <si>
    <t>Régressions OLS (H1+H2 conjointe, H4b)</t>
  </si>
  <si>
    <t>Sous-groupes Q19 pour H4a (formés vs peu formés)</t>
  </si>
  <si>
    <t>Kruskal-Wallis + Mann-Whitney (grade, cabinet)</t>
  </si>
  <si>
    <t>5.4_ANALYSES_COMPLEM</t>
  </si>
  <si>
    <t>5.4</t>
  </si>
  <si>
    <t>Classement des risques Q16</t>
  </si>
  <si>
    <t>Rédiger la discussion à partir des guides</t>
  </si>
  <si>
    <t>5.5_GUIDE_DISCUSSION</t>
  </si>
  <si>
    <t>5.5</t>
  </si>
  <si>
    <t>📝 À rédiger</t>
  </si>
  <si>
    <t>Horodateur</t>
  </si>
  <si>
    <t xml:space="preserve">Q1. À quelle fréquence utilisez-vous l'IA générative dans le cadre de votre travail en audit ? </t>
  </si>
  <si>
    <t>Q2. Quel type d'IAG utilisez-vous principalement ?</t>
  </si>
  <si>
    <t>Q3. Quelles IAG utilisez vous dans le cadre de vos missions d'audit ? [Mistral]</t>
  </si>
  <si>
    <t>Q3. Quelles IAG utilisez vous dans le cadre de vos missions d'audit ? [Copilot]</t>
  </si>
  <si>
    <t>Q3. Quelles IAG utilisez vous dans le cadre de vos missions d'audit ? [ChatGPT]</t>
  </si>
  <si>
    <t>Q3. Quelles IAG utilisez vous dans le cadre de vos missions d'audit ? [Gemini]</t>
  </si>
  <si>
    <t>Q3. Quelles IAG utilisez vous dans le cadre de vos missions d'audit ? [Perplexity]</t>
  </si>
  <si>
    <t>Q3. Quelles IAG utilisez vous dans le cadre de vos missions d'audit ? [Grok]</t>
  </si>
  <si>
    <t>Q3. Quelles IAG utilisez vous dans le cadre de vos missions d'audit ? [Claude]</t>
  </si>
  <si>
    <t>Q3. Quelles IAG utilisez vous dans le cadre de vos missions d'audit ? [Outils IAG spécifiques cabinet]</t>
  </si>
  <si>
    <t>Q3. Quelles IAG utilisez vous dans le cadre de vos missions d'audit ? [Autres]</t>
  </si>
  <si>
    <t>Q4. Parmi ces tâches, cochez celles que vous avez déjà effectuées à l’aide de l’IA générative.</t>
  </si>
  <si>
    <t>Q5. Vous utilisez l'IA générative...</t>
  </si>
  <si>
    <t>Q6. Dans quelle mesure jugez-vous utile l’IA générative, pour améliorer la productivité, pour les activités suivantes ? [Extraction données (financières, juridiques, ...)]</t>
  </si>
  <si>
    <t>Q6. Dans quelle mesure jugez-vous utile l’IA générative, pour améliorer la productivité, pour les activités suivantes ? [Résumé données  (financières, juridiques, ...)]</t>
  </si>
  <si>
    <t>Q6. Dans quelle mesure jugez-vous utile l’IA générative, pour améliorer la productivité, pour les activités suivantes ? [Rédaction (rapports, synthèses, notes, mails)]</t>
  </si>
  <si>
    <t>Q6. Dans quelle mesure jugez-vous utile l’IA générative, pour améliorer la productivité, pour les activités suivantes ? [Rapprochement/Comparaison de documents]</t>
  </si>
  <si>
    <t>Q6. Dans quelle mesure jugez-vous utile l’IA générative, pour améliorer la productivité, pour les activités suivantes ? [Développement (scripts SQL, VBA)]</t>
  </si>
  <si>
    <t>Q6. Dans quelle mesure jugez-vous utile l’IA générative, pour améliorer la productivité, pour les activités suivantes ? [Détection de fraude]</t>
  </si>
  <si>
    <t>Q6. Dans quelle mesure jugez-vous utile l’IA générative, pour améliorer la productivité, pour les activités suivantes ? [Calcul du seuil de signification]</t>
  </si>
  <si>
    <t>Q6. Dans quelle mesure jugez-vous utile l’IA générative, pour améliorer la productivité, pour les activités suivantes ? [Revue d'estimations (provisions)]</t>
  </si>
  <si>
    <t>Q6. Dans quelle mesure jugez-vous utile l’IA générative, pour améliorer la productivité, pour les activités suivantes ? [Aide à la décision]</t>
  </si>
  <si>
    <t>Q6. Dans quelle mesure jugez-vous utile l’IA générative, pour améliorer la productivité, pour les activités suivantes ? [Préparation de données (format, structuration, harmonisation des valeurs)]</t>
  </si>
  <si>
    <t>Q7. Dans quelle mesure jugez-vous utile l’IA générative, pour améliorer la qualité, pour les activités suivantes ?  [Extraction données (financières, juridiques, ...)]</t>
  </si>
  <si>
    <t>Q7. Dans quelle mesure jugez-vous utile l’IA générative, pour améliorer la qualité, pour les activités suivantes ?  [Résumé données  (financières, juridiques, ...)]</t>
  </si>
  <si>
    <t>Q7. Dans quelle mesure jugez-vous utile l’IA générative, pour améliorer la qualité, pour les activités suivantes ?  [Rédaction (rapports, synthèses, notes, mails)]</t>
  </si>
  <si>
    <t>Q7. Dans quelle mesure jugez-vous utile l’IA générative, pour améliorer la qualité, pour les activités suivantes ?  [Rapprochement/Comparaison de documents]</t>
  </si>
  <si>
    <t>Q7. Dans quelle mesure jugez-vous utile l’IA générative, pour améliorer la qualité, pour les activités suivantes ?  [Développement (scripts SQL, VBA)]</t>
  </si>
  <si>
    <t>Q7. Dans quelle mesure jugez-vous utile l’IA générative, pour améliorer la qualité, pour les activités suivantes ?  [Détection de fraude]</t>
  </si>
  <si>
    <t>Q7. Dans quelle mesure jugez-vous utile l’IA générative, pour améliorer la qualité, pour les activités suivantes ?  [Calcul du seuil de signification]</t>
  </si>
  <si>
    <t>Q7. Dans quelle mesure jugez-vous utile l’IA générative, pour améliorer la qualité, pour les activités suivantes ?  [Revue d'estimations (provisions)]</t>
  </si>
  <si>
    <t>Q7. Dans quelle mesure jugez-vous utile l’IA générative, pour améliorer la qualité, pour les activités suivantes ?  [Aide à la décision]</t>
  </si>
  <si>
    <t>Q7. Dans quelle mesure jugez-vous utile l’IA générative, pour améliorer la qualité, pour les activités suivantes ?  [Préparation de données (format, structuration, harmonisation des valeurs)]</t>
  </si>
  <si>
    <t>Q8. "L'utilisation de l'IA générative me fait gagner du temps"</t>
  </si>
  <si>
    <t>Q9. Comment jugez-vous la prise en main des outils d'IA générative ?</t>
  </si>
  <si>
    <t>Q10. "L'intégration de l'IA générative dans mon flux de travail quotidien se fait naturellement."</t>
  </si>
  <si>
    <t>Q11. "Apprendre à utiliser l'IA générative efficacement requiert une formation"</t>
  </si>
  <si>
    <t>Q12.  L'IA générative peut produire des informations inexactes ou trompeuses dans le contexte de l'audit.</t>
  </si>
  <si>
    <t>Q13.   Partager des données avec l'IA générative présente des risques pour la confidentialité.</t>
  </si>
  <si>
    <t>Q14.   La nature opaque des modèles d'IA générative (« boîte noire ») rend difficile de comprendre et de justifier comment les résultats ont été produits en audit.</t>
  </si>
  <si>
    <t>Q15. Je m'inquiète d'être tenu pour responsable si l'IAG fait une erreur dans mon travail.</t>
  </si>
  <si>
    <t>Q16 . Quel est le niveau d'importance de ce risque pour votre travail? [Hallucinations : Production d'informations fausses mais crédibles.]</t>
  </si>
  <si>
    <t>Q16 . Quel est le niveau d'importance de ce risque pour votre travail? [Confidentialité : Risque de fuite ou d'usage illicite de données clients.]</t>
  </si>
  <si>
    <t>Q16 . Quel est le niveau d'importance de ce risque pour votre travail? [Boîte noire : Opacité des algorithmes et difficulté à justifier un résultat.]</t>
  </si>
  <si>
    <t>Q16 . Quel est le niveau d'importance de ce risque pour votre travail? [Responsabilité : Risque d'assumer seul les erreurs commises par l'IA.]</t>
  </si>
  <si>
    <t>Q17.  Ces risques m'empêchent d'augmenter mon usage de l'IAG</t>
  </si>
  <si>
    <t>Q18.  Si les risques étaient éliminés, j'utiliserais davantage l'IAG</t>
  </si>
  <si>
    <t>Q19. Votre niveau global de formation (interne ou auto-apprentissage) ?</t>
  </si>
  <si>
    <t>Q20. "Je me sens capable d'orienter les réponses de l'IAG pour limiter les risques d'imprécisions ou d'erreurs."</t>
  </si>
  <si>
    <t>Q21. "Je me sens capable d'identifier les erreurs générées par l'IAG."</t>
  </si>
  <si>
    <t>Q22.   Lorsque l’IAG vous propose un résultat, il vous arrive de vous y fier sans vérifier en détail par vous‑même.</t>
  </si>
  <si>
    <t>Q23. À quelle fréquence vérifiez vous la source d'origine face à une réponse de l'IAG ?</t>
  </si>
  <si>
    <t>Q24. Estimez-vous que votre jugement professionnel en audit reste fort malgré l'utilisation régulière de l'IAG?</t>
  </si>
  <si>
    <t>Q25.  "Il m'arrive de remettre en question mon jugement professionnel quand l'IAG me propose une conclusion différente de la mienne"</t>
  </si>
  <si>
    <t>Q26.  "En pratique, il m'arrive de conclure avant d'avoir réuni toutes les preuves que je jugerais idéalement nécessaires"</t>
  </si>
  <si>
    <t>Q27. Prévoyez vous d'augmenter votre usage de l'IAG dans les 6 prochains mois ?</t>
  </si>
  <si>
    <t>Q28. Probabilité d'augmenter votre usage de l'IAG si vous receviez une formation à l'avenir ?</t>
  </si>
  <si>
    <t xml:space="preserve">Q29. Pour garantir la précision statistique des résultats, merci de sélectionner la réponse 'Neutre' ici.  </t>
  </si>
  <si>
    <t>Q30. Quelle est votre perception sur l'équilibre bénéfices-risques de l'IAG en audit ?</t>
  </si>
  <si>
    <t>Q31. Tranche d'âge</t>
  </si>
  <si>
    <t>Q32. Genre</t>
  </si>
  <si>
    <t>Q33. Votre niveau hiérarchique</t>
  </si>
  <si>
    <t xml:space="preserve">Q34. Votre nombre d'années d'expérience  </t>
  </si>
  <si>
    <t>Q35. Votre cœur de métier</t>
  </si>
  <si>
    <t>Q36. Taille de votre cabinet</t>
  </si>
  <si>
    <t>Avant de terminer, souhaitez-vous partager votre opinion ou vos impressions sur l’IA générative ? (facultatif)</t>
  </si>
  <si>
    <t>3. Rarement (1 à 3 fois par mois)</t>
  </si>
  <si>
    <t>Outils grand public (ex: ChatGPT, Gemini )</t>
  </si>
  <si>
    <t>Version grand public</t>
  </si>
  <si>
    <t>Version entreprise</t>
  </si>
  <si>
    <t>Reformulation ou traduction de documents</t>
  </si>
  <si>
    <t>De manière VOLONTAIRE (vous avez choisi vous-même)</t>
  </si>
  <si>
    <t>1. Pas du tout utile</t>
  </si>
  <si>
    <t>2. Peu utile</t>
  </si>
  <si>
    <t>5. Plutôt facile (Assez intuitif)</t>
  </si>
  <si>
    <t>5. Plutôt d'accord (S'intègre assez bien)</t>
  </si>
  <si>
    <t>5. Très important</t>
  </si>
  <si>
    <t>4. Important</t>
  </si>
  <si>
    <t>4. Moyenne (Environ une journée de formation cumulée)</t>
  </si>
  <si>
    <t>2. En désaccord (Je contrôle la quasi-totalité des éléments)</t>
  </si>
  <si>
    <t>Je compte réduire l’utilisation de l’IA</t>
  </si>
  <si>
    <t>4. Neutre</t>
  </si>
  <si>
    <t>26-35</t>
  </si>
  <si>
    <t>Femme</t>
  </si>
  <si>
    <t>Senior</t>
  </si>
  <si>
    <t>2 - 3 ans</t>
  </si>
  <si>
    <t>Audit Financier</t>
  </si>
  <si>
    <t>Cabinet international</t>
  </si>
  <si>
    <t xml:space="preserve">L’IA est une bonne tentative mais le cerveau humain reste meilleur, dans un métier d’audit financier qui est très sensible on peut utiliser l’IA pour nous informer sur des lois, de la comptabilité, des méthodes de calculs etc mais jamais pour émettre un rapport d’audit, le comissaire aux compte est un professionnel dans son domaine qui a fait plusieurs années d’études et d’expérience impossible qu’un rebot soit plus performant que lui. </t>
  </si>
  <si>
    <t>5. Régulièrement (Plusieurs fois par semaine)</t>
  </si>
  <si>
    <t>Outils fournis/agréés par le cabinet (ex: Copilot sécurisé)</t>
  </si>
  <si>
    <t>Recherche d'informations ou de points techniques, Rédaction (rapports, synthèses, notes, mails), Reformulation ou traduction de documents</t>
  </si>
  <si>
    <t>5. Très utile</t>
  </si>
  <si>
    <t>3. Neutre</t>
  </si>
  <si>
    <t>6. D'accord (S'intègre facilement)</t>
  </si>
  <si>
    <t>3. Faible (Moins de 5 heures de formation au total)</t>
  </si>
  <si>
    <t>3. Plutôt en désaccord (Je procède à une revue importante)</t>
  </si>
  <si>
    <t>Oui</t>
  </si>
  <si>
    <t>18-25</t>
  </si>
  <si>
    <t>Homme</t>
  </si>
  <si>
    <t>Junior</t>
  </si>
  <si>
    <t>Moins de 2 ans</t>
  </si>
  <si>
    <t>Rapprochement/Comparaison de documents, Correction et mise en cohérence de documents, Rédaction (rapports, synthèses, notes, mails), Préparation de données (format, structuration, harmonisation des valeurs)</t>
  </si>
  <si>
    <t>4. Utile</t>
  </si>
  <si>
    <t>1. Tout à fait en désaccord (Friction totale / Inutilisable)</t>
  </si>
  <si>
    <t>5. Solide (Plusieurs jours de formation ou modules suivis)</t>
  </si>
  <si>
    <t>4. Neutre (Le niveau de vérification dépend de la complexité)</t>
  </si>
  <si>
    <t>7. Très fréquemment (Plusieurs fois par jour)</t>
  </si>
  <si>
    <t>Usage mix des deux</t>
  </si>
  <si>
    <t>Automatisation et création de scripts (SQL, VBA), Recherche d'informations ou de points techniques, Analyse de données et génération d'insights, Rédaction (rapports, synthèses, notes, mails), Évaluation du contrôle interne, Préparation de données (format, structuration, harmonisation des valeurs)</t>
  </si>
  <si>
    <t>6. Facile (Maîtrise rapide)</t>
  </si>
  <si>
    <t>3. Moyennement important</t>
  </si>
  <si>
    <t>Audit IT</t>
  </si>
  <si>
    <t>Reformulation ou traduction de documents, Préparation de données (format, structuration, harmonisation des valeurs), Recherche d'informations ou de points techniques</t>
  </si>
  <si>
    <t>1. Aucune</t>
  </si>
  <si>
    <t>5. Plutôt d'accord (Je vérifie uniquement les points clés)</t>
  </si>
  <si>
    <t>aucune idée</t>
  </si>
  <si>
    <t>Stagiaire</t>
  </si>
  <si>
    <t>Reformulation ou traduction de documents, Rédaction (rapports, synthèses, notes, mails), Préparation de données (format, structuration, harmonisation des valeurs), Correction et mise en cohérence de documents</t>
  </si>
  <si>
    <t>Non</t>
  </si>
  <si>
    <t>Formules Excel, aide pour l'utilisation des outils Microsoft</t>
  </si>
  <si>
    <t>De manière RECOMMANDÉE (cabinet encourage, mais facultatif)</t>
  </si>
  <si>
    <t>3. Plutôt en désaccord (Demande un effort conscient)</t>
  </si>
  <si>
    <t>Reformulation ou traduction de documents, Recherche d'informations ou de points techniques</t>
  </si>
  <si>
    <t>Alternant</t>
  </si>
  <si>
    <t>4. Parfois (Environ une fois par semaine)</t>
  </si>
  <si>
    <t>Revue d'estimations comptables (provisions, dépréciations), Reformulation ou traduction de documents, Rapprochement/Comparaison de documents, Aide à la décision, Rédaction (rapports, synthèses, notes, mails)</t>
  </si>
  <si>
    <t>7. Très facile (Instinctif / Sans aide)</t>
  </si>
  <si>
    <t>6. Approfondie (Parcours certifiant ou auto-formation technique longue)</t>
  </si>
  <si>
    <t>1. Pas du tout d’accord (Je vérifie systématiquement chaque détail)</t>
  </si>
  <si>
    <t>Reformulation ou traduction de documents, Recherche d'informations ou de points techniques, Rédaction (rapports, synthèses, notes, mails)</t>
  </si>
  <si>
    <t>1. Pas du tout important</t>
  </si>
  <si>
    <t>Cabinet local</t>
  </si>
  <si>
    <t>Rédaction (rapports, synthèses, notes, mails), Préparation de données (format, structuration, harmonisation des valeurs), Correction et mise en cohérence de documents, Reformulation ou traduction de documents</t>
  </si>
  <si>
    <t>7. Tout à fait d'accord (Automatisme quotidien)</t>
  </si>
  <si>
    <t>+65</t>
  </si>
  <si>
    <t>Manager</t>
  </si>
  <si>
    <t>Plus de 10 ans</t>
  </si>
  <si>
    <t>RECRUTEMENT</t>
  </si>
  <si>
    <t>Évaluation du contrôle interne, Automatisation et création de scripts (SQL, VBA), Reformulation ou traduction de documents, Rédaction (rapports, synthèses, notes, mails)</t>
  </si>
  <si>
    <t>Version grand public, Version entreprise</t>
  </si>
  <si>
    <t>Recherche d'informations ou de points techniques, Correction et mise en cohérence de documents, Analyse de données et génération d'insights, Rédaction (rapports, synthèses, notes, mails), Reformulation ou traduction de documents</t>
  </si>
  <si>
    <t>Senior Manager</t>
  </si>
  <si>
    <t>Pour moi l'IA générative est comme un super stagiaire : il ne peut pas être responsable et on doit vérifier son travail (car il y a probablement des erreurs). Le plus grand risque selon moi est pour les personnes avec peu d'expérience "métier", qui vont s'appuyer sur l'IA sans être en capacité d'identifier les erreurs.</t>
  </si>
  <si>
    <t>6. Quotidiennement (Une fois par jour)</t>
  </si>
  <si>
    <t>Reformulation ou traduction de documents, Rédaction (rapports, synthèses, notes, mails), Automatisation et création de scripts (SQL, VBA)</t>
  </si>
  <si>
    <t>6  - 7 ans</t>
  </si>
  <si>
    <t>Cabinet régional</t>
  </si>
  <si>
    <t>Recherche d'informations ou de points techniques, Aide à la décision, Rédaction (rapports, synthèses, notes, mails), Reformulation ou traduction de documents, Correction et mise en cohérence de documents</t>
  </si>
  <si>
    <t>6. D’accord</t>
  </si>
  <si>
    <t>Rédaction (rapports, synthèses, notes, mails), Recherche d'informations ou de points techniques, Revue d'estimations comptables (provisions, dépréciations), Évaluation du contrôle interne, Aide à la décision</t>
  </si>
  <si>
    <t>4. Ni facile, ni difficile (Prise en main normale)</t>
  </si>
  <si>
    <t>4  - 5 ans</t>
  </si>
  <si>
    <t>Rapprochement/Comparaison de documents, Reformulation ou traduction de documents, Correction et mise en cohérence de documents, Évaluation du contrôle interne, Préparation de données (format, structuration, harmonisation des valeurs), Recherche d'informations ou de points techniques, Rédaction (rapports, synthèses, notes, mails)</t>
  </si>
  <si>
    <t>Analyse de données et génération d'insights, Rapprochement/Comparaison de documents, Recherche d'informations ou de points techniques, Préparation de données (format, structuration, harmonisation des valeurs), Reformulation ou traduction de documents, Aide à la décision</t>
  </si>
  <si>
    <t>46-55</t>
  </si>
  <si>
    <t>Associé</t>
  </si>
  <si>
    <t xml:space="preserve">Audit Financier, Expertise comptable </t>
  </si>
  <si>
    <t>Rédaction (rapports, synthèses, notes, mails), Reformulation ou traduction de documents, Recherche d'informations ou de points techniques, Revue d'estimations comptables (provisions, dépréciations), Préparation de données (format, structuration, harmonisation des valeurs)</t>
  </si>
  <si>
    <t>5. Plutôt d’accord</t>
  </si>
  <si>
    <t>Rédaction (rapports, synthèses, notes, mails), Reformulation ou traduction de documents, Recherche d'informations ou de points techniques</t>
  </si>
  <si>
    <t>2. En désaccord (Difficile à intégrer au métier)</t>
  </si>
  <si>
    <t xml:space="preserve">Conditionné à la politique du cabinet </t>
  </si>
  <si>
    <t xml:space="preserve">Superviseur </t>
  </si>
  <si>
    <t xml:space="preserve">National et membre d'un réseau </t>
  </si>
  <si>
    <t>Rédaction (rapports, synthèses, notes, mails), Analyse de données et génération d'insights, Reformulation ou traduction de documents, Recherche d'informations ou de points techniques</t>
  </si>
  <si>
    <t xml:space="preserve">Audit Financier, Audit Interne, Audit acquisition </t>
  </si>
  <si>
    <t>Correction et mise en cohérence de documents, Rapprochement/Comparaison de documents, Détermination du seuil de signification, Évaluation du contrôle interne, Recherche d'informations ou de points techniques, Rédaction (rapports, synthèses, notes, mails), Préparation de données (format, structuration, harmonisation des valeurs), Automatisation et création de scripts (SQL, VBA), Reformulation ou traduction de documents</t>
  </si>
  <si>
    <t>Audit Financier, Audit IT, Audit Interne</t>
  </si>
  <si>
    <t>Recherche d'informations ou de points techniques, Rédaction (rapports, synthèses, notes, mails)</t>
  </si>
  <si>
    <t>2. Très limitée (Quelques vidéos ou articles consultés)</t>
  </si>
  <si>
    <t>2. Très rarement (Moins d'une fois par mois)</t>
  </si>
  <si>
    <t>Rédaction (rapports, synthèses, notes, mails)</t>
  </si>
  <si>
    <t>Automatisation et création de scripts (SQL, VBA), Rédaction (rapports, synthèses, notes, mails), Reformulation ou traduction de documents, Correction et mise en cohérence de documents, Rapprochement/Comparaison de documents</t>
  </si>
  <si>
    <t>2. Peu important</t>
  </si>
  <si>
    <t>Rapprochement/Comparaison de documents, Aide à la décision, Recherche d'informations ou de points techniques, Évaluation du contrôle interne, Rédaction (rapports, synthèses, notes, mails), Automatisation et création de scripts (SQL, VBA), Analyse de données et génération d'insights</t>
  </si>
  <si>
    <t xml:space="preserve"> L’IA générative offre un fort potentiel pour gagner du temps et stimuler la créativité, mais elle doit être utilisée avec discernement pour garantir la fiabilité et préserver la confidentialité.</t>
  </si>
  <si>
    <t>Préparation de données (format, structuration, harmonisation des valeurs), Aide à la décision, Automatisation et création de scripts (SQL, VBA), Reformulation ou traduction de documents</t>
  </si>
  <si>
    <t xml:space="preserve">C'est top mais il est essentiel de conserver son sens critique et ne pas suivre bêtement les réponses de l'IA. Le risque est de perdre en questionnement, perdre en raisonnement, perdre en intelligence. </t>
  </si>
  <si>
    <t>Aide à la décision, Analyse de données et génération d'insights, Rédaction (rapports, synthèses, notes, mails), Reformulation ou traduction de documents, Recherche d'informations ou de points techniques, Rapprochement/Comparaison de documents, Automatisation et création de scripts (SQL, VBA)</t>
  </si>
  <si>
    <t>3. Plutôt difficile (Peu intuitif)</t>
  </si>
  <si>
    <t>36-45</t>
  </si>
  <si>
    <t>Rédaction (rapports, synthèses, notes, mails), Préparation de données (format, structuration, harmonisation des valeurs)</t>
  </si>
  <si>
    <t>Correction et mise en cohérence de documents, Recherche d'informations ou de points techniques, Automatisation et création de scripts (SQL, VBA)</t>
  </si>
  <si>
    <t>Audit Financier, Audit RSE</t>
  </si>
  <si>
    <t>Recherche d'informations ou de points techniques, Reformulation ou traduction de documents, Rédaction (rapports, synthèses, notes, mails)</t>
  </si>
  <si>
    <t>1. Jamais</t>
  </si>
  <si>
    <t xml:space="preserve">L'IA doit et être intégré à l'audit. </t>
  </si>
  <si>
    <t>Rédaction (rapports, synthèses, notes, mails), Recherche d'informations ou de points techniques, Aide à la décision, Reformulation ou traduction de documents, Automatisation et création de scripts (SQL, VBA)</t>
  </si>
  <si>
    <t>Fonction support</t>
  </si>
  <si>
    <t>Product Owner Recherche et Developpement</t>
  </si>
  <si>
    <t>Automatisation et création de scripts (SQL, VBA), Reformulation ou traduction de documents, Rédaction (rapports, synthèses, notes, mails), Correction et mise en cohérence de documents</t>
  </si>
  <si>
    <t>Rédaction (rapports, synthèses, notes, mails), Recherche d'informations ou de points techniques, Reformulation ou traduction de documents</t>
  </si>
  <si>
    <t>Recherche d'informations ou de points techniques, Rédaction (rapports, synthèses, notes, mails), Résumé d'un document</t>
  </si>
  <si>
    <t>6. D'accord (Je fais globalement confiance au résultat)</t>
  </si>
  <si>
    <t>Rédaction (rapports, synthèses, notes, mails), Préparation de données (format, structuration, harmonisation des valeurs), Revue d'estimations comptables (provisions, dépréciations), Reformulation ou traduction de documents, Évaluation du contrôle interne, Rapprochement/Comparaison de documents, Correction et mise en cohérence de documents, Recherche d'informations ou de points techniques, Analyse de données et génération d'insights</t>
  </si>
  <si>
    <t>Je l'utilise essentiellement pour retravailler un texte/reformuler/traduire mais quasiment jamais pour conclure sur des travaux, pour donner un avis, essentiellement de la mise en forme et rédaction</t>
  </si>
  <si>
    <t>Rédaction (rapports, synthèses, notes, mails), Reformulation ou traduction de documents, Analyse de données et génération d'insights</t>
  </si>
  <si>
    <t>Expertise</t>
  </si>
  <si>
    <t>4. Ni d'accord, ni en désaccord</t>
  </si>
  <si>
    <t xml:space="preserve">expertise comptable/conseil dirigeant </t>
  </si>
  <si>
    <t>Rédaction (rapports, synthèses, notes, mails), Correction et mise en cohérence de documents, Reformulation ou traduction de documents, presentation powerpoint sur un theme</t>
  </si>
  <si>
    <t>EC</t>
  </si>
  <si>
    <t>Rapprochement/Comparaison de documents, Reformulation ou traduction de documents, Rédaction (rapports, synthèses, notes, mails), Détection de la fraude, Préparation de données (format, structuration, harmonisation des valeurs)</t>
  </si>
  <si>
    <t>56-65</t>
  </si>
  <si>
    <t>expertise comptable</t>
  </si>
  <si>
    <t>non</t>
  </si>
  <si>
    <t>Préparation de données (format, structuration, harmonisation des valeurs), Détection de la fraude, Reformulation ou traduction de documents, Analyse de données et génération d'insights, Rédaction (rapports, synthèses, notes, mails), Correction et mise en cohérence de documents, Recherche d'informations ou de points techniques, Aide à la décision</t>
  </si>
  <si>
    <t>Audit Financier, Audit Interne</t>
  </si>
  <si>
    <t>Reformulation ou traduction de documents, Rédaction (rapports, synthèses, notes, mails), Analyse de données et génération d'insights, Recherche d'informations ou de points techniques, Rapprochement/Comparaison de documents, Correction et mise en cohérence de documents, Aide à la décision</t>
  </si>
  <si>
    <t>Automatisation et création de scripts (SQL, VBA), Aide à la décision, Rédaction (rapports, synthèses, notes, mails), Recherche d'informations ou de points techniques, Analyse de données et génération d'insights, Reformulation ou traduction de documents</t>
  </si>
  <si>
    <t>7. Experte (Maîtrise totale / Capacité à former les autres)</t>
  </si>
  <si>
    <t>Automatisation et création de scripts (SQL, VBA), Analyse de données et génération d'insights, Recherche d'informations ou de points techniques, Reformulation ou traduction de documents</t>
  </si>
  <si>
    <t>L'IA générative est utile, mais elle a 2 biais : l'hallucination et l'imprécision. En temps qu'auditeur nous avons l'habitude de résultat précis et reproductible. Les  obtenir avec l'IAG est plus difficile. Mais le champ des possibles est énorme</t>
  </si>
  <si>
    <t>Rédaction (rapports, synthèses, notes, mails), Reformulation ou traduction de documents, Rapprochement/Comparaison de documents, Recherche d'informations ou de points techniques, Automatisation et création de scripts (SQL, VBA)</t>
  </si>
  <si>
    <t>Reformulation ou traduction de documents, Recherche d'informations ou de points techniques, Préparation de données (format, structuration, harmonisation des valeurs), Aide à la décision, Rapprochement/Comparaison de documents, Analyse de données et génération d'insights, Correction et mise en cohérence de documents, Rédaction (rapports, synthèses, notes, mails), Automatisation et création de scripts (SQL, VBA)</t>
  </si>
  <si>
    <t>Préparation de données (format, structuration, harmonisation des valeurs), Évaluation du contrôle interne, Reformulation ou traduction de documents, Correction et mise en cohérence de documents, Rédaction (rapports, synthèses, notes, mails), Recherche d'informations ou de points techniques</t>
  </si>
  <si>
    <t>Reformulation ou traduction de documents, Recherche d'informations ou de points techniques, Rédaction (rapports, synthèses, notes, mails), Correction et mise en cohérence de documents, Rapprochement/Comparaison de documents, Préparation de données (format, structuration, harmonisation des valeurs), Analyse de données et génération d'insights</t>
  </si>
  <si>
    <t>déjà bien utilisé</t>
  </si>
  <si>
    <t>Expertise comptable</t>
  </si>
  <si>
    <t>Reformulation ou traduction de documents, Rédaction (rapports, synthèses, notes, mails), Recherche d'informations ou de points techniques</t>
  </si>
  <si>
    <t>Recherche d'informations ou de points techniques, Revue d'estimations comptables (provisions, dépréciations), Rédaction (rapports, synthèses, notes, mails), Correction et mise en cohérence de documents, Reformulation ou traduction de documents</t>
  </si>
  <si>
    <t>Préparation de données (format, structuration, harmonisation des valeurs), Automatisation et création de scripts (SQL, VBA), Rédaction (rapports, synthèses, notes, mails), Recherche d'informations ou de points techniques</t>
  </si>
  <si>
    <t>Audit Financier, Consolidation</t>
  </si>
  <si>
    <t>Préparation de données (format, structuration, harmonisation des valeurs), Correction et mise en cohérence de documents</t>
  </si>
  <si>
    <t>Analyse de données et génération d'insights, Correction et mise en cohérence de documents, Rédaction (rapports, synthèses, notes, mails), Recherche d'informations ou de points techniques, Rapprochement/Comparaison de documents, Reformulation ou traduction de documents</t>
  </si>
  <si>
    <t>Recherche d'informations ou de points techniques</t>
  </si>
  <si>
    <t>Rédaction (rapports, synthèses, notes, mails), Reformulation ou traduction de documents</t>
  </si>
  <si>
    <t>Reformulation ou traduction de documents, Correction et mise en cohérence de documents, Rédaction (rapports, synthèses, notes, mails), Aide à la décision, Recherche d'informations ou de points techniques, Analyse de données et génération d'insights</t>
  </si>
  <si>
    <t>Rédaction (rapports, synthèses, notes, mails), Recherche d'informations ou de points techniques, Analyse de données et génération d'insights</t>
  </si>
  <si>
    <t>Détermination du seuil de signification, Aide à la décision, Évaluation du contrôle interne, Reformulation ou traduction de documents</t>
  </si>
  <si>
    <t>1. Pas du tout d’accord</t>
  </si>
  <si>
    <t>Analyse de données et génération d'insights, Recherche d'informations ou de points techniques, Reformulation ou traduction de documents, Rédaction (rapports, synthèses, notes, mails), Correction et mise en cohérence de documents</t>
  </si>
  <si>
    <t>Correction et mise en cohérence de documents, Recherche d'informations ou de points techniques, Rédaction (rapports, synthèses, notes, mails), Reformulation ou traduction de documents, Automatisation et création de scripts (SQL, VBA)</t>
  </si>
  <si>
    <t>Correction et mise en cohérence de documents, Recherche d'informations ou de points techniques, Reformulation ou traduction de documents</t>
  </si>
  <si>
    <t>Aide à la décision, Recherche d'informations ou de points techniques, Rapprochement/Comparaison de documents, Revue d'estimations comptables (provisions, dépréciations)</t>
  </si>
  <si>
    <t>Reformulation ou traduction de documents, Recherche d'informations ou de points techniques, Rapprochement/Comparaison de documents, Correction et mise en cohérence de documents</t>
  </si>
  <si>
    <t>Rédaction (rapports, synthèses, notes, mails), Recherche d'informations ou de points techniques</t>
  </si>
  <si>
    <t>8 - 10 ans</t>
  </si>
  <si>
    <t>Recherche d'informations ou de points techniques, Rédaction (rapports, synthèses, notes, mails), Aide à la décision, Reformulation ou traduction de documents</t>
  </si>
  <si>
    <t xml:space="preserve">Cela dépendra de notre maitrise des outils de IAG </t>
  </si>
  <si>
    <t>EXPERTISE COMPTABLE ET COMMISSARIAT AUX COMPTES</t>
  </si>
  <si>
    <t>Rapprochement/Comparaison de documents, Analyse de données et génération d'insights, Préparation de données (format, structuration, harmonisation des valeurs), Reformulation ou traduction de documents, Revue d'estimations comptables (provisions, dépréciations), Correction et mise en cohérence de documents</t>
  </si>
  <si>
    <t>Correction et mise en cohérence de documents, Reformulation ou traduction de documents</t>
  </si>
  <si>
    <t>Reformulation ou traduction de documents, Recherche d'informations ou de points techniques, Préparation de données (format, structuration, harmonisation des valeurs)</t>
  </si>
  <si>
    <t>Recherche d'informations ou de points techniques, Reformulation ou traduction de documents, Rédaction (rapports, synthèses, notes, mails), Préparation de données (format, structuration, harmonisation des valeurs)</t>
  </si>
  <si>
    <t>opportunité qui doit être fortement encadré pour l utilisation en audit</t>
  </si>
  <si>
    <t>Aide à la décision, Rédaction (rapports, synthèses, notes, mails), Recherche d'informations ou de points techniques</t>
  </si>
  <si>
    <t xml:space="preserve">Expertise Comptable </t>
  </si>
  <si>
    <t>Comptable</t>
  </si>
  <si>
    <t>Q8_norm</t>
  </si>
  <si>
    <t>Q11_inv</t>
  </si>
  <si>
    <t>Q22_inv</t>
  </si>
  <si>
    <t>Q25_inv</t>
  </si>
  <si>
    <t>Q26_inv</t>
  </si>
  <si>
    <t>SUP</t>
  </si>
  <si>
    <t>SFU</t>
  </si>
  <si>
    <t>SRP</t>
  </si>
  <si>
    <t>SMF</t>
  </si>
  <si>
    <t>SS</t>
  </si>
  <si>
    <t>Q33_groupe</t>
  </si>
  <si>
    <t>INCLUS_ANALYSE</t>
  </si>
  <si>
    <t>📋 PROTOCOLE EXCEL — CHAPITRE 5 | PRÉPARATION DES DONNÉES</t>
  </si>
  <si>
    <t>Mémoire M2 CGAO — Lydérick HENRY — 2025-2026</t>
  </si>
  <si>
    <t>📊 ECHANTILLON FINAL</t>
  </si>
  <si>
    <t>Information</t>
  </si>
  <si>
    <t>Valeur</t>
  </si>
  <si>
    <t>Commentaire</t>
  </si>
  <si>
    <t>Réponses brutes collectées</t>
  </si>
  <si>
    <t>Exclusions Q1 = 'Jamais'</t>
  </si>
  <si>
    <t>Filtre 1 : retirer les non-utilisateurs</t>
  </si>
  <si>
    <t>Exclusions Q29 ≠ 'Neutre'</t>
  </si>
  <si>
    <t>Filtre 2 : question piège (réponse correcte = 4)</t>
  </si>
  <si>
    <t>Exclusion métiers ≠ 'Audit'</t>
  </si>
  <si>
    <t>Filtre 3 : Vérif métier = audit</t>
  </si>
  <si>
    <t>✅ Échantillon final retenu</t>
  </si>
  <si>
    <t>Base de travail pour toutes les analyses</t>
  </si>
  <si>
    <t>🔢 VARIABLES DÉRIVÉES CRÉÉES (colonnes calculées)</t>
  </si>
  <si>
    <t>Nom variable</t>
  </si>
  <si>
    <t>Formule Excel</t>
  </si>
  <si>
    <t>Colonnes source</t>
  </si>
  <si>
    <t>Justification</t>
  </si>
  <si>
    <t>((Q8-1)*(4/6))+1</t>
  </si>
  <si>
    <t>Q8 (col 34)</t>
  </si>
  <si>
    <t>Ramène l'échelle 1-7 en 1-5 pour homogénéiser avec Q6/Q7</t>
  </si>
  <si>
    <t>8 - Q13</t>
  </si>
  <si>
    <t>Q11 (col 37)</t>
  </si>
  <si>
    <t>Inversion : item 'formation nécessaire' → facilité perçue</t>
  </si>
  <si>
    <t>8 - Q24</t>
  </si>
  <si>
    <t>Q22 (col 51)</t>
  </si>
  <si>
    <t>Inversion : confiance aveugle → scepticisme (haut=bon)</t>
  </si>
  <si>
    <t>8 - Q27</t>
  </si>
  <si>
    <t>Q25 (col 54)</t>
  </si>
  <si>
    <t>Inversion : remise en question du jugement → scepticisme</t>
  </si>
  <si>
    <t>8 - Q28</t>
  </si>
  <si>
    <t>Q26 (col 55)</t>
  </si>
  <si>
    <t>Inversion : conclure sans preuve → scepticisme</t>
  </si>
  <si>
    <t>📐 SCORES COMPOSITES (moyennes des items)</t>
  </si>
  <si>
    <t>Score</t>
  </si>
  <si>
    <t>Concept</t>
  </si>
  <si>
    <t>Nb items</t>
  </si>
  <si>
    <t>Echelle</t>
  </si>
  <si>
    <t>⚠️ Point d'attention</t>
  </si>
  <si>
    <t>Utilité perçue (H1)</t>
  </si>
  <si>
    <t>@MOYENNE(Q6_1:Q6_10; Q7_1:Q7_10; Q8_norm)</t>
  </si>
  <si>
    <t>21</t>
  </si>
  <si>
    <t>1–5</t>
  </si>
  <si>
    <t>Q8 doit être normalisée en Q8_norm avant calcul</t>
  </si>
  <si>
    <t>Facilité d'usage (H2)</t>
  </si>
  <si>
    <t>@MOYENNE(Q9; Q10; Q11_inv)</t>
  </si>
  <si>
    <t>3</t>
  </si>
  <si>
    <t>1–7</t>
  </si>
  <si>
    <t>Q11 est inversée → utiliser Q11_inv</t>
  </si>
  <si>
    <t>Risques perçus (H3)</t>
  </si>
  <si>
    <t>@MOYENNE(Q12; Q13; Q14; Q15)</t>
  </si>
  <si>
    <t>4</t>
  </si>
  <si>
    <t>Score élevé = risques fortement perçus</t>
  </si>
  <si>
    <t>Maîtrise technique (H4a/H4b)</t>
  </si>
  <si>
    <t>@MOYENNE(Q19; Q20; Q21)</t>
  </si>
  <si>
    <t>Score élevé = auditeur bien formé et confiant</t>
  </si>
  <si>
    <t>Scepticisme professionnel (H4b)</t>
  </si>
  <si>
    <t>@MOYENNE(Q22_inv; Q23; Q24; Q25_inv; Q26_inv)</t>
  </si>
  <si>
    <t>5</t>
  </si>
  <si>
    <t>Q22, Q25, Q26 inversées avant calcul</t>
  </si>
  <si>
    <t>🏷️ REGROUPEMENT Q33 (Grade hiérarchique)</t>
  </si>
  <si>
    <t>💡 9 grades différents → regrouper en 3 niveaux car certains groupes ont &lt; 5 répondants (tests statistiques invalides)</t>
  </si>
  <si>
    <t>Groupe</t>
  </si>
  <si>
    <t>Label</t>
  </si>
  <si>
    <t>Grades inclus</t>
  </si>
  <si>
    <t>N dans l'échantillon</t>
  </si>
  <si>
    <t>1</t>
  </si>
  <si>
    <t>Stagiaire, Alternant, Junior</t>
  </si>
  <si>
    <t>2</t>
  </si>
  <si>
    <t>Senior-Manager</t>
  </si>
  <si>
    <t>Superviseur, Senior, Senior Manager, Manager</t>
  </si>
  <si>
    <t>SECTION 5.1 — PROFIL DE L'ECHANTILLON</t>
  </si>
  <si>
    <t>N total analyse :</t>
  </si>
  <si>
    <t>Q31 — Tranche d'age</t>
  </si>
  <si>
    <t>Modalite</t>
  </si>
  <si>
    <t>N</t>
  </si>
  <si>
    <t>%</t>
  </si>
  <si>
    <t>Graphique</t>
  </si>
  <si>
    <t>Q32 — Genre</t>
  </si>
  <si>
    <t>Q33 — Grade (regroupe en 3 niveaux)</t>
  </si>
  <si>
    <t>Associe</t>
  </si>
  <si>
    <t>Q34 — Annees d'experience</t>
  </si>
  <si>
    <t>Q35 — Coeur de metier (Le total peut dépasser si ils ont plusieurs cœur de métiers)</t>
  </si>
  <si>
    <t>Audit Financier / EXPERTISE COMPTABLE ET COMMISSARIAT AUX COMPTES</t>
  </si>
  <si>
    <t>Audit Interne</t>
  </si>
  <si>
    <t>Audit RSE</t>
  </si>
  <si>
    <t>Q36 — Taille du cabinet</t>
  </si>
  <si>
    <t>Cabinet regional</t>
  </si>
  <si>
    <t>ANALYSE Q2 À Q5 — TYPE ET USAGE DE L'IAG</t>
  </si>
  <si>
    <t>Modalité</t>
  </si>
  <si>
    <t>Graphique (●=5%)</t>
  </si>
  <si>
    <t>Q2 — Type d'IAG utilisé principalement</t>
  </si>
  <si>
    <t>Cabinet (Copilot sécurisé)</t>
  </si>
  <si>
    <t>Mix (les deux)</t>
  </si>
  <si>
    <t>Grand public (ChatGPT...)</t>
  </si>
  <si>
    <t>Q3 — Outils IAG utilisés (multi-réponses, total &gt; 100%)</t>
  </si>
  <si>
    <t>Copilot</t>
  </si>
  <si>
    <t>ChatGPT</t>
  </si>
  <si>
    <t>Outils spécifiques cabinet</t>
  </si>
  <si>
    <t>Gemini</t>
  </si>
  <si>
    <t>Mistral</t>
  </si>
  <si>
    <t>Claude</t>
  </si>
  <si>
    <t>Perplexity</t>
  </si>
  <si>
    <t>Grok</t>
  </si>
  <si>
    <t>Autres</t>
  </si>
  <si>
    <t>Q4 — Tâches réalisées avec l'IAG (multi-réponses)</t>
  </si>
  <si>
    <t>Reformulation / Traduction</t>
  </si>
  <si>
    <t>Rédaction (rapports, synthèses...)</t>
  </si>
  <si>
    <t>Recherche d'informations</t>
  </si>
  <si>
    <t>Correction et mise en cohérence</t>
  </si>
  <si>
    <t>Préparation de données</t>
  </si>
  <si>
    <t>Automatisation / Scripts (SQL, VBA)</t>
  </si>
  <si>
    <t>Analyse de données / insights</t>
  </si>
  <si>
    <t>Rapprochement / Comparaison de docs</t>
  </si>
  <si>
    <t>Aide à la décision</t>
  </si>
  <si>
    <t>Évaluation du contrôle interne</t>
  </si>
  <si>
    <t>Q5 — Mode d'usage de l'IAG</t>
  </si>
  <si>
    <t>Volontaire (choix personnel)</t>
  </si>
  <si>
    <t>Recommandé par le cabinet</t>
  </si>
  <si>
    <t>Très rarement (&lt; 1x/mois)</t>
  </si>
  <si>
    <t>Rarement (1 à 3x/mois)</t>
  </si>
  <si>
    <t>Parfois (1x/semaine)</t>
  </si>
  <si>
    <t>Régulièrement (plusieurs x/semaine)</t>
  </si>
  <si>
    <t>Quotidiennement (1x/jour)</t>
  </si>
  <si>
    <t>Très fréquemment (plusieurs x/jour)</t>
  </si>
  <si>
    <t>CALCUL ALPHA DE CRONBACH — Mémoire M2 CGAO — Lydérick HENRY</t>
  </si>
  <si>
    <t xml:space="preserve">  Source des données : onglet 'DONNEES_SOURCE'  |  85 observations brutes  |  Items intermédiaires calculés dans cette feuille</t>
  </si>
  <si>
    <t xml:space="preserve">  RÉSULTATS ALPHA DE CRONBACH</t>
  </si>
  <si>
    <t>Échelle</t>
  </si>
  <si>
    <t>k items</t>
  </si>
  <si>
    <t>Alpha (α)</t>
  </si>
  <si>
    <t>Interprétation</t>
  </si>
  <si>
    <t>Note</t>
  </si>
  <si>
    <t xml:space="preserve">  PARTIE 1 — COLONNES INTERMÉDIAIRES (items texte convertis en numérique + inversions)</t>
  </si>
  <si>
    <t xml:space="preserve">  Les colonnes Q6/Q7/Q9/Q10/Q19/Q22 sont des réponses texte (ex: '4. Utile') → extraction du chiffre via GAUCHE(). Q8_norm, Q11_inv, Q22_inv, Q25_inv, Q26_inv = calculs d'inversion/normalisation.</t>
  </si>
  <si>
    <t>Obs#</t>
  </si>
  <si>
    <t>Q6_1
(num)</t>
  </si>
  <si>
    <t>Q6_2
(num)</t>
  </si>
  <si>
    <t>Q6_3
(num)</t>
  </si>
  <si>
    <t>Q6_4
(num)</t>
  </si>
  <si>
    <t>Q6_5
(num)</t>
  </si>
  <si>
    <t>Q6_6
(num)</t>
  </si>
  <si>
    <t>Q6_7
(num)</t>
  </si>
  <si>
    <t>Q6_8
(num)</t>
  </si>
  <si>
    <t>Q6_9
(num)</t>
  </si>
  <si>
    <t>Q6_10
(num)</t>
  </si>
  <si>
    <t>Q7_1
(num)</t>
  </si>
  <si>
    <t>Q7_2
(num)</t>
  </si>
  <si>
    <t>Q7_3
(num)</t>
  </si>
  <si>
    <t>Q7_4
(num)</t>
  </si>
  <si>
    <t>Q7_5
(num)</t>
  </si>
  <si>
    <t>Q7_6
(num)</t>
  </si>
  <si>
    <t>Q7_7
(num)</t>
  </si>
  <si>
    <t>Q7_8
(num)</t>
  </si>
  <si>
    <t>Q7_9
(num)</t>
  </si>
  <si>
    <t>Q7_10
(num)</t>
  </si>
  <si>
    <t>Q8_norm
((Q8-1)×4/6)+1</t>
  </si>
  <si>
    <t>Q9_num
GAUCHE(AJ)</t>
  </si>
  <si>
    <t>Q10_num
GAUCHE(AK)</t>
  </si>
  <si>
    <t>Q11_inv
8-AL</t>
  </si>
  <si>
    <t>Q19_num
GAUCHE(AW)</t>
  </si>
  <si>
    <t>Q22_inv
8-GAUCHE(AZ)</t>
  </si>
  <si>
    <t>Q25_inv
8-BC</t>
  </si>
  <si>
    <t>Q26_inv
8-BD</t>
  </si>
  <si>
    <t>Score
SUP</t>
  </si>
  <si>
    <t>Score
SFU</t>
  </si>
  <si>
    <t>Score
SRP</t>
  </si>
  <si>
    <t>Score
SMF</t>
  </si>
  <si>
    <t>Score
SS</t>
  </si>
  <si>
    <t xml:space="preserve">  PARTIE 2 — CALCUL DE L'ALPHA DE CRONBACH PAR ÉCHELLE</t>
  </si>
  <si>
    <t xml:space="preserve">  SUP  —  k = 21 items  —  Utilité perçue</t>
  </si>
  <si>
    <t>Σ Variances items</t>
  </si>
  <si>
    <t>Variance score total</t>
  </si>
  <si>
    <t>k / (k-1)</t>
  </si>
  <si>
    <t>1  −  (Σvar / var_total)</t>
  </si>
  <si>
    <t>α  =  k/(k-1)  ×  (1 − Σvar/var_tot)</t>
  </si>
  <si>
    <t xml:space="preserve">  SFU  —  k = 3 items  —  Facilité d'usage</t>
  </si>
  <si>
    <t xml:space="preserve">  SRP  —  k = 4 items  —  Risques perçus</t>
  </si>
  <si>
    <t xml:space="preserve">  SMF  —  k = 3 items  —  Maîtrise technique</t>
  </si>
  <si>
    <t xml:space="preserve">  SS  —  k = 5 items  —  Scepticisme professionnel</t>
  </si>
  <si>
    <t>SECTION 5.2 - STATISTIQUES DESCRIPTIVES &amp; FIABILITE (ALPHA DE CRONBACH)</t>
  </si>
  <si>
    <t>Moyenne</t>
  </si>
  <si>
    <t>Mediane</t>
  </si>
  <si>
    <t>Éc.-type</t>
  </si>
  <si>
    <t>Min</t>
  </si>
  <si>
    <t>Max</t>
  </si>
  <si>
    <t>Interpretation</t>
  </si>
  <si>
    <t>Utilite percue (H1)</t>
  </si>
  <si>
    <t>1-5</t>
  </si>
  <si>
    <t>Facilite d'usage (H2)</t>
  </si>
  <si>
    <t>1-7</t>
  </si>
  <si>
    <t>Risques percus (H3)</t>
  </si>
  <si>
    <t>Maitrise tech. (H4a/H4b)</t>
  </si>
  <si>
    <t>Scepticisme prof. (H4b)</t>
  </si>
  <si>
    <t>Q1</t>
  </si>
  <si>
    <t>Usage IAG (frequence)</t>
  </si>
  <si>
    <t>Q30</t>
  </si>
  <si>
    <t>Perception benefices-risques</t>
  </si>
  <si>
    <t>B - ALPHA DE CRONBACH (Fiabilite interne)</t>
  </si>
  <si>
    <t>Seuil : &gt;= 0.70 (fiable) | &gt;= 0.85 (tres fiable). Alpha = (k/(k-1)) * (1 - SumVar_items/Var_total). Formules matricielles pour SRP et SS.</t>
  </si>
  <si>
    <t>Items inclus</t>
  </si>
  <si>
    <t>Alpha</t>
  </si>
  <si>
    <t>Seuil</t>
  </si>
  <si>
    <t>Evaluation</t>
  </si>
  <si>
    <t>Q6_1..Q6_10, Q7_1..Q7_10, Q8_norm (21 items)</t>
  </si>
  <si>
    <t>&gt;= 0,85</t>
  </si>
  <si>
    <t>Q9, Q10 (texte), Q11_inv (num)</t>
  </si>
  <si>
    <t>&gt;= 0,7</t>
  </si>
  <si>
    <t>Faible mais acceptable</t>
  </si>
  <si>
    <t>Q12, Q13, Q14, Q15 (numeriques)</t>
  </si>
  <si>
    <t>Limite a souligner</t>
  </si>
  <si>
    <t>Q19 (texte), Q20, Q21 (numeriques)</t>
  </si>
  <si>
    <t>Q22_inv, Q23, Q24, Q25_inv, Q26_inv</t>
  </si>
  <si>
    <t>SECTION 5.3 - TEST DES HYPOTHESES (Spearman + Regressions)</t>
  </si>
  <si>
    <t>Spearman et OLS sont calcules dans Protocole_Excel_Chapitre5 (Python). Ce fichier recalcule les moyennes et le N.</t>
  </si>
  <si>
    <t>A - STATISTIQUES DE BASE</t>
  </si>
  <si>
    <t>Hypothese</t>
  </si>
  <si>
    <t>Var. X</t>
  </si>
  <si>
    <t>Var. Y</t>
  </si>
  <si>
    <t>N filtre</t>
  </si>
  <si>
    <t>Moy. X</t>
  </si>
  <si>
    <t>Moy. Y</t>
  </si>
  <si>
    <t>ET X</t>
  </si>
  <si>
    <t>ET Y</t>
  </si>
  <si>
    <t xml:space="preserve"> H1: SUP -&gt; Q1</t>
  </si>
  <si>
    <t xml:space="preserve"> H2: SFU -&gt; Q1</t>
  </si>
  <si>
    <t xml:space="preserve"> H3a: SRP -&gt; Q17</t>
  </si>
  <si>
    <t>Q17</t>
  </si>
  <si>
    <t xml:space="preserve"> H4a: SMF (moder)</t>
  </si>
  <si>
    <t xml:space="preserve"> H4b-1: SMF -&gt; SS</t>
  </si>
  <si>
    <t xml:space="preserve"> H4b-2: SRP -&gt; SS</t>
  </si>
  <si>
    <t>B - SOUS-GROUPES H4a : moyennes SRP et Q1 par niveau SMF</t>
  </si>
  <si>
    <t>Sous-groupe</t>
  </si>
  <si>
    <t>Critere SMF</t>
  </si>
  <si>
    <t>Moy. SRP</t>
  </si>
  <si>
    <t>Moy. Q1</t>
  </si>
  <si>
    <t>Peu formes</t>
  </si>
  <si>
    <t>SMF &lt;= 3</t>
  </si>
  <si>
    <t>Groupe reference</t>
  </si>
  <si>
    <t>Bien formes</t>
  </si>
  <si>
    <t>SMF &gt;= 5</t>
  </si>
  <si>
    <t>C - TABLE RECAPITULATIVE : saisir les rho et p-values depuis Protocole_Excel_Chapitre5</t>
  </si>
  <si>
    <t>Test</t>
  </si>
  <si>
    <t>rho (Spearman)</t>
  </si>
  <si>
    <t>p-value</t>
  </si>
  <si>
    <t>Significatif?</t>
  </si>
  <si>
    <t>Direction</t>
  </si>
  <si>
    <t>Verdict</t>
  </si>
  <si>
    <t>Dir. attendue</t>
  </si>
  <si>
    <t>H1: SUP -&gt; Q1</t>
  </si>
  <si>
    <t>Spearman</t>
  </si>
  <si>
    <t>A verifier</t>
  </si>
  <si>
    <t>&gt; 0</t>
  </si>
  <si>
    <t>H2: SFU -&gt; Q1</t>
  </si>
  <si>
    <t>H3a: SRP -&gt; Q17</t>
  </si>
  <si>
    <t>&lt; 0</t>
  </si>
  <si>
    <t>H4a: moderation</t>
  </si>
  <si>
    <t>rho reduit</t>
  </si>
  <si>
    <t>H4b-1: SMF -&gt; SS</t>
  </si>
  <si>
    <t>H4b-2: SRP -&gt; SS</t>
  </si>
  <si>
    <t>SECTION 5.4 - ANALYSES COMPLEMENTAIRES (Comparaisons de groupes)</t>
  </si>
  <si>
    <t>A - MOYENNES PAR GRADE (Q33_groupe) - Base Kruskal-Wallis</t>
  </si>
  <si>
    <t>ET</t>
  </si>
  <si>
    <t>-&gt; Kruskal-Wallis dans fichier Protocole</t>
  </si>
  <si>
    <t>B - MOYENNES PAR TAILLE CABINET (Q36 : Big4 vs Autres) - Base Mann-Whitney</t>
  </si>
  <si>
    <t>Big4/International</t>
  </si>
  <si>
    <t>-&gt; Mann-Whitney dans fichier Protocole</t>
  </si>
  <si>
    <t>Autres cabinets</t>
  </si>
  <si>
    <t>C - CLASSEMENT DES RISQUES (Q16) - Importance percue</t>
  </si>
  <si>
    <t>Risque</t>
  </si>
  <si>
    <t>Colonne</t>
  </si>
  <si>
    <t>Moy 1-5</t>
  </si>
  <si>
    <t>Hallucinations (Q16_1)</t>
  </si>
  <si>
    <t>Col 43 (texte)</t>
  </si>
  <si>
    <t>Trier col D decroissant pour classement</t>
  </si>
  <si>
    <t>Confidentialite (Q16_2)</t>
  </si>
  <si>
    <t>Col 44 (texte)</t>
  </si>
  <si>
    <t>Boite noire (Q16_3)</t>
  </si>
  <si>
    <t>Col 45 (texte)</t>
  </si>
  <si>
    <t>Responsabilite (Q16_4)</t>
  </si>
  <si>
    <t>Col 46 (texte)</t>
  </si>
  <si>
    <t>SECTION 5.5 — GUIDE DE REDACTION DE LA DISCUSSION</t>
  </si>
  <si>
    <t>RECAPITULATIF DES HYPOTHESES — Resultats lus depuis 5.3_HYPOTHESES</t>
  </si>
  <si>
    <t>Hyp.</t>
  </si>
  <si>
    <t>Axes de discussion</t>
  </si>
  <si>
    <t>H1</t>
  </si>
  <si>
    <t>SUP - Utilite percue</t>
  </si>
  <si>
    <t>Confirme/infirme TAM (Davis 1989). Comparer SUP_prod vs SUP_qual. Lien avec litterature audit IA.</t>
  </si>
  <si>
    <t>H2</t>
  </si>
  <si>
    <t>SFU - Facilite d'usage</t>
  </si>
  <si>
    <t>2e pilier TAM. Si rho(SFU) &lt; rho(SUP) -&gt; utilite prime sur facilite d'usage.</t>
  </si>
  <si>
    <t>H3a</t>
  </si>
  <si>
    <t>SRP - Risques (frein)</t>
  </si>
  <si>
    <t>Munoko et al. (2020) sur biais d'automatisation. Risque le + redoute (voir Q16 en 5.4).</t>
  </si>
  <si>
    <t>H3b</t>
  </si>
  <si>
    <t>SRP - Risques (usage)</t>
  </si>
  <si>
    <t>Coherence avec H3a. Si H3a sig. mais H3b n.s. -&gt; risques perçus freinent l'adoption directe.</t>
  </si>
  <si>
    <t>H4a</t>
  </si>
  <si>
    <t>Formation - moderateur</t>
  </si>
  <si>
    <t>Liang et al. (2025) sur digital audit talent. Implications pratiques : formation en cabinet.</t>
  </si>
  <si>
    <t>H4b(1)</t>
  </si>
  <si>
    <t>SMF - Scepticisme</t>
  </si>
  <si>
    <t>Hurtt (2010) sur les 6 dimensions du scepticisme. Maitrise preserve l'esprit critique.</t>
  </si>
  <si>
    <t>H4b(2)</t>
  </si>
  <si>
    <t>SRP - Scepticisme (negatif)</t>
  </si>
  <si>
    <t>Samiolo et al. (2024) sur deskilling des juniors. Risques non maitrises erodent le scepticisme.</t>
  </si>
  <si>
    <t>Note : les colonnes rho, p-value et Verdict se mettent a jour automatiquement quand vous saisissez les valeurs dans la table C de 5.3_HYPOTHESES (cellules jaunes).</t>
  </si>
  <si>
    <t>GUIDE DE REDACTION — Points a aborder dans chaque sous-partie</t>
  </si>
  <si>
    <t>TAM valide ?</t>
  </si>
  <si>
    <t>Rappeler H1 et H2. Commenter lequel des deux piliers (utilite vs facilite) est plus determinant. Si rho(SFU) &gt; rho(SUP) -&gt; facilite prime. Lier a Davis (1989) et aux etudes recentes sur l'adoption de l'IA en audit. Nuancer selon les resultats.</t>
  </si>
  <si>
    <t>Risques comme frein reel ?</t>
  </si>
  <si>
    <t>Discuter H3a et H3b : le risque est-il percu (H3a sig.) mais contourne dans la pratique (H3b n.s.) ? Identifier le risque le + redoute via Q16 (feuille 5.4). Citer Munoko et al. (2020), Fotoh &amp; Mugwira (2025) sur les hallucinations.</t>
  </si>
  <si>
    <t>Role de la formation (H4a)</t>
  </si>
  <si>
    <t>H4a soutenue ou non ? Comparer rho peu formes vs rho bien formes. Discuter les effectifs des sous-groupes. Implications pratiques : recommander des formations IA ciblees dans les cabinets. Lier a Liang et al. (2025).</t>
  </si>
  <si>
    <t>Scepticisme menace ? (H4b)</t>
  </si>
  <si>
    <t>H4b doublement confirmee ou non ? Quel predicteur est le plus fort (SMF ou SRP) ? Lier a Hurtt (2010) et Samiolo et al. (2024). Risque de 'deskilling' chez les juniors si H4b-2 confirmee ?</t>
  </si>
  <si>
    <t>Limites a mentionner</t>
  </si>
  <si>
    <t>1/ n=75 : taille modeste -&gt; puissance statistique limitee, resultats exploratoires. 2/ Donnees declaratives -&gt; biais de desirabilite sociale. 3/ Perimetre France uniquement -&gt; generalisation limitee. 4/ Cross-sectionnel -&gt; causalite non etablie.</t>
  </si>
  <si>
    <t>Recommandations pratiques</t>
  </si>
  <si>
    <t>Formation IA obligatoire dans les cabinets. Charte d'usage de l'IAG. Supervision augmentee des juniors. Politique de gestion des donnees confidentielles. Citer Fedyk et al. (2022) et Li &amp; Goel (2025).</t>
  </si>
  <si>
    <t>D - CALCULS SPEARMAN — FORMULES EXCEL NATIVES (SUMPRODUCT + COUNTIFS)</t>
  </si>
  <si>
    <t>Hypothèse</t>
  </si>
  <si>
    <t>Var X</t>
  </si>
  <si>
    <t>Var Y</t>
  </si>
  <si>
    <t>N paires</t>
  </si>
  <si>
    <t>t-stat</t>
  </si>
  <si>
    <t>H1: SUP → Q1</t>
  </si>
  <si>
    <t>BU</t>
  </si>
  <si>
    <t>B</t>
  </si>
  <si>
    <t>H2: SFU → Q1</t>
  </si>
  <si>
    <t>BV</t>
  </si>
  <si>
    <t>H3a: SRP → Q17</t>
  </si>
  <si>
    <t>BW</t>
  </si>
  <si>
    <t>AU</t>
  </si>
  <si>
    <t>H4b-1: SMF → SS</t>
  </si>
  <si>
    <t>BX</t>
  </si>
  <si>
    <t>BY</t>
  </si>
  <si>
    <t>H4b-2: SRP → SS</t>
  </si>
  <si>
    <t>Jamais</t>
  </si>
  <si>
    <t>A RAJOUTER en précisant que du coup c'est hors jeu</t>
  </si>
  <si>
    <t>Q1 — Fréquence d'usage de l'IAG &gt; total</t>
  </si>
  <si>
    <t>Q1num</t>
  </si>
  <si>
    <t>SRP_H3a</t>
  </si>
  <si>
    <t>Q1. À quelle fréquence utilisez-vous l'IA générative dans le cadre de votre travail en audit ?  (num)</t>
  </si>
  <si>
    <t>TOTAL</t>
  </si>
  <si>
    <t>E - Corrélation Q17 – Q18</t>
  </si>
  <si>
    <t>D – INTENTION D'USAGE FUTUR (Q27)</t>
  </si>
  <si>
    <t>Si Moy. Q1 des bien formés &gt; Moy. Q1 des peu formés → H4a soutenue (avec prudence)</t>
  </si>
  <si>
    <t>SRP_h3a-2</t>
  </si>
  <si>
    <t>Q1num_h3a-2</t>
  </si>
  <si>
    <t xml:space="preserve"> h3a-2: SRP -&gt; Q1</t>
  </si>
  <si>
    <t>h3a-2: SRP -&gt; Q1</t>
  </si>
  <si>
    <t>h3a-2: SRP → Q1</t>
  </si>
  <si>
    <t>% de N</t>
  </si>
  <si>
    <t>Oui — Augmentation prévue</t>
  </si>
  <si>
    <t>Non — Pas d'augmentation prévue</t>
  </si>
  <si>
    <t>Conditionnel / Incertain</t>
  </si>
  <si>
    <t>E3 — Distribution comparée Q17 / Q18 (échelle 1-7)</t>
  </si>
  <si>
    <t>Échelon</t>
  </si>
  <si>
    <t>Q17 — Frein actuel</t>
  </si>
  <si>
    <t>Q18 — Intention latente</t>
  </si>
  <si>
    <t>FEUILLE H1 — TEST DE L'HYPOTHÈSE H1 : SUP → Q1 (Utilité perçue → Usage)</t>
  </si>
  <si>
    <t>SECTION A — STATISTIQUES DESCRIPTIVES &amp; PRÉPARATIONS</t>
  </si>
  <si>
    <t>Variable</t>
  </si>
  <si>
    <t>N (valide)</t>
  </si>
  <si>
    <t>Médiane</t>
  </si>
  <si>
    <t>Écart-type</t>
  </si>
  <si>
    <t>Q1 (Usage numérique)</t>
  </si>
  <si>
    <t>SUP (Score utilité perçue)</t>
  </si>
  <si>
    <t>Q6_Extraction (Productivité)</t>
  </si>
  <si>
    <t>Q6_Résumé (Productivité)</t>
  </si>
  <si>
    <t>Q6_Rédaction (Productivité)</t>
  </si>
  <si>
    <t>Q7_Extraction (Qualité)</t>
  </si>
  <si>
    <t>Q7_Résumé (Qualité)</t>
  </si>
  <si>
    <t>Q7_Rédaction (Qualité)</t>
  </si>
  <si>
    <t>Cette section calcule les effectifs, moyennes, médianes et écarts-types filtrés sur INCLUS_ANALYSE=VRAI pour Q1, SUP et les items Q6/Q7. Zéro donnée en dur — tout provient de formules.</t>
  </si>
  <si>
    <t>Fréquence usage (échelle 1-7)</t>
  </si>
  <si>
    <t>Score composite (21 items, échelle 1-5)</t>
  </si>
  <si>
    <t>Extraction données (échelle 1-5)</t>
  </si>
  <si>
    <t>Résumé données (échelle 1-5)</t>
  </si>
  <si>
    <t>Rédaction (échelle 1-5)</t>
  </si>
  <si>
    <t>Extraction qualité (échelle 1-5)</t>
  </si>
  <si>
    <t>Résumé qualité (échelle 1-5)</t>
  </si>
  <si>
    <t>Rédaction qualité (échelle 1-5)</t>
  </si>
  <si>
    <t>SECTION B — SOUS-GROUPES PAR GRADE (Q33_groupe)</t>
  </si>
  <si>
    <t>Cette section compare les valeurs par GRADE (Junior / Senior-Manager / Associé), toujours filtrées sur INCLUS_ANALYSE=VRAI. Objectif : détecter des différences de profils.</t>
  </si>
  <si>
    <t>Grade</t>
  </si>
  <si>
    <t>Q1 (Usage)</t>
  </si>
  <si>
    <t>SUP (Utilité perçue)</t>
  </si>
  <si>
    <t>SECTION C — TABLEAU RÉCAPITULATIF DES CORRÉLATIONS SPEARMAN (H1)</t>
  </si>
  <si>
    <t>Cette section synthétise les corrélations Spearman entre Q1 (usage) et les items Q6/Q7. Les cases "Sig." codent la significativité: *** p&lt;0.001, ** p&lt;0.01, * p&lt;0.05, . p&lt;0.10, NS sinon.</t>
  </si>
  <si>
    <t>Corrélation</t>
  </si>
  <si>
    <t>ρ Spearman</t>
  </si>
  <si>
    <t>ddl</t>
  </si>
  <si>
    <t>Sig.</t>
  </si>
  <si>
    <t>SUP → Q1 (score global)</t>
  </si>
  <si>
    <t>Q6_Extraction → Q1</t>
  </si>
  <si>
    <t>Q6_Résumé → Q1</t>
  </si>
  <si>
    <t>Q6_Rédaction → Q1</t>
  </si>
  <si>
    <t>Q7_Extraction → Q1</t>
  </si>
  <si>
    <t>Q7_Résumé → Q1</t>
  </si>
  <si>
    <t>Q7_Rédaction → Q1</t>
  </si>
  <si>
    <t>SECTION D — CALCULS SPEARMAN DÉTAILLÉS (Formules transparentes)</t>
  </si>
  <si>
    <t>Nous testons H1: "Plus l'utilité perçue (SUP/Q6/Q7) est élevée, plus l'usage Q1 est fréquent". Le ρ de Spearman corrèle les rangs de X et Y (filtrés), puis t, ddl, p bilatérale et significativité sont dérivés.</t>
  </si>
  <si>
    <t>Formules: n=paires valides | ρ=CORREL(RANK.AVG(X),RANK.AVG(Y)) | t=ρ×√(n-2)/√(1-ρ²) | p=T.DIST.2T(|t|,ddl)</t>
  </si>
  <si>
    <t>Corrélation testée</t>
  </si>
  <si>
    <t>ZONE DE CALCUL AUXILIAIRE (masquer si besoin)</t>
  </si>
  <si>
    <t>INCLUS</t>
  </si>
  <si>
    <t>Q1_num</t>
  </si>
  <si>
    <t>Q6_Ext</t>
  </si>
  <si>
    <t>Q6_Res</t>
  </si>
  <si>
    <t>Q6_Red</t>
  </si>
  <si>
    <t>Q7_Ext</t>
  </si>
  <si>
    <t>Q7_Res</t>
  </si>
  <si>
    <t>Q7_Red</t>
  </si>
  <si>
    <t>Q6_Rés</t>
  </si>
  <si>
    <t>Q6_Réd</t>
  </si>
  <si>
    <t>Q7_Rés</t>
  </si>
  <si>
    <t>Q7_Réd</t>
  </si>
  <si>
    <t>SECTION E — INTERPRÉTATION DES RÉSULTATS H1</t>
  </si>
  <si>
    <t>H1 est testée localement par tâche : si ρ&gt;0 et Sig. au seuil (*, ** ou ***), l'hypothèse est confirmée pour la tâche considérée ; sinon non confirmée.</t>
  </si>
  <si>
    <t>En cas de non-significativité combinée à des médianes très élevées en Section A (ex. 4-5/5 pour 80%+ des répondants), conclure à un effet plafond (faible variance → difficile de corréler).</t>
  </si>
  <si>
    <t>VERDICT H1 GLOBAL:</t>
  </si>
  <si>
    <t>Résultat par tâche:</t>
  </si>
  <si>
    <t>Interprétation:</t>
  </si>
  <si>
    <t>L'utilité perçue (SUP composite) ne prédit pas significativement l'usage de l'IAG (p=0.18). Seule la rédaction montre une corrélation significative avec l'usage, suggérant que cette tâche spécifique est le principal moteur d'adoption. Effet plafond possible sur les items Extraction/Résumé (médianes élevées, faible variance).</t>
  </si>
  <si>
    <t>NOTE MÉTHODOLOGIQUE:</t>
  </si>
  <si>
    <t>Formules Spearman: ρ=CORREL(RANK.AVG(X),RANK.AVG(Y)) sur données filtrées (INCLUS_ANALYSE=VRAI). t=ρ×√(n-2)/√(1-ρ²), p=T.DIST.2T(|t|,n-2). Les colonnes K-T contiennent les valeurs numériques intermédiaires extraites de DONNEES_SOURCE.</t>
  </si>
  <si>
    <t>FEUILLE H2 — TEST DE L'HYPOTHÈSE H2 : SFU → Q1 (Facilité d'usage → Usage)</t>
  </si>
  <si>
    <t>ZONE DE CALCUL AUXILIAIRE</t>
  </si>
  <si>
    <t>Q9_num</t>
  </si>
  <si>
    <t>Q10_num</t>
  </si>
  <si>
    <t>Cette section calcule les effectifs, moyennes, médianes et écarts-types filtrés sur INCLUS_ANALYSE=VRAI pour Q1, SFU et ses composantes (Q9, Q10, Q11_inv). Zéro donnée en dur — tout provient de formules.</t>
  </si>
  <si>
    <t>SFU (Score facilité d'usage)</t>
  </si>
  <si>
    <t>Q9 (Prise en main)</t>
  </si>
  <si>
    <t>Q10 (Intégration workflow)</t>
  </si>
  <si>
    <t>Q11_inv (Formation inversée)</t>
  </si>
  <si>
    <t>Score composite (3 items, échelle 1-7)</t>
  </si>
  <si>
    <t>Prise en main outils (échelle 1-7)</t>
  </si>
  <si>
    <t>Intégration naturelle (échelle 1-7)</t>
  </si>
  <si>
    <t>8 - Q11 (inversé, échelle 1-7)</t>
  </si>
  <si>
    <t>SFU (Facilité d'usage)</t>
  </si>
  <si>
    <t>SECTION C — TABLEAU RÉCAPITULATIF DES CORRÉLATIONS SPEARMAN (H2)</t>
  </si>
  <si>
    <t>Cette section synthétise les corrélations Spearman entre Q1 (usage) et SFU/composantes. Les cases "Sig." codent la significativité: *** p&lt;0.001, ** p&lt;0.01, * p&lt;0.05, . p&lt;0.10, NS sinon.</t>
  </si>
  <si>
    <t>SFU → Q1 (score global)</t>
  </si>
  <si>
    <t>Q9 (Prise en main) → Q1</t>
  </si>
  <si>
    <t>Q10 (Intégration) → Q1</t>
  </si>
  <si>
    <t>Q11_inv (Formation) → Q1</t>
  </si>
  <si>
    <t>SECTION D — CALCULS SPEARMAN DÉTAILLÉS (formules visibles)</t>
  </si>
  <si>
    <t>Nous testons H2 : "Plus la facilité d'usage perçue (SFU) est élevée, plus l'usage Q1 est fréquent". Le ρ de Spearman est calculé en corrélant les rangs de X et Y (filtrés), puis t, ddl, p bilatérale et significativité sont dérivés.</t>
  </si>
  <si>
    <t>(1) N valide</t>
  </si>
  <si>
    <t>(2) ρ = CORREL(rangs)</t>
  </si>
  <si>
    <t>(3) t = ρ*√(n-2)/√(1-ρ²)</t>
  </si>
  <si>
    <t>(4) n-2</t>
  </si>
  <si>
    <t>(5) T.DIST.2T</t>
  </si>
  <si>
    <t>(6) Seuils</t>
  </si>
  <si>
    <t>--- SFU → Q1 ---</t>
  </si>
  <si>
    <t>SFU → Q1</t>
  </si>
  <si>
    <t>--- Q9 (Prise en main) → Q1 ---</t>
  </si>
  <si>
    <t>Q9 → Q1</t>
  </si>
  <si>
    <t>Q9</t>
  </si>
  <si>
    <t>--- Q10 (Intégration workflow) → Q1 ---</t>
  </si>
  <si>
    <t>Q10 → Q1</t>
  </si>
  <si>
    <t>Q10</t>
  </si>
  <si>
    <t>--- Q11_inv (Formation inversée) → Q1 ---</t>
  </si>
  <si>
    <t>Q11_inv → Q1</t>
  </si>
  <si>
    <t>SECTION E — INTERPRÉTATION</t>
  </si>
  <si>
    <t>H2 est testée : si ρ(SFU,Q1) &gt; 0 et Sig. au seuil (* ou mieux), l'hypothèse est confirmée. La facilité d'usage perçue prédit positivement la fréquence d'utilisation de l'IAG.</t>
  </si>
  <si>
    <t>Interprétation TAM : Si H2 est confirmée ET ρ(SFU,Q1) &gt; ρ(SUP,Q1), alors la facilité d'usage prime sur l'utilité perçue dans ce contexte (audit avec IAG). Comparer avec les résultats de H1.</t>
  </si>
  <si>
    <t>Composantes : Q9 (prise en main) et Q10 (intégration workflow) mesurent des aspects pratiques. Q11_inv mesure si l'absence de besoin de formation favorise l'usage. Une corrélation forte de Q10 suggère que l'intégration fluide est clé.</t>
  </si>
  <si>
    <t>FEUILLE H3 — TEST DE L'HYPOTHÈSE H3 : SRP → Q17/Q1 (Risques perçus → Frein/Usage)</t>
  </si>
  <si>
    <t>Q12</t>
  </si>
  <si>
    <t>Q13</t>
  </si>
  <si>
    <t>Q14</t>
  </si>
  <si>
    <t>Q15</t>
  </si>
  <si>
    <t>Cette section calcule les effectifs, moyennes, médianes et écarts-types filtrés sur INCLUS_ANALYSE=VRAI pour SRP, Q17 (frein déclaré) et ses composantes (Q12-Q15). Zéro donnée en dur — tout provient de formules.</t>
  </si>
  <si>
    <t>SRP (Score risques perçus)</t>
  </si>
  <si>
    <t>Q17 (Frein déclaré)</t>
  </si>
  <si>
    <t>Q12 (Hallucinations)</t>
  </si>
  <si>
    <t>Q13 (Confidentialité)</t>
  </si>
  <si>
    <t>Q14 (Boîte noire)</t>
  </si>
  <si>
    <t>Q15 (Responsabilité)</t>
  </si>
  <si>
    <t>Score composite (4 items, échelle 1-7)</t>
  </si>
  <si>
    <t>"Ces risques m'empêchent d'augmenter usage" (1-7)</t>
  </si>
  <si>
    <t>Info inexactes/trompeuses (échelle 1-7)</t>
  </si>
  <si>
    <t>Risques confidentialité (échelle 1-7)</t>
  </si>
  <si>
    <t>Opacité algorithmes (échelle 1-7)</t>
  </si>
  <si>
    <t>Responsabilité erreurs (échelle 1-7)</t>
  </si>
  <si>
    <t>Cette section compare les valeurs de SRP et Q17 par GRADE (Junior / Senior-Manager / Associé). Objectif : identifier si les seniors perçoivent différemment les risques.</t>
  </si>
  <si>
    <t>SRP (Risques perçus)</t>
  </si>
  <si>
    <t>SECTION C — TABLEAU RÉCAPITULATIF DES CORRÉLATIONS SPEARMAN (H3)</t>
  </si>
  <si>
    <t>H3a teste SRP→Q17 (risques perçus → frein déclaré, attendu ρ&gt;0). H3a-2 teste SRP→Q1 (risques → usage réel, attendu ρ&lt;0). Sig.: *** p&lt;0.001, ** p&lt;0.01, * p&lt;0.05, . p&lt;0.10, NS sinon.</t>
  </si>
  <si>
    <t>Direction attendue</t>
  </si>
  <si>
    <t>H3a: SRP → Q17 (frein déclaré)</t>
  </si>
  <si>
    <t>H3a-2: SRP → Q1 (usage réel)</t>
  </si>
  <si>
    <t>Q12 (Hallucinations) → Q17</t>
  </si>
  <si>
    <t>Q13 (Confidentialité) → Q17</t>
  </si>
  <si>
    <t>Q14 (Boîte noire) → Q17</t>
  </si>
  <si>
    <t>Q15 (Responsabilité) → Q17</t>
  </si>
  <si>
    <t>H3a: "Plus les risques perçus (SRP) sont élevés, plus les auditeurs déclarent que ces risques freinent leur usage (Q17)." H3a-2: "Plus les risques perçus sont élevés, moins l'usage réel (Q1) est fréquent."</t>
  </si>
  <si>
    <t>--- H3a: SRP → Q17 (Frein déclaré) ---</t>
  </si>
  <si>
    <t>SRP → Q17</t>
  </si>
  <si>
    <t>--- H3a-2: SRP → Q1 (Usage réel) ---</t>
  </si>
  <si>
    <t>SRP → Q1</t>
  </si>
  <si>
    <t>--- Q12 (Hallucinations) → Q17 ---</t>
  </si>
  <si>
    <t>Q12 → Q17</t>
  </si>
  <si>
    <t>--- Q13 (Confidentialité) → Q17 ---</t>
  </si>
  <si>
    <t>Q13 → Q17</t>
  </si>
  <si>
    <t>--- Q14 (Boîte noire) → Q17 ---</t>
  </si>
  <si>
    <t>Q14 → Q17</t>
  </si>
  <si>
    <t>--- Q15 (Responsabilité) → Q17 ---</t>
  </si>
  <si>
    <t>Q15 → Q17</t>
  </si>
  <si>
    <t>H3a: Si ρ(SRP,Q17) &gt; 0 et significatif, alors les risques perçus sont bien associés au frein déclaré → hypothèse confirmée. Les auditeurs conscients des risques déclarent être freinés.</t>
  </si>
  <si>
    <t>H3a-2: Si ρ(SRP,Q1) &lt; 0 et significatif, alors les risques perçus réduisent effectivement l'usage → effet inhibiteur confirmé. Les auditeurs qui perçoivent plus de risques utilisent moins l'IAG.</t>
  </si>
  <si>
    <t>Composantes: Identifier quel risque spécifique (Q12-Q15) est le plus fortement corrélé au frein Q17. Si Q12 (hallucinations) domine → accent sur la fiabilité des outputs. Si Q13 (confidentialité) → accent sur la sécurité des données.</t>
  </si>
  <si>
    <t>Cohérence H3a/H3a-2: Si H3a confirmée mais H3a-2 non → les auditeurs déclarent être freinés mais ne le sont pas en pratique (biais déclaratif). Si les deux confirmées → effet de frein réel et cohérent.</t>
  </si>
  <si>
    <t>Q8</t>
  </si>
  <si>
    <t>Q6_Dev</t>
  </si>
  <si>
    <t>Q6_Fraude</t>
  </si>
  <si>
    <t>Q6_Seuil</t>
  </si>
  <si>
    <t>SECTION F — TESTS COMPLÉMENTAIRES H1 (Q8 Gain temps, Q6_Développement, Q6_Fraude, Q6_Seuil)</t>
  </si>
  <si>
    <t>Ces tests complètent H1 en vérifiant si Q8 (gain de temps) et les tâches professionnelles (SQL/VBA, fraude, seuil) prédisent l'usage Q1.</t>
  </si>
  <si>
    <t>Q8 (Gain temps) → Q1</t>
  </si>
  <si>
    <t>Q6_Développement (SQL/VBA) → Q1</t>
  </si>
  <si>
    <t>Q6_Fraude (Détection) → Q1</t>
  </si>
  <si>
    <t>Q6_Seuil signification → Q1</t>
  </si>
  <si>
    <t>SECTION G — H1 PAR GRADE (SUP → Q1 stratifié Junior / Senior-Manager / Associé)</t>
  </si>
  <si>
    <t>Test de l'effet grade sur la relation SUP→Q1. Chez les juniors, la perception d'utilité devrait mieux prédire l'usage (TAM fonctionnel). Chez les grades supérieurs, d'autres facteurs (délégation, pression) peuvent dominer.</t>
  </si>
  <si>
    <t>SUP → Q1</t>
  </si>
  <si>
    <t>TAM fonctionne si sig.</t>
  </si>
  <si>
    <t>Autres facteurs si NS</t>
  </si>
  <si>
    <t>Délégation/pression si NS</t>
  </si>
  <si>
    <t>FEUILLE H4a — TEST DE MODÉRATION : SMF modère SRP → Q1 (Compétence modère l'effet des risques sur l'usage)</t>
  </si>
  <si>
    <t>ZONE AUXILIAIRE</t>
  </si>
  <si>
    <t>Tercile_SMF</t>
  </si>
  <si>
    <t>SECTION A — CALCUL DES TERCILES DE SMF (Maîtrise technique)</t>
  </si>
  <si>
    <t>Les terciles permettent de stratifier l'échantillon en 3 groupes de compétence (Bas/Moyen/Élevé). L'hypothèse H4a prédit que l'effet inhibiteur de SRP sur Q1 diminue quand SMF augmente.</t>
  </si>
  <si>
    <t>Statistique</t>
  </si>
  <si>
    <t>Formule</t>
  </si>
  <si>
    <t>T33 (seuil 33%)</t>
  </si>
  <si>
    <t>PERCENTILE.INC(FILTER(SMF,INCLUS=VRAI),0.33)</t>
  </si>
  <si>
    <t>Seuil bas/moyen</t>
  </si>
  <si>
    <t>T66 (seuil 66%)</t>
  </si>
  <si>
    <t>PERCENTILE.INC(FILTER(SMF,INCLUS=VRAI),0.67)</t>
  </si>
  <si>
    <t>Seuil moyen/élevé</t>
  </si>
  <si>
    <t>Min SMF</t>
  </si>
  <si>
    <t>Max SMF</t>
  </si>
  <si>
    <t>Médiane SMF</t>
  </si>
  <si>
    <t>SECTION B — EFFECTIFS ET STATISTIQUES PAR TERCILE SMF</t>
  </si>
  <si>
    <t>Tercile SMF</t>
  </si>
  <si>
    <t>Moy. SMF</t>
  </si>
  <si>
    <t>Bas (SMF ≤ T33)</t>
  </si>
  <si>
    <t>Moins compétents</t>
  </si>
  <si>
    <t>Moyen (T33 &lt; SMF ≤ T66)</t>
  </si>
  <si>
    <t>Compétence intermédiaire</t>
  </si>
  <si>
    <t>Élevé (SMF &gt; T66)</t>
  </si>
  <si>
    <t>Très compétents</t>
  </si>
  <si>
    <t>SECTION C — TEST H4a : ρ(SRP → Q1) STRATIFIÉ PAR TERCILE SMF</t>
  </si>
  <si>
    <t>H4a prédit un gradient décroissant : ρ(SRP→Q1) fort et négatif chez les peu compétents, nul chez les très compétents. La maîtrise technique "annule" l'effet inhibiteur des risques.</t>
  </si>
  <si>
    <t>Gradient attendu</t>
  </si>
  <si>
    <t>Bas</t>
  </si>
  <si>
    <t>ρ &lt;&lt; 0 (fort négatif)</t>
  </si>
  <si>
    <t>Moyen</t>
  </si>
  <si>
    <t>ρ &lt; 0 (modéré)</t>
  </si>
  <si>
    <t>Élevé</t>
  </si>
  <si>
    <t>Q20</t>
  </si>
  <si>
    <t>Q21</t>
  </si>
  <si>
    <t>SECTION D — TESTS COMPLÉMENTAIRES H4a : Q20 (Orienter) et Q21 (Détecter erreurs) → Q1</t>
  </si>
  <si>
    <t>Q20 = capacité à orienter l'IAG. Q21 = capacité à identifier les erreurs. Ces items opérationnels devraient prédire l'usage si la maîtrise technique est un facteur d'adoption.</t>
  </si>
  <si>
    <t>Q20 (Orienter IAG) → Q1</t>
  </si>
  <si>
    <t>Q21 (Détecter erreurs) → Q1</t>
  </si>
  <si>
    <t>SMF (Maîtrise globale) → Q1</t>
  </si>
  <si>
    <t>SECTION E — INTERPRÉTATION H4a</t>
  </si>
  <si>
    <t>VERDICT H4a:</t>
  </si>
  <si>
    <t>Analyse du gradient ρ(SRP→Q1):</t>
  </si>
  <si>
    <t>Si le gradient est décroissant (ρ Bas &lt; ρ Moyen &lt; ρ Élevé), alors la compétence technique modère l'effet inhibiteur des risques perçus sur l'usage. Chez les très compétents, les risques ne freinent plus l'adoption.</t>
  </si>
  <si>
    <t>Note: Effectifs limités par tercile → puissance statistique réduite. Interpréter la direction du gradient plutôt que la significativité seule.</t>
  </si>
  <si>
    <t>FEUILLE H4b — TEST DU SCEPTICISME PROFESSIONNEL ET BIAIS D'AUTOMATISATION</t>
  </si>
  <si>
    <t>Q23</t>
  </si>
  <si>
    <t>Q24</t>
  </si>
  <si>
    <t>SECTION A — STATISTIQUES DESCRIPTIVES DES VARIABLES DU SCEPTICISME</t>
  </si>
  <si>
    <t>H4b teste si la maîtrise technique (SMF) et les risques perçus (SRP) affectent le scepticisme professionnel (SS). Les tests désagrégés révèlent les mécanismes sous-jacents.</t>
  </si>
  <si>
    <t>Description</t>
  </si>
  <si>
    <t>SS (Score scepticisme)</t>
  </si>
  <si>
    <t>Score composite (5 items, échelle 1-7)</t>
  </si>
  <si>
    <t>Q21 (Détecter erreurs)</t>
  </si>
  <si>
    <t>Capacité à identifier les erreurs IAG</t>
  </si>
  <si>
    <t>Q12 (Conscience hallucinations)</t>
  </si>
  <si>
    <t>Info inexactes/trompeuses (1-7)</t>
  </si>
  <si>
    <t>Q23 (Fréquence vérification)</t>
  </si>
  <si>
    <t>Vérification source origine (1-7)</t>
  </si>
  <si>
    <t>Q24 (Jugement professionnel fort)</t>
  </si>
  <si>
    <t>Jugement reste fort malgré IAG (1-7)</t>
  </si>
  <si>
    <t>Q25_inv (Influence IAG inversée)</t>
  </si>
  <si>
    <t>8 - Q25 (haut = indépendance)</t>
  </si>
  <si>
    <t>SECTION B — TESTS PRINCIPAUX H4b : SMF → SS et SRP → SS</t>
  </si>
  <si>
    <t>H4b-1: La maîtrise technique (SMF) devrait renforcer le scepticisme (SS) → ρ &gt; 0. H4b-2: Les risques perçus non maîtrisés (SRP) devraient éroder le scepticisme → ρ &lt; 0.</t>
  </si>
  <si>
    <t>SECTION C — TESTS DÉSAGRÉGÉS H4b : MÉCANISMES DU BIAIS D'AUTOMATISATION</t>
  </si>
  <si>
    <t>Ces tests révèlent les signaux contradictoires du biais d'automatisation (Munoko et al.): l'auditeur se croit sceptique (Q24) mais se laisse influencer (Q25).</t>
  </si>
  <si>
    <t>Q21 (Détecter erreurs) → SS</t>
  </si>
  <si>
    <t>ρ&gt;0 → Effet protecteur</t>
  </si>
  <si>
    <t>Q12 (Hallucinations) → Q23 (Vérif.)</t>
  </si>
  <si>
    <t>ρ&gt;0 → Vigilance activée</t>
  </si>
  <si>
    <t>Q1 (Usage) → Q24 (Jugement fort)</t>
  </si>
  <si>
    <t>ρ&gt;0 → Se croit sceptique</t>
  </si>
  <si>
    <t>Q1 (Usage) → Q25_inv (Indépendance)</t>
  </si>
  <si>
    <t>ρ&lt;0 → Biais d'automatisation</t>
  </si>
  <si>
    <t>SECTION D — ANALYSE DU BIAIS D'AUTOMATISATION (Munoko et al., 2020)</t>
  </si>
  <si>
    <t>Le biais d'automatisation se manifeste quand: (1) l'auditeur se croit sceptique (Q24 ↑) mais (2) se laisse influencer par l'IAG (Q25_inv ↓). La tension cognitive apparaît si ρ(Q1→Q24) &gt; 0 ET ρ(Q1→Q25_inv) &lt; 0.</t>
  </si>
  <si>
    <t>DIAGNOSTIC DU BIAIS D'AUTOMATISATION:</t>
  </si>
  <si>
    <t>Condition 1: ρ(Q1 → Q24) &gt; 0 (se croit sceptique)</t>
  </si>
  <si>
    <t>Condition 2: ρ(Q1 → Q25_inv) &lt; 0 (se laisse influencer)</t>
  </si>
  <si>
    <t>Condition 3: Au moins un des deux significatif (p &lt; 0.10)</t>
  </si>
  <si>
    <t>VERDICT BIAIS D'AUTOMATISATION:</t>
  </si>
  <si>
    <t>SECTION E — SYNTHÈSE ET INTERPRÉTATION H4b</t>
  </si>
  <si>
    <t>RÉSUMÉ DES 3 SIGNAUX:</t>
  </si>
  <si>
    <t>1. Effet protecteur de Q21 sur SS:</t>
  </si>
  <si>
    <t xml:space="preserve">   La capacité à identifier les erreurs IAG protège le jugement professionnel</t>
  </si>
  <si>
    <t>2. Conscience hallucinations - Vérification (Q12 - Q23):</t>
  </si>
  <si>
    <t xml:space="preserve">   La conscience des risques d'hallucination active la vigilance (effet inverse du postulé)</t>
  </si>
  <si>
    <t>3. Biais d'automatisation (Q1 - Q24 vs Q1 - Q25_inv):</t>
  </si>
  <si>
    <t xml:space="preserve">   L'usage intensif crée une tension cognitive: l'auditeur se croit sceptique mais se laisse influencer</t>
  </si>
  <si>
    <t>VERDICT FINAL H4b:</t>
  </si>
  <si>
    <t>H4b-1 (SMF - SS):</t>
  </si>
  <si>
    <t>H4b-2 (SRP - SS):</t>
  </si>
  <si>
    <t>NOTE: Les tests désagrégés (Section C) révèlent des mécanismes plus riches que les tests globaux.</t>
  </si>
  <si>
    <t>Le biais d'automatisation est le résultat le plus intéressant théoriquement, confirmant Munoko et al. (2020).</t>
  </si>
  <si>
    <t>📊 FEUILLES D'HYPOTHÈSES CRÉÉES</t>
  </si>
  <si>
    <t>Test H1 : SUP → Q1 (Utilité perçue → Usage) - Spearman détaillé par items Q6/Q7</t>
  </si>
  <si>
    <t>H1_SUP_Q1</t>
  </si>
  <si>
    <t>Test H2 : SFU → Q1 (Facilité d'usage → Usage) - Spearman + composantes Q9/Q10/Q11</t>
  </si>
  <si>
    <t>H2_SFU_Q1</t>
  </si>
  <si>
    <t>Test H3 : SRP → Q17/Q1 (Risques perçus → Frein/Usage) - H3a et H3a-2</t>
  </si>
  <si>
    <t>H3_SRP</t>
  </si>
  <si>
    <t>Test H4a : Modération SMF sur SRP → Q1 (Terciles compétence)</t>
  </si>
  <si>
    <t>H4a_MODERATION</t>
  </si>
  <si>
    <t>Test H4b : Scepticisme et biais d'automatisation</t>
  </si>
  <si>
    <t>H4b_SCEPTICISME</t>
  </si>
  <si>
    <t>📈 RÉSUMÉ DES RÉSULTATS DES HYPOTHÈSES</t>
  </si>
  <si>
    <t>INFIRMÉE (globalement)</t>
  </si>
  <si>
    <t>CONFIRMÉE *</t>
  </si>
  <si>
    <t>H3a-2: SRP → Q1</t>
  </si>
  <si>
    <t>H4a: Modération</t>
  </si>
  <si>
    <t>Gradient terciles</t>
  </si>
  <si>
    <t>Gradient ✓</t>
  </si>
  <si>
    <t>CONFIRMÉE (direction)</t>
  </si>
  <si>
    <t>INFIRMÉE</t>
  </si>
  <si>
    <t>🔬 TESTS DÉSAGRÉGÉS SIGNIFICATIFS</t>
  </si>
  <si>
    <t>ρ</t>
  </si>
  <si>
    <t>**</t>
  </si>
  <si>
    <t>Utilité qualité rédaction → usage</t>
  </si>
  <si>
    <t>***</t>
  </si>
  <si>
    <t>Intégration workflow = facteur clé</t>
  </si>
  <si>
    <t>*</t>
  </si>
  <si>
    <t>Risque responsabilité = principal frein</t>
  </si>
  <si>
    <t>Q20 (Orienter) → Q1</t>
  </si>
  <si>
    <t>Compétence prompting → usage</t>
  </si>
  <si>
    <t>Q21 (Détecter) → Q1</t>
  </si>
  <si>
    <t>Compétence détection → usage</t>
  </si>
  <si>
    <t>⚠️ BIAIS D'AUTOMATISATION DÉTECTÉ (H4b)</t>
  </si>
  <si>
    <t>Signal</t>
  </si>
  <si>
    <t>Mécanisme</t>
  </si>
  <si>
    <t>Q21 → SS</t>
  </si>
  <si>
    <t>Compétence protège le jugement ✓</t>
  </si>
  <si>
    <t>Q12 → Q23</t>
  </si>
  <si>
    <t>Conscience hallucinations → vigilance ✓</t>
  </si>
  <si>
    <t>Q1 → Q24</t>
  </si>
  <si>
    <t>Usage intense = se croit sceptique</t>
  </si>
  <si>
    <t>Q1 → Q25_inv</t>
  </si>
  <si>
    <t>Usage intense = influencé par l'IAG</t>
  </si>
  <si>
    <t>📊 GRADIENT H4a PAR TERCILE SMF</t>
  </si>
  <si>
    <t>Tercile</t>
  </si>
  <si>
    <t>ρ(SRP→Q1)</t>
  </si>
  <si>
    <t>Bas (peu compétents)</t>
  </si>
  <si>
    <t>Effet inhibiteur fort .</t>
  </si>
  <si>
    <t>Effet modéré NS</t>
  </si>
  <si>
    <t>Élevé (très compétents)</t>
  </si>
  <si>
    <t>Effet annulé ✓</t>
  </si>
  <si>
    <t>Point clé</t>
  </si>
  <si>
    <t>Résultat</t>
  </si>
  <si>
    <t>Référence feuille</t>
  </si>
  <si>
    <t>Implication théorique</t>
  </si>
  <si>
    <t>TAM partiel</t>
  </si>
  <si>
    <t>H1 infirmée globalement, H2 confirmée</t>
  </si>
  <si>
    <t>H1_SUP_Q1, H2_SFU_Q1</t>
  </si>
  <si>
    <t>Facilité d'usage &gt; Utilité perçue pour l'adoption</t>
  </si>
  <si>
    <t>Utilité sélective</t>
  </si>
  <si>
    <t>Q7_Rédaction significatif (ρ=0.33**)</t>
  </si>
  <si>
    <t>H1 vraie pour tâches à fort enjeu professionnel</t>
  </si>
  <si>
    <t>Effet plafond</t>
  </si>
  <si>
    <t>Q6/Q7 Extraction, Résumé: médiane=4/5</t>
  </si>
  <si>
    <t>80%+ trouvent l'IAG utile → variance insuffisante</t>
  </si>
  <si>
    <t>Effet grade</t>
  </si>
  <si>
    <t>SUP→Q1: ρ=0.40* (Junior) vs NS (Seniors)</t>
  </si>
  <si>
    <t>TAM fonctionne chez juniors, pas chez seniors</t>
  </si>
  <si>
    <t>Risques = frein réel</t>
  </si>
  <si>
    <t>H3a et H3a-2 confirmées</t>
  </si>
  <si>
    <t>Responsabilité = risque dominant (ρ=0.30*)</t>
  </si>
  <si>
    <t>Modération H4a</t>
  </si>
  <si>
    <t>Gradient -0.42 → -0.27 → 0.00</t>
  </si>
  <si>
    <t>Maîtrise technique annule l'effet inhibiteur</t>
  </si>
  <si>
    <t>Biais d'automatisation</t>
  </si>
  <si>
    <t>4 signaux significatifs détectés</t>
  </si>
  <si>
    <t>Confirme Munoko et al. (2020)</t>
  </si>
  <si>
    <t>Tension cognitive</t>
  </si>
  <si>
    <t>Q1→Q24 (ρ&gt;0) ET Q1→Q25_inv (ρ&lt;0)</t>
  </si>
  <si>
    <t>Se croit sceptique mais influencé par l'IAG</t>
  </si>
  <si>
    <t>SYNTHÈSE SECTION 5.1 — PROFIL DE L'ÉCHANTILLON</t>
  </si>
  <si>
    <t>📊 ENTONNOIR DE FILTRAGE</t>
  </si>
  <si>
    <t>Étape</t>
  </si>
  <si>
    <t>N exclu</t>
  </si>
  <si>
    <t>N restant</t>
  </si>
  <si>
    <t>Q1 = 'Jamais' (non-utilisateurs)</t>
  </si>
  <si>
    <t>Q29 ≠ 'Neutre' (question piège)</t>
  </si>
  <si>
    <t>Métier ≠ Audit</t>
  </si>
  <si>
    <t>📊 Q31 — TRANCHE D'ÂGE</t>
  </si>
  <si>
    <t>📊 Q32 — GENRE</t>
  </si>
  <si>
    <t>📊 Q33 — GRADE (regroupé en 3 niveaux)</t>
  </si>
  <si>
    <t>📊 Q34 — ANNÉES D'EXPÉRIENCE</t>
  </si>
  <si>
    <t>📊 Q36 — TAILLE DU CABINET</t>
  </si>
  <si>
    <t>📝 PROFIL TYPE DU RÉPONDANT</t>
  </si>
  <si>
    <t>Le répondant type est un homme (67%), âgé de 18-25 ans (48%), de grade Junior (46%), avec moins de 2 ans d'expérience (34%), travaillant en cabinet international (55%). L'échantillon présente une surreprésentation des jeunes auditeurs, ce qui est cohérent avec l'adoption plus rapide des nouvelles technologies par cette population.</t>
  </si>
  <si>
    <t>SYNTHÈSE SECTION 5.2 — STATISTIQUES DESCRIPTIVES &amp; FIABILITÉ</t>
  </si>
  <si>
    <t>📊 TABLEAU SYNTHÉTIQUE DES SCORES ET VARIABLES</t>
  </si>
  <si>
    <t>Libellé complet</t>
  </si>
  <si>
    <t>Fiabilité</t>
  </si>
  <si>
    <t>Item unique</t>
  </si>
  <si>
    <t>📊 DISTRIBUTION Q1 — Fréquence d'usage de l'IAG</t>
  </si>
  <si>
    <t>📊 DISTRIBUTION Q30 — Perception équilibre bénéfices-risques</t>
  </si>
  <si>
    <t>0-1</t>
  </si>
  <si>
    <t>⚠️ NOTE MÉTHODOLOGIQUE</t>
  </si>
  <si>
    <t>Les alphas de Cronbach de SRP (0.371), SMF (0.432) et SS (0.495) sont inférieurs au seuil conventionnel de 0.70. Ces échelles composites doivent être interprétées avec prudence. Les analyses par items désagrégés (corrélations individuelles Q12-Q15, Q19-Q21, Q22-Q26) permettent de compléter l'interprétation.</t>
  </si>
  <si>
    <t>SYNTHÈSE SECTION 5.3 — TEST DES HYPOTHÈSES</t>
  </si>
  <si>
    <t>H1 — Utilité perçue (SUP) → Usage (Q1)</t>
  </si>
  <si>
    <t>Hypothèse : L'utilité perçue de l'IAG (SUP) est positivement associée à la fréquence d'usage (Q1). Direction attendue : ρ &gt; 0</t>
  </si>
  <si>
    <t>Seuil sig.</t>
  </si>
  <si>
    <t>p &lt; 0.05</t>
  </si>
  <si>
    <t>H2 — Facilité d'usage (SFU) → Usage (Q1)</t>
  </si>
  <si>
    <t>Hypothèse : La facilité d'usage perçue (SFU) est positivement associée à la fréquence d'usage (Q1). Direction attendue : ρ &gt; 0</t>
  </si>
  <si>
    <t>H3a — Risques perçus (SRP) → Frein déclaré (Q17)</t>
  </si>
  <si>
    <t>Hypothèse : Les risques perçus (SRP) augmentent le frein déclaré à l'usage (Q17). Direction attendue : ρ &gt; 0</t>
  </si>
  <si>
    <t>H3a-2 — Risques perçus (SRP) → Usage réel (Q1)</t>
  </si>
  <si>
    <t>Hypothèse : Les risques perçus (SRP) réduisent l'usage réel (Q1). Direction attendue : ρ &lt; 0</t>
  </si>
  <si>
    <t>H4a — Modération SMF sur l'effet SRP → Q1</t>
  </si>
  <si>
    <t>Hypothèse : La maîtrise technique (SMF) modère l'effet des risques sur l'usage. Gradient attendu : ρ fort négatif (Bas) → ρ nul (Élevé)</t>
  </si>
  <si>
    <t>📝 Note : Test d'interaction (régression modérée) β=0.009, p=0.171 NS — gradient visible mais puissance insuffisante (N=67)</t>
  </si>
  <si>
    <t>H4b-1 — Maîtrise technique (SMF) → Scepticisme (SS)</t>
  </si>
  <si>
    <t>Hypothèse : La maîtrise technique (SMF) renforce le scepticisme professionnel (SS). Direction attendue : ρ &gt; 0</t>
  </si>
  <si>
    <t>H4b-2 — Risques perçus (SRP) → Scepticisme (SS)</t>
  </si>
  <si>
    <t>Hypothèse : Les risques non maîtrisés (SRP) érodent le scepticisme (SS). Direction attendue : ρ &lt; 0</t>
  </si>
  <si>
    <t>📊 TABLEAU RÉCAPITULATIF DE TOUTES LES HYPOTHÈSES</t>
  </si>
  <si>
    <t>Variables</t>
  </si>
  <si>
    <t>Significatif</t>
  </si>
  <si>
    <t>Direction confirmée</t>
  </si>
  <si>
    <t>H3a-2</t>
  </si>
  <si>
    <t>SMF modère SRP→Q1</t>
  </si>
  <si>
    <t>Gradient</t>
  </si>
  <si>
    <t>0.171 (interaction)</t>
  </si>
  <si>
    <t>Non (NS)</t>
  </si>
  <si>
    <t>SOUTENUE (tendance)</t>
  </si>
  <si>
    <t>Oui (direction)</t>
  </si>
  <si>
    <t>H4b-1</t>
  </si>
  <si>
    <t>SMF → SS</t>
  </si>
  <si>
    <t>H4b-2</t>
  </si>
  <si>
    <t>SRP → SS</t>
  </si>
  <si>
    <t>SYNTHÈSE SECTION 5.4 — ANALYSES COMPLÉMENTAIRES</t>
  </si>
  <si>
    <t>📊 A — CLASSEMENT DES RISQUES Q16 (par importance perçue)</t>
  </si>
  <si>
    <t>Moyenne (1-5)</t>
  </si>
  <si>
    <t>Rang</t>
  </si>
  <si>
    <t>Confidentialité (Q16_2)</t>
  </si>
  <si>
    <t>Responsabilité (Q16_4)</t>
  </si>
  <si>
    <t>Boîte noire (Q16_3)</t>
  </si>
  <si>
    <t>📊 B — COMPARAISONS PAR GRADE (Kruskal-Wallis)</t>
  </si>
  <si>
    <t>Moy. SS</t>
  </si>
  <si>
    <t>Test Kruskal-Wallis</t>
  </si>
  <si>
    <t>H=2.89 p=0.236 NS</t>
  </si>
  <si>
    <t>H=1.45 p=0.483 NS</t>
  </si>
  <si>
    <t>H=1.82 p=0.402 NS</t>
  </si>
  <si>
    <t>H=1.21 p=0.546 NS</t>
  </si>
  <si>
    <t>📊 C — COMPARAISONS BIG4/INTERNATIONAL VS AUTRES (Mann-Whitney)</t>
  </si>
  <si>
    <t>Taille cabinet</t>
  </si>
  <si>
    <t>Test Mann-Whitney</t>
  </si>
  <si>
    <t>U=412 p=0.068 NS</t>
  </si>
  <si>
    <t>U=523 p=0.712 NS</t>
  </si>
  <si>
    <t>U=467 p=0.214 NS</t>
  </si>
  <si>
    <t>📊 D — INTENTIONS ET FREINS (Q17, Q18, Q27)</t>
  </si>
  <si>
    <t>D.1 — Q27 : Intention d'augmenter l'usage dans les 6 prochains mois</t>
  </si>
  <si>
    <t>D.2 — Corrélation Q17 (frein actuel) ↔ Q18 (intention latente)</t>
  </si>
  <si>
    <t>📝 Interprétation : Plus les risques freinent l'usage actuel (Q17↑), plus les répondants souhaitent utiliser davantage si les risques étaient éliminés (Q18↑). Cela confirme que les risques représentent un frein réversible.</t>
  </si>
  <si>
    <t>GUIDE DE RÉDACTION — SECTION 5.5 DISCUSSION</t>
  </si>
  <si>
    <t>5.5.1 — TAM ET ADOPTION DE L'IAG</t>
  </si>
  <si>
    <t>📊 Résultats à citer</t>
  </si>
  <si>
    <t>• H1 INFIRMÉE : ρ(SUP→Q1) = 0.166, p = 0.179 (NS) — L'utilité perçue ne prédit pas l'usage
• H2 CONFIRMÉE : ρ(SFU→Q1) = 0.293, p = 0.016* — La facilité d'usage prédit significativement l'usage
• Effet plafond SUP : médiane = 3.48/5 (proche du maximum), variance réduite (σ = 0.58)
• Q10 (Intégration workflow) : ρ = 0.492*** — Item le plus prédictif de SFU</t>
  </si>
  <si>
    <t>📚 Littérature à mobiliser</t>
  </si>
  <si>
    <t>• Davis (1989) — TAM original : utilité et facilité d'usage comme déterminants de l'adoption technologique
• Venkatesh &amp; Bala (2008) — TAM3 : extension incluant les ancres et ajustements
• Kim et al. (2023) — Adoption de l'IA par les professionnels : effet plafond de l'utilité perçue dans les contextes à forte exposition</t>
  </si>
  <si>
    <t>❓ Question centrale à traiter</t>
  </si>
  <si>
    <t>Pourquoi l'utilité ne prédit-elle pas l'usage dans ce contexte ? L'hypothèse de l'effet plafond : les auditeurs sont déjà convaincus de l'utilité de l'IAG (SUP élevé), mais des freins (risques, intégration) limitent l'usage effectif. La facilité d'usage (notamment l'intégration au workflow) devient alors le facteur discriminant.</t>
  </si>
  <si>
    <t>🎯 Implications pratiques</t>
  </si>
  <si>
    <t>• Formations axées sur la prise en main et l'intégration au workflow (pas sur la conviction de l'utilité — déjà acquise)
• Amélioration de l'ergonomie des outils IAG intégrés aux logiciels d'audit
• Accompagnement des auditeurs dans l'intégration quotidienne (prompting, automatisation des tâches récurrentes)</t>
  </si>
  <si>
    <t>5.5.2 — RISQUES PERÇUS COMME FREIN</t>
  </si>
  <si>
    <t>• H3a CONFIRMÉE : ρ(SRP→Q17) = 0.283, p = 0.020* — Les risques perçus augmentent le frein déclaré
• H3a-2 CONFIRMÉE : ρ(SRP→Q1) = −0.246, p = 0.045* — Les risques perçus réduisent l'usage réel
• Q15 (Responsabilité) : ρ(Q15→Q17) = 0.304* — Risque le plus corrélé au frein déclaré
• Classement Q16 : Confidentialité (4.43) &gt; Hallucinations (4.34) &gt; Responsabilité (3.88) &gt; Boîte noire (3.64)
• Corrélation Q17↔Q18 : ρ = 0.310* — Plus le frein est élevé, plus l'intention latente d'augmenter l'usage est forte</t>
  </si>
  <si>
    <t>• Bhattacherjee &amp; Hikmet (2007) — Résistance à l'adoption technologique : rôle des perceptions de risque
• Munoko et al. (2020) — Risques éthiques de l'IA en audit : hallucinations, biais, responsabilité
• Fotoh &amp; Mugwira (2025) — Spécificités des LLM en audit : confiance excessive et hallucinations
• Kokina &amp; Davenport (2017) — IA et automatisation en audit : risques et opportunités</t>
  </si>
  <si>
    <t>Quels risques spécifiques freinent le plus l'adoption ? La responsabilité professionnelle (Q15) est l'item le plus corrélé au frein, suggérant une inquiétude sur les conséquences personnelles des erreurs de l'IAG. La confidentialité est le risque le plus perçu (Q16), reflétant les préoccupations réglementaires. Paradoxe : les hallucinations (Q12) sont très connues mais moins corrélées au frein — les auditeurs savent les détecter ?</t>
  </si>
  <si>
    <t>• Clarification de la politique de responsabilité en cas d'erreur IAG (charte cabinet, couverture assurance)
• Mise en place d'environnements sécurisés pour les données confidentielles (IAG interne, sandbox)
• Formation sur la détection des hallucinations et la vérification systématique
• Communication rassurante : les risques sont réversibles (corrélation Q17↔Q18)</t>
  </si>
  <si>
    <t>5.5.3 — MODÉRATION PAR LA COMPÉTENCE TECHNIQUE (H4a)</t>
  </si>
  <si>
    <t>• Gradient visible par terciles SMF :
  - Tercile Bas (N=22) : ρ(SRP→Q1) = −0.42, p = 0.054 (marginalement significatif)
  - Tercile Moyen (N=24) : ρ(SRP→Q1) = −0.27, p = 0.200 (NS)
  - Tercile Élevé (N=21) : ρ(SRP→Q1) ≈ 0, p = 0.999 (NS)
• Test d'interaction (régression modérée) : β = 0.009, p = 0.171 — NS mais direction conforme
• Puissance statistique insuffisante avec N = 67 pour détecter une interaction de taille modérée</t>
  </si>
  <si>
    <t>• Compeau &amp; Higgins (1995) — Computer self-efficacy : la confiance dans ses compétences modère l'effet des barrières
• Liang et al. (2025) — Digital audit talent : les compétences digitales comme facteur protecteur
• Bandura (1986) — Auto-efficacité : mécanisme par lequel les compétences réduisent l'impact des risques perçus</t>
  </si>
  <si>
    <t>Résultat exploratoire — que suggère-t-il malgré la non-significativité ? Le gradient est conforme à la prédiction théorique : l'effet inhibiteur des risques sur l'usage diminue avec la compétence technique. Chez les moins formés, les risques freinent fortement l'usage (ρ = −0.42). Chez les plus formés, cet effet disparaît (ρ ≈ 0). L'absence de significativité statistique est probablement due à la taille d'échantillon insuffisante (N = 67) plutôt qu'à l'absence d'effet réel.</t>
  </si>
  <si>
    <t>• Priorité aux formations pour les profils peu formés (tercile Bas) — ce sont eux qui bénéficieraient le plus
• Les compétences en prompting (Q20) sont particulièrement corrélées à l'usage (ρ = 0.379**)
• Les compétences en détection d'erreurs (Q21) sont corrélées au scepticisme (ρ = 0.285*) — effet protecteur
• Recommandation : formation certifiante IAG obligatoire pour les juniors avant utilisation autonome</t>
  </si>
  <si>
    <t>5.5.4 — SCEPTICISME PROFESSIONNEL</t>
  </si>
  <si>
    <t>• H4b-1 INFIRMÉE : ρ(SMF→SS) = 0.175, p = 0.156 NS — La maîtrise technique ne renforce pas significativement le scepticisme
• H4b-2 INFIRMÉE : ρ(SRP→SS) = 0.110, p = 0.377 NS — Les risques perçus n'érodent pas le scepticisme
• Niveau de scepticisme élevé : SS moyen = 4.96/7, médiane = 5 — Les auditeurs se déclarent très sceptiques
• Signal contradictoire : Q21→SS ρ = 0.285* — La compétence à détecter les erreurs protège le scepticisme
• Biais d'automatisation latent : Q1→Q25_inv ρ = −0.241* — Plus on utilise l'IAG, moins on remet en question ses suggestions</t>
  </si>
  <si>
    <t>• Hurtt (2010) — Scepticisme professionnel : 6 dimensions (questionnement, suspension jugement, recherche, confiance en soi, autodétermination, intérêt pour preuves)
• Nelson (2009) — Modèle du scepticisme professionnel : traits, connaissances et incitations
• Clikeman (2012) — Érosion du scepticisme avec l'expérience routinière
• Parasuraman &amp; Riley (1997) — Automation bias : confiance excessive dans les systèmes automatisés
• Munoko et al. (2020) — Biais d'automatisation spécifique à l'IA en audit</t>
  </si>
  <si>
    <t>Biais d'automatisation latent malgré un scepticisme déclaré élevé ? Les auditeurs se déclarent très sceptiques (SS = 4.96/7), mais un signal contradictoire émerge : les utilisateurs fréquents remettent moins en question les suggestions de l'IAG (ρ Q1→Q25_inv = −0.241*). Ce résultat suggère un biais d'automatisation latent : la confiance déclarée (Q24 élevé) masque une réduction effective de la vigilance chez les utilisateurs intensifs. La compétence technique (Q21) apparaît comme facteur protecteur.</t>
  </si>
  <si>
    <t>• Supervision renforcée des utilisateurs fréquents (paradoxalement plus à risque de biais d'automatisation)
• Formation à la détection des erreurs IAG (Q21) — effet protecteur démontré sur le scepticisme
• Mécanismes de vérification obligatoires intégrés aux workflows (checklist, double revue)
• Sensibilisation au biais d'automatisation : « plus on utilise, plus on doit vérifier »
• Revue par pairs systématique sur les dossiers utilisant fortement l'IAG</t>
  </si>
  <si>
    <t>5.5.5 — LIMITES ET PERSPECTIVES</t>
  </si>
  <si>
    <t>⚠️ Limites de l'étude</t>
  </si>
  <si>
    <t>1. TAILLE D'ÉCHANTILLON MODESTE (N = 67)
   • Puissance statistique limitée pour détecter les effets de modération (H4a)
   • Intervalles de confiance larges sur les corrélations
   • Résultats à interpréter comme exploratoires et à confirmer sur échantillon plus large
2. DONNÉES DÉCLARATIVES
   • Biais de désirabilité sociale : les auditeurs peuvent surestimer leur scepticisme (Q22-Q26)
   • Usage auto-rapporté (Q1) : écart possible avec l'usage réel
   • Pas de mesure objective du comportement d'audit
3. PÉRIMÈTRE GÉOGRAPHIQUE LIMITÉ
   • Échantillon uniquement français
   • Généralisation limitée aux autres contextes (Big 4 internationaux, autres pays)
   • Biais potentiel lié aux spécificités réglementaires françaises (secret professionnel, responsabilité CAC)
4. DESIGN CROSS-SECTIONNEL
   • Impossibilité d'établir la causalité (corrélations uniquement)
   • Pas de suivi longitudinal de l'évolution des pratiques
5. FIABILITÉ DES ÉCHELLES COMPOSITES
   • Alpha de Cronbach insuffisant pour SRP (0.371), SMF (0.432), SS (0.495)
   • Nécessité de s'appuyer sur les analyses par items individuels pour compenser</t>
  </si>
  <si>
    <t>🔮 Perspectives de recherche</t>
  </si>
  <si>
    <t>1. RÉPLICATION AVEC ÉCHANTILLON PLUS LARGE
   • Cible N &gt; 200 pour puissance statistique suffisante sur les interactions
   • Inclusion d'autres pays européens pour comparaison internationale
   • Stratification par taille de cabinet, ancienneté, spécialité
2. DESIGN LONGITUDINAL
   • Suivi de cohorte sur 12-24 mois pour observer l'évolution des pratiques
   • Mesure du scepticisme avant/après adoption intensive de l'IAG
   • Détection du biais d'automatisation en temps réel
3. MESURES OBJECTIVES
   • Logs d'utilisation des outils IAG (temps passé, fréquence, tâches)
   • Taux d'erreur détectées vs non détectées dans les dossiers
   • Eye-tracking pour mesurer l'attention lors de la revue des outputs IAG
4. AMÉLIORATION DES ÉCHELLES
   • Développement d'une échelle SRP validée spécifique à l'IAG en audit
   • Adaptation de l'échelle de Hurtt (2010) au contexte IAG
   • Validation transculturelle des instruments
5. ÉTUDES QUALITATIVES COMPLÉMENTAIRES
   • Entretiens semi-directifs pour comprendre les mécanismes du biais d'automatisation
   • Études de cas sur les incidents liés à l'IAG en audit
   • Focus groups par niveau hiérarchique</t>
  </si>
  <si>
    <t>📊 GRAPHIQUE RÉCAPITULATIF DES CORRÉLATIONS SPEARMAN</t>
  </si>
  <si>
    <t>H1 (SUP→Q1)</t>
  </si>
  <si>
    <t>H2 (SFU→Q1)</t>
  </si>
  <si>
    <t>H3a (SRP→Q17)</t>
  </si>
  <si>
    <t>H3a-2 (SRP→Q1)</t>
  </si>
  <si>
    <t>H4a Bas</t>
  </si>
  <si>
    <t>H4b-1 (SMF→SS)</t>
  </si>
  <si>
    <t>H4b-2 (SRP→SS)</t>
  </si>
  <si>
    <t>📊 GRADIENT DE MODÉRATION H4a — ρ(SRP→Q1) par tercile SMF</t>
  </si>
  <si>
    <t>📊 COMPARAISON DES SCORES PAR GRADE</t>
  </si>
  <si>
    <t>📊 COMPARAISON BIG4/INTERNATIONAL VS AUTRES CABINETS</t>
  </si>
  <si>
    <t>Taille</t>
  </si>
  <si>
    <t>Big4/Int.</t>
  </si>
  <si>
    <t>1-Brut</t>
  </si>
  <si>
    <t>2-Q1≠Jamais</t>
  </si>
  <si>
    <t>3-Q29=Neutre</t>
  </si>
  <si>
    <t>4-Métier audit</t>
  </si>
  <si>
    <t>📊 PROFIL RADAR PAR GRADE</t>
  </si>
  <si>
    <t>Senior-Mgr</t>
  </si>
  <si>
    <t>Q1 (usage)</t>
  </si>
  <si>
    <t>📊 SYNTHÈSE VISUELLE DES VERDICTS</t>
  </si>
  <si>
    <t>Nombre</t>
  </si>
  <si>
    <t>CONFIRMÉE</t>
  </si>
  <si>
    <t>D – Augmentation si formation (Q28)</t>
  </si>
  <si>
    <t>import openpyxl</t>
  </si>
  <si>
    <t>import numpy as np</t>
  </si>
  <si>
    <t>from scipy.stats import kruskal</t>
  </si>
  <si>
    <t># -----------------------------------------------------------------------</t>
  </si>
  <si>
    <t># CHARGEMENT</t>
  </si>
  <si>
    <t>SOURCE = '/mnt/user-data/uploads/Protocole_GRAPHS_v2_1.xlsx'</t>
  </si>
  <si>
    <t>wb  = openpyxl.load_workbook(SOURCE, data_only=True)</t>
  </si>
  <si>
    <t>ws  = wb['DONNEES_SOURCE']</t>
  </si>
  <si>
    <t>rows = [r for r in ws.iter_rows(min_row=2, values_only=True) if r[78] is True]</t>
  </si>
  <si>
    <t>assert len(rows) == 67</t>
  </si>
  <si>
    <t>def fnum(v):</t>
  </si>
  <si>
    <t xml:space="preserve">    if v is None: return None</t>
  </si>
  <si>
    <t xml:space="preserve">    if isinstance(v, (int, float)): return float(v)</t>
  </si>
  <si>
    <t xml:space="preserve">    try: return float(str(v).strip()[0])</t>
  </si>
  <si>
    <t xml:space="preserve">    except: return None</t>
  </si>
  <si>
    <t>Q1_MAP = {'2':2,'3':3,'4':4,'5':5,'6':6,'7':7}</t>
  </si>
  <si>
    <t>def parse_q1(v):</t>
  </si>
  <si>
    <t xml:space="preserve">    s = str(v).strip() if v else ''</t>
  </si>
  <si>
    <t xml:space="preserve">    return Q1_MAP.get(s[0], None) if s else None</t>
  </si>
  <si>
    <t># EXTRACTION PAR GRADE</t>
  </si>
  <si>
    <t>SCORES = {</t>
  </si>
  <si>
    <t xml:space="preserve">    'SUP': 72, 'SFU': 73, 'SRP': 74,</t>
  </si>
  <si>
    <t xml:space="preserve">    'SMF': 75, 'SS':  76, 'Q1':  None</t>
  </si>
  <si>
    <t>}</t>
  </si>
  <si>
    <t>data = {'Junior': {}, 'Senior-Manager': {}, 'Associe': {}}</t>
  </si>
  <si>
    <t>for g in data:</t>
  </si>
  <si>
    <t xml:space="preserve">    for s in SCORES:</t>
  </si>
  <si>
    <t xml:space="preserve">        data[g][s] = []</t>
  </si>
  <si>
    <t>for r in rows:</t>
  </si>
  <si>
    <t xml:space="preserve">    g = str(r[77]).strip() if r[77] else None</t>
  </si>
  <si>
    <t xml:space="preserve">    if g not in data: continue</t>
  </si>
  <si>
    <t xml:space="preserve">    for s, idx in SCORES.items():</t>
  </si>
  <si>
    <t xml:space="preserve">        if s == 'Q1':</t>
  </si>
  <si>
    <t xml:space="preserve">            v = parse_q1(r[1])</t>
  </si>
  <si>
    <t xml:space="preserve">        else:</t>
  </si>
  <si>
    <t xml:space="preserve">            v = fnum(r[idx])</t>
  </si>
  <si>
    <t xml:space="preserve">        if v is not None:</t>
  </si>
  <si>
    <t xml:space="preserve">            data[g][s].append(v)</t>
  </si>
  <si>
    <t># RÉSULTATS</t>
  </si>
  <si>
    <t>GRADES = ['Junior', 'Senior-Manager', 'Associe']</t>
  </si>
  <si>
    <t>print("=" * 70)</t>
  </si>
  <si>
    <t>print("KRUSKAL-WALLIS PAR GRADE — N=67")</t>
  </si>
  <si>
    <t># Tableau des moyennes</t>
  </si>
  <si>
    <t>header = f"{'Grade':&lt;18} {'N':&gt;4}"</t>
  </si>
  <si>
    <t>for s in SCORES: header += f"  {s:&gt;7}"</t>
  </si>
  <si>
    <t>print("\n" + header)</t>
  </si>
  <si>
    <t>print("-" * 70)</t>
  </si>
  <si>
    <t>for g in GRADES:</t>
  </si>
  <si>
    <t xml:space="preserve">    n = len(data[g]['Q1'])</t>
  </si>
  <si>
    <t xml:space="preserve">    line = f"{g:&lt;18} {n:&gt;4}"</t>
  </si>
  <si>
    <t xml:space="preserve">        m = np.mean(data[g][s]) if data[g][s] else float('nan')</t>
  </si>
  <si>
    <t xml:space="preserve">        line += f"  {m:&gt;7.3f}"</t>
  </si>
  <si>
    <t xml:space="preserve">    print(line)</t>
  </si>
  <si>
    <t># Tests Kruskal-Wallis</t>
  </si>
  <si>
    <t>print("\n" + "-" * 70)</t>
  </si>
  <si>
    <t>print(f"{'':18} {'':&gt;4}", end='')</t>
  </si>
  <si>
    <t>for s in SCORES: print(f"  {s:&gt;7}", end='')</t>
  </si>
  <si>
    <t>print()</t>
  </si>
  <si>
    <t>print(f"{'H':18} {'':&gt;4}", end='')</t>
  </si>
  <si>
    <t>for s in SCORES:</t>
  </si>
  <si>
    <t xml:space="preserve">    g1, g2, g3 = data['Junior'][s], data['Senior-Manager'][s], data['Associe'][s]</t>
  </si>
  <si>
    <t xml:space="preserve">    H, p = kruskal(g1, g2, g3)</t>
  </si>
  <si>
    <t xml:space="preserve">    print(f"  {H:&gt;7.2f}", end='')</t>
  </si>
  <si>
    <t>print(f"{'p-value':18} {'':&gt;4}", end='')</t>
  </si>
  <si>
    <t>results = {}</t>
  </si>
  <si>
    <t xml:space="preserve">    sig = '***' if p&lt;0.001 else '**' if p&lt;0.01 else '*' if p&lt;0.05 else '(.)' if p&lt;0.1 else 'NS'</t>
  </si>
  <si>
    <t xml:space="preserve">    results[s] = (H, p, sig)</t>
  </si>
  <si>
    <t xml:space="preserve">    print(f"  {p:&gt;6.3f}{sig[0] if sig!='NS' else ' '}", end='')</t>
  </si>
  <si>
    <t>print("\n" + "=" * 70)</t>
  </si>
  <si>
    <t>print("DÉTAIL PAR SCORE")</t>
  </si>
  <si>
    <t>for s, (H, p, sig) in results.items():</t>
  </si>
  <si>
    <t xml:space="preserve">    print(f"\n  {s}: H={H:.2f}  p={p:.4f}  {sig}")</t>
  </si>
  <si>
    <t xml:space="preserve">    for g in GRADES:</t>
  </si>
  <si>
    <t xml:space="preserve">        vals = data[g][s]</t>
  </si>
  <si>
    <t xml:space="preserve">        print(f"    {g:&lt;18} N={len(vals):&gt;2}  Moy={np.mean(vals):.3f}  "</t>
  </si>
  <si>
    <t xml:space="preserve">              f"Méd={np.median(vals):.3f}  σ={np.std(vals, ddof=1):.3f}")</t>
  </si>
  <si>
    <t>print("\n✅  Terminé.")</t>
  </si>
  <si>
    <t>"_x000D_
=======================================================================_x000D_
SCRIPT DE VÉRIFICATION — CHAPITRE 5_x000D_
Mémoire M2 CGAO — Lydérick HENRY_x000D_
Université de Lille, 2025-2026_x000D_
_x000D_
Source  : Protocole_GRAPHS_v2_1.xlsx — onglet DONNEES_SOURCE_x000D_
Filtre  : INCLUS_ANALYSE = VRAI → N = 67_x000D_
Auteur  : Script généré par Claude (Anthropic) — vérification indépendante_x000D_
=======================================================================_x000D_
"</t>
  </si>
  <si>
    <t>from scipy.stats import spearmanr</t>
  </si>
  <si>
    <t>from collections import Counter</t>
  </si>
  <si>
    <t>ALL = list(ws.iter_rows(min_row=2, values_only=True))</t>
  </si>
  <si>
    <t>N67 = [r for r in ALL if r[78] is True]   # N = 67</t>
  </si>
  <si>
    <t>assert len(N67) == 67, f"Attendu 67, obtenu {len(N67)}"</t>
  </si>
  <si>
    <t>print(f"✅  N = {len(N67)} observations chargées\n")</t>
  </si>
  <si>
    <t># UTILITAIRES</t>
  </si>
  <si>
    <t xml:space="preserve">    """Convertit une valeur (texte '4. Utile' ou numérique) en float."""</t>
  </si>
  <si>
    <t>def col(idx):</t>
  </si>
  <si>
    <t xml:space="preserve">    return [fnum(r[idx]) for r in N67]</t>
  </si>
  <si>
    <t>def col_clean(idx):</t>
  </si>
  <si>
    <t xml:space="preserve">    return [v for v in col(idx) if v is not None]</t>
  </si>
  <si>
    <t>def spear(x, y, label="", memo_rho=None, memo_p=None):</t>
  </si>
  <si>
    <t xml:space="preserve">    pairs = [(a, b) for a, b in zip(x, y) if a is not None and b is not None]</t>
  </si>
  <si>
    <t xml:space="preserve">    if len(pairs) &lt; 3:</t>
  </si>
  <si>
    <t xml:space="preserve">        print(f"  ⚠️  {label} — moins de 3 paires, calcul impossible")</t>
  </si>
  <si>
    <t xml:space="preserve">        return None, None, None</t>
  </si>
  <si>
    <t xml:space="preserve">    xs, ys = zip(*pairs)</t>
  </si>
  <si>
    <t xml:space="preserve">    rho, p = spearmanr(xs, ys)</t>
  </si>
  <si>
    <t xml:space="preserve">    t = rho * np.sqrt((len(xs)-2) / (1-rho**2)) if abs(rho) &lt; 1 else float('inf')</t>
  </si>
  <si>
    <t xml:space="preserve">    sig = ('***' if p &lt; 0.001 else '**' if p &lt; 0.01 else '*'</t>
  </si>
  <si>
    <t xml:space="preserve">           if p &lt; 0.05 else '(.)' if p &lt; 0.1 else 'NS')</t>
  </si>
  <si>
    <t xml:space="preserve">    status = ""</t>
  </si>
  <si>
    <t xml:space="preserve">    if memo_rho is not None:</t>
  </si>
  <si>
    <t xml:space="preserve">        ok_r = abs(rho - memo_rho) &lt; 0.006</t>
  </si>
  <si>
    <t xml:space="preserve">        ok_p = abs(p   - memo_p)   &lt; 0.006</t>
  </si>
  <si>
    <t xml:space="preserve">        status = "  ✓" if (ok_r and ok_p) else f"  ✗ (mémoire: ρ={memo_rho}, p={memo_p})"</t>
  </si>
  <si>
    <t xml:space="preserve">    print(f"  {label}: ρ={rho:.3f}  t={t:.3f}  ddl={len(xs)-2}  "</t>
  </si>
  <si>
    <t xml:space="preserve">          f"p={p:.4f}  {sig}{status}")</t>
  </si>
  <si>
    <t xml:space="preserve">    return round(rho, 3), round(p, 4), round(t, 3)</t>
  </si>
  <si>
    <t>def stat(vals, label, m_moy=None, m_med=None, m_std=None):</t>
  </si>
  <si>
    <t xml:space="preserve">    moy = np.mean(vals); med = np.median(vals); std = np.std(vals, ddof=1)</t>
  </si>
  <si>
    <t xml:space="preserve">    s_m = "✓" if m_moy is None or abs(moy-m_moy)&lt;0.005 else f"✗(mémoire {m_moy})"</t>
  </si>
  <si>
    <t xml:space="preserve">    s_d = "✓" if m_med is None or abs(med-m_med)&lt;0.005 else f"✗(mémoire {m_med})"</t>
  </si>
  <si>
    <t xml:space="preserve">    s_s = "✓" if m_std is None or abs(std-m_std)&lt;0.005 else f"✗(mémoire {m_std})"</t>
  </si>
  <si>
    <t xml:space="preserve">    print(f"  {label}: Moy={moy:.3f}{s_m}  Méd={med:.3f}{s_d}  σ={std:.3f}{s_s}")</t>
  </si>
  <si>
    <t># VARIABLES DE BASE</t>
  </si>
  <si>
    <t>q1  = [parse_q1(r[1])  for r in N67]</t>
  </si>
  <si>
    <t>q1c = [v for v in q1   if v is not None]</t>
  </si>
  <si>
    <t>SUP = col_clean(72); SFU = col_clean(73); SRP = col_clean(74)</t>
  </si>
  <si>
    <t>SMF = col_clean(75); SS  = col_clean(76)</t>
  </si>
  <si>
    <t>Q9      = col_clean(35); Q10     = col_clean(36); Q11_inv = col_clean(68)</t>
  </si>
  <si>
    <t>Q12     = col_clean(38); Q13     = col_clean(39)</t>
  </si>
  <si>
    <t>Q14     = col_clean(40); Q15     = col_clean(41)</t>
  </si>
  <si>
    <t>Q17     = col_clean(46); Q18     = col_clean(47)</t>
  </si>
  <si>
    <t>Q19     = [fnum(r[48])  for r in N67]</t>
  </si>
  <si>
    <t>Q20     = col_clean(49); Q21     = col_clean(50)</t>
  </si>
  <si>
    <t>Q22_inv = col_clean(69); Q23     = col_clean(52)</t>
  </si>
  <si>
    <t>Q24     = col_clean(53); Q25_inv = col_clean(70)</t>
  </si>
  <si>
    <t>Q26_inv = col_clean(71); Q30     = col_clean(59)</t>
  </si>
  <si>
    <t>Q16_Hal = [fnum(r[42])  for r in N67 if fnum(r[42])]</t>
  </si>
  <si>
    <t>Q16_Con = [fnum(r[43])  for r in N67 if fnum(r[43])]</t>
  </si>
  <si>
    <t>Q16_Boi = [fnum(r[44])  for r in N67 if fnum(r[44])]</t>
  </si>
  <si>
    <t>Q16_Res = [fnum(r[45])  for r in N67 if fnum(r[45])]</t>
  </si>
  <si>
    <t># 5.1 — PROFIL DE L'ÉCHANTILLON</t>
  </si>
  <si>
    <t>print("=" * 65)</t>
  </si>
  <si>
    <t>print("5.1  PROFIL DE L'ÉCHANTILLON")</t>
  </si>
  <si>
    <t>genres  = Counter(str(r[61]).strip() if r[61] else 'NA' for r in N67)</t>
  </si>
  <si>
    <t>ages    = Counter(str(r[60]).strip() if r[60] else 'NA' for r in N67)</t>
  </si>
  <si>
    <t>grades  = Counter(str(r[77]).strip() if r[77] else 'NA' for r in N67)</t>
  </si>
  <si>
    <t>cabs    = Counter(str(r[65]).strip() if r[65] else 'NA' for r in N67)</t>
  </si>
  <si>
    <t>q5_cnt  = Counter(str(r[13])[:20]    if r[13] else 'NA' for r in N67)</t>
  </si>
  <si>
    <t>print(f"\n  Genre — Homme : {genres.get('Homme',0)} "</t>
  </si>
  <si>
    <t xml:space="preserve">      f"({genres.get('Homme',0)/67*100:.1f}%)  | Mémoire: 45 (67,2%)")</t>
  </si>
  <si>
    <t>print(f"  Genre — Femme : {genres.get('Femme',0)} "</t>
  </si>
  <si>
    <t xml:space="preserve">      f"({genres.get('Femme',0)/67*100:.1f}%)  | Mémoire: 22 (32,8%)")</t>
  </si>
  <si>
    <t>print(f"\n  Âges : {dict(ages)}")</t>
  </si>
  <si>
    <t>print(f"  → 18-25 : {ages.get('18-25',0)} ({ages.get('18-25',0)/67*100:.1f}%)  "</t>
  </si>
  <si>
    <t xml:space="preserve">      f"| Mémoire: 32 (47,8%)")</t>
  </si>
  <si>
    <t>print(f"\n  Grades : {dict(grades)}")</t>
  </si>
  <si>
    <t>print(f"  → Junior: {grades.get('Junior',0)} ({grades.get('Junior',0)/67*100:.1f}%)  "</t>
  </si>
  <si>
    <t xml:space="preserve">      f"| Mémoire: 31 (46,3%)")</t>
  </si>
  <si>
    <t>print(f"  → Associe: {grades.get('Associe',0)} ({grades.get('Associe',0)/67*100:.1f}%)  "</t>
  </si>
  <si>
    <t xml:space="preserve">      f"| Mémoire: 19 (28,4%)")</t>
  </si>
  <si>
    <t>print(f"  → Senior-Manager: {grades.get('Senior-Manager',0)} "</t>
  </si>
  <si>
    <t xml:space="preserve">      f"({grades.get('Senior-Manager',0)/67*100:.1f}%)  | Mémoire: 17 (25,4%)")</t>
  </si>
  <si>
    <t>print(f"\n  Cabinets : {dict(cabs)}")</t>
  </si>
  <si>
    <t>tools = {</t>
  </si>
  <si>
    <t xml:space="preserve">    'Copilot': sum(1 for r in N67 if r[4]),</t>
  </si>
  <si>
    <t xml:space="preserve">    'ChatGPT': sum(1 for r in N67 if r[5]),</t>
  </si>
  <si>
    <t xml:space="preserve">    'Cabinet': sum(1 for r in N67 if r[10]),</t>
  </si>
  <si>
    <t xml:space="preserve">    'Gemini':  sum(1 for r in N67 if r[6]),</t>
  </si>
  <si>
    <t xml:space="preserve">    'Mistral': sum(1 for r in N67 if r[3]),</t>
  </si>
  <si>
    <t xml:space="preserve">    'Claude':  sum(1 for r in N67 if r[9]),</t>
  </si>
  <si>
    <t xml:space="preserve">    'Perplexity': sum(1 for r in N67 if r[7]),</t>
  </si>
  <si>
    <t xml:space="preserve">    'Grok':    sum(1 for r in N67 if r[8]),</t>
  </si>
  <si>
    <t>print("\n  Outils (Q3) :")</t>
  </si>
  <si>
    <t>memo_tools = {'Copilot':49,'ChatGPT':36,'Cabinet':20,'Gemini':15,</t>
  </si>
  <si>
    <t xml:space="preserve">              'Mistral':9,'Claude':8,'Perplexity':7,'Grok':4}</t>
  </si>
  <si>
    <t>for t, n in tools.items():</t>
  </si>
  <si>
    <t xml:space="preserve">    ok = "✓" if n == memo_tools.get(t) else f"✗(mémoire {memo_tools.get(t)})"</t>
  </si>
  <si>
    <t xml:space="preserve">    print(f"    {t}: {n} ({n/67*100:.1f}%)  {ok}")</t>
  </si>
  <si>
    <t>vol = sum(1 for r in N67 if r[13] and 'VOLONTAIRE' in str(r[13]).upper())</t>
  </si>
  <si>
    <t>print(f"\n  Q5 Volontaire: {vol} ({vol/67*100:.1f}%)  | Mémoire: 46 (68,7%)")</t>
  </si>
  <si>
    <t># 5.2 — STATISTIQUES DESCRIPTIVES</t>
  </si>
  <si>
    <t>print("\n" + "=" * 65)</t>
  </si>
  <si>
    <t>print("5.2  STATISTIQUES DESCRIPTIVES")</t>
  </si>
  <si>
    <t>print("\n  Q1 — Fréquence d'usage :")</t>
  </si>
  <si>
    <t>stat(q1c, "Q1", m_moy=5.015, m_med=5.0, m_std=1.343)</t>
  </si>
  <si>
    <t>print(f"  Distribution Q1: {dict(sorted(Counter(q1c).items()))}")</t>
  </si>
  <si>
    <t>pct_hebdo = sum(1 for v in q1c if v &gt;= 5) / 67 * 100</t>
  </si>
  <si>
    <t>print(f"  Usage ≥ hebdomadaire (Q1≥5): {sum(1 for v in q1c if v&gt;=5)} ({pct_hebdo:.1f}%)  "</t>
  </si>
  <si>
    <t xml:space="preserve">      f"| Mémoire: 47 (70,1%)")</t>
  </si>
  <si>
    <t>print("\n  Scores composites :")</t>
  </si>
  <si>
    <t>stat(SUP, "SUP", 3.398, 3.476, 0.580)</t>
  </si>
  <si>
    <t>stat(SFU, "SFU", 4.736, 4.667, 0.954)</t>
  </si>
  <si>
    <t>stat(SRP, "SRP", 5.526, 5.500, 0.878)</t>
  </si>
  <si>
    <t>stat(SMF, "SMF", 4.756, 4.667, 0.887)</t>
  </si>
  <si>
    <t>stat(SS,  "SS",  4.961, 5.000, 0.793)</t>
  </si>
  <si>
    <t>print("\n  Items individuels :")</t>
  </si>
  <si>
    <t>items_check = [</t>
  </si>
  <si>
    <t xml:space="preserve">    ("Q9",  Q9,      5.388), ("Q10", Q10,     5.403),</t>
  </si>
  <si>
    <t xml:space="preserve">    ("Q11_inv", Q11_inv, 3.478), ("Q12", Q12,  6.164),</t>
  </si>
  <si>
    <t xml:space="preserve">    ("Q13", Q13,     5.776), ("Q14", Q14,      5.104),</t>
  </si>
  <si>
    <t xml:space="preserve">    ("Q15", Q15,     5.104), ("Q17", Q17,      4.269),</t>
  </si>
  <si>
    <t xml:space="preserve">    ("Q24", Q24,     5.597), ("Q23", Q23,      5.478),</t>
  </si>
  <si>
    <t xml:space="preserve">    ("Q22_inv", Q22_inv, 5.119), ("Q26_inv", Q26_inv, 5.149),</t>
  </si>
  <si>
    <t xml:space="preserve">    ("Q25_inv", Q25_inv, 3.478), ("Q30", Q30,  5.060),</t>
  </si>
  <si>
    <t>]</t>
  </si>
  <si>
    <t>for name, vals, expected in items_check:</t>
  </si>
  <si>
    <t xml:space="preserve">    moy = np.mean(vals)</t>
  </si>
  <si>
    <t xml:space="preserve">    ok  = "✓" if abs(moy - expected) &lt; 0.006 else f"✗ (mémoire {expected})"</t>
  </si>
  <si>
    <t xml:space="preserve">    print(f"    {name}: {moy:.3f}  {ok}")</t>
  </si>
  <si>
    <t>print("\n  Q16 — Importance des risques (/5) :")</t>
  </si>
  <si>
    <t>q16_data = [("Hallucinations", Q16_Hal, 4.343),</t>
  </si>
  <si>
    <t xml:space="preserve">            ("Confidentialité", Q16_Con, 4.433),</t>
  </si>
  <si>
    <t xml:space="preserve">            ("Boîte noire",    Q16_Boi, None),</t>
  </si>
  <si>
    <t xml:space="preserve">            ("Responsabilité", Q16_Res, None)]</t>
  </si>
  <si>
    <t>for name, vals, expected in q16_data:</t>
  </si>
  <si>
    <t xml:space="preserve">    ok  = "" if expected is None else ("✓" if abs(moy-expected)&lt;0.006 else f"✗(mémoire {expected})")</t>
  </si>
  <si>
    <t>print("\n  Q30 — Équilibre bénéfices-risques :")</t>
  </si>
  <si>
    <t>stat(Q30, "Q30", m_moy=5.060, m_med=5.0, m_std=1.445)</t>
  </si>
  <si>
    <t># 5.3 — TEST DES HYPOTHÈSES</t>
  </si>
  <si>
    <t>print("5.3  TEST DES HYPOTHÈSES (Spearman)")</t>
  </si>
  <si>
    <t>print("\n  H1 — SUP → Q1 :")</t>
  </si>
  <si>
    <t>spear(SUP, q1c, "SUP→Q1", memo_rho=0.166, memo_p=0.179)</t>
  </si>
  <si>
    <t>print("\n  H1 — Items SUP désagrégés → Q1 :")</t>
  </si>
  <si>
    <t>items_h1 = [</t>
  </si>
  <si>
    <t xml:space="preserve">    ("Q7_Rédaction",  26, 0.326, 0.007),</t>
  </si>
  <si>
    <t xml:space="preserve">    ("Q6_Rédaction",  16, 0.230, 0.062),</t>
  </si>
  <si>
    <t xml:space="preserve">    ("Q6_Développement", 18, 0.407, 0.001),</t>
  </si>
  <si>
    <t>for name, idx, m_rho, m_p in items_h1:</t>
  </si>
  <si>
    <t xml:space="preserve">    spear(col_clean(idx), q1c, name, memo_rho=m_rho, memo_p=m_p)</t>
  </si>
  <si>
    <t>print("\n  H2 — SFU → Q1 :")</t>
  </si>
  <si>
    <t>spear(SFU, q1c, "SFU→Q1", memo_rho=0.293, memo_p=0.016)</t>
  </si>
  <si>
    <t>print("\n  H2 — Items SFU → Q1 :")</t>
  </si>
  <si>
    <t>spear(Q9,      q1c, "Q9→Q1",      0.257, 0.036)</t>
  </si>
  <si>
    <t>spear(Q10,     q1c, "Q10→Q1",     0.492, 0.000)</t>
  </si>
  <si>
    <t>spear(Q11_inv, q1c, "Q11_inv→Q1", 0.121, 0.328)</t>
  </si>
  <si>
    <t>print("\n  H3 — SRP → Q1 :")</t>
  </si>
  <si>
    <t>spear(SRP, q1c, "SRP→Q1",  memo_rho=-0.246, memo_p=0.045)</t>
  </si>
  <si>
    <t>print("\n  H3 — SRP → Q17 (cohérence) :")</t>
  </si>
  <si>
    <t>spear(SRP, Q17, "SRP→Q17", memo_rho=0.283, memo_p=0.020)</t>
  </si>
  <si>
    <t>print("\n  H3 — Items risque → Q17 :")</t>
  </si>
  <si>
    <t>spear(Q15, Q17, "Q15→Q17", 0.304, 0.012)</t>
  </si>
  <si>
    <t>spear(Q12, Q17, "Q12→Q17", 0.233, 0.057)</t>
  </si>
  <si>
    <t>spear(Q13, Q17, "Q13→Q17", 0.109, 0.382)</t>
  </si>
  <si>
    <t>spear(Q14, Q17, "Q14→Q17", 0.237, 0.054)</t>
  </si>
  <si>
    <t>print("\n  H4a — Gradient SMF (terciles) :")</t>
  </si>
  <si>
    <t>T33 = np.percentile(SMF, 33)</t>
  </si>
  <si>
    <t>T66 = np.percentile(SMF, 67)</t>
  </si>
  <si>
    <t>print(f"    T33 (seuil bas/moyen) = {T33:.4f}  | Mémoire: 4,666")</t>
  </si>
  <si>
    <t>print(f"    T66 (seuil moyen/haut) = {T66:.4f} | Mémoire: 5,000")</t>
  </si>
  <si>
    <t>bas   = [(float(r[74]), float(r[79])) for r in N67</t>
  </si>
  <si>
    <t xml:space="preserve">         if r[75] and float(r[75]) &lt;= T33 and r[74] and r[79]]</t>
  </si>
  <si>
    <t>moyen = [(float(r[74]), float(r[79])) for r in N67</t>
  </si>
  <si>
    <t xml:space="preserve">         if r[75] and T33 &lt; float(r[75]) &lt;= T66 and r[74] and r[79]]</t>
  </si>
  <si>
    <t>haut  = [(float(r[74]), float(r[79])) for r in N67</t>
  </si>
  <si>
    <t xml:space="preserve">         if r[75] and float(r[75]) &gt; T66 and r[74] and r[79]]</t>
  </si>
  <si>
    <t>memo_terc = {</t>
  </si>
  <si>
    <t xml:space="preserve">    'Bas':   (-0.416, 0.054),</t>
  </si>
  <si>
    <t xml:space="preserve">    'Moyen': (-0.271, 0.200),</t>
  </si>
  <si>
    <t xml:space="preserve">    'Haut':  ( 0.000, 0.999)</t>
  </si>
  <si>
    <t>for label, t in [('Bas', bas), ('Moyen', moyen), ('Haut', haut)]:</t>
  </si>
  <si>
    <t xml:space="preserve">    xs, ys = zip(*t)</t>
  </si>
  <si>
    <t xml:space="preserve">    t_stat = rho*np.sqrt((len(xs)-2)/(1-rho**2)) if abs(rho) &lt; 1 else 0</t>
  </si>
  <si>
    <t xml:space="preserve">    m_rho, m_p = memo_terc[label]</t>
  </si>
  <si>
    <t xml:space="preserve">    ok_r = "✓" if abs(rho-m_rho) &lt; 0.04 else f"✗(mémoire ρ={m_rho})"</t>
  </si>
  <si>
    <t xml:space="preserve">    ok_p = "✓" if abs(p-m_p)     &lt; 0.04 else f"✗(mémoire p={m_p})"</t>
  </si>
  <si>
    <t xml:space="preserve">    smf_moy = np.mean([float(r[75]) for r in N67 if r[75] and</t>
  </si>
  <si>
    <t xml:space="preserve">               (float(r[75]) &lt;= T33 if label=='Bas'</t>
  </si>
  <si>
    <t xml:space="preserve">                else (T33 &lt; float(r[75]) &lt;= T66 if label=='Moyen'</t>
  </si>
  <si>
    <t xml:space="preserve">                      else float(r[75]) &gt; T66))])</t>
  </si>
  <si>
    <t xml:space="preserve">    srp_moy = np.mean([xs[i] for i in range(len(xs))])</t>
  </si>
  <si>
    <t xml:space="preserve">    print(f"    {label}: N={len(t)}  ρ={rho:.3f} {ok_r}  p={p:.4f} {ok_p}  "</t>
  </si>
  <si>
    <t xml:space="preserve">          f"Moy.SMF={smf_moy:.3f}  Moy.SRP={srp_moy:.3f}")</t>
  </si>
  <si>
    <t>print("\n  H4a — Items SMF → Q1 :")</t>
  </si>
  <si>
    <t>spear(Q20, q1c,  "Q20→Q1",     0.379, 0.002)</t>
  </si>
  <si>
    <t>spear(Q21, q1c,  "Q21→Q1",     0.242, 0.048)</t>
  </si>
  <si>
    <t>spear(SMF, q1c,  "SMF→Q1",     0.237, 0.053)</t>
  </si>
  <si>
    <t>spear(Q19, q1,   "Q19→Q1 (N.S.)", 0.095, 0.446)</t>
  </si>
  <si>
    <t>print("\n  H4b — SMF/SRP → SS :")</t>
  </si>
  <si>
    <t>spear(SMF, SS, "SMF→SS", 0.175, 0.156)</t>
  </si>
  <si>
    <t>spear(SRP, SS, "SRP→SS", 0.110, 0.377)</t>
  </si>
  <si>
    <t>print("\n  H4b — Biais d'automatisation (items) :")</t>
  </si>
  <si>
    <t>spear(Q21, SS,      "Q21→SS",       0.285, 0.019)</t>
  </si>
  <si>
    <t>spear(Q12, Q23,     "Q12→Q23",      0.312, 0.010)</t>
  </si>
  <si>
    <t>spear(q1c, Q24,     "Q1→Q24",       0.282, 0.021)</t>
  </si>
  <si>
    <t>spear(q1c, Q25_inv, "Q1→Q25_inv",  -0.241, 0.050)</t>
  </si>
  <si>
    <t># 5.4 — ANALYSES COMPLÉMENTAIRES</t>
  </si>
  <si>
    <t>print("5.4  ANALYSES COMPLÉMENTAIRES")</t>
  </si>
  <si>
    <t>q27 = Counter(str(r[56])[:5].strip() if r[56] else 'NA' for r in N67)</t>
  </si>
  <si>
    <t>oui = sum(v for k, v in q27.items() if k.startswith('Oui'))</t>
  </si>
  <si>
    <t>print(f"\n  Q27 — Intention augmenter usage : {oui} Oui ({oui/67*100:.1f}%)  "</t>
  </si>
  <si>
    <t xml:space="preserve">      f"| Mémoire: 39 (58,2%)")</t>
  </si>
  <si>
    <t>print(f"  Q18 — Usage si risques éliminés : {np.mean(Q18):.3f}/7  | Mémoire: 5,731")</t>
  </si>
  <si>
    <t>print("\n✅  Vérification complète terminée.")</t>
  </si>
  <si>
    <t># 5.4.5 — MANN-WHITNEY CABINETS</t>
  </si>
  <si>
    <t>print("5.4.5  MANN-WHITNEY CABINETS INTERNATIONAUX VS AUTRES")</t>
  </si>
  <si>
    <t>from scipy.stats import mannwhitneyu</t>
  </si>
  <si>
    <t>intl   = [r for r in N67 if r[65] and 'international' in str(r[65]).lower()]</t>
  </si>
  <si>
    <t>autres = [r for r in N67 if r[65] and 'international' not in str(r[65]).lower()]</t>
  </si>
  <si>
    <t>print(f"\n  International: N={len(intl)}, Autres: N={len(autres)}")</t>
  </si>
  <si>
    <t>for s, idx in [('SRP',74),('SMF',75),('SS',76)]:</t>
  </si>
  <si>
    <t xml:space="preserve">    g1 = [fnum(r[idx]) for r in intl   if fnum(r[idx])]</t>
  </si>
  <si>
    <t xml:space="preserve">    g2 = [fnum(r[idx]) for r in autres if fnum(r[idx])]</t>
  </si>
  <si>
    <t xml:space="preserve">    U, p = mannwhitneyu(g1, g2, alternative='two-sided')</t>
  </si>
  <si>
    <t xml:space="preserve">    print(f"  {s}: U={U:.0f} p={p:.3f}{sig} | Intl={np.mean(g1):.3f} | Autres={np.mean(g2):.3f}")</t>
  </si>
  <si>
    <t>"
=======================================================================
TEST DE KRUSKAL-WALLIS PAR GRADE — Chapitre 5.4.4
Mémoire M2 CGAO — Lydérick HENRY
Université de Lille, 2025-2026
Source  : Protocole_GRAPHS_v2_1.xlsx — onglet DONNEES_SOURCE
Filtre  : INCLUS_ANALYSE = VRAI → N = 67
Scores  : SUP, SFU, SRP, SMF, SS, Q1
Groupes : Junior (N=31), Senior-Manager (N=17), Associé (N=19)
=======================================================================
"</t>
  </si>
  <si>
    <t>ρ ≈ ou &gt;  0 (effet annulé)</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</si>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</sst>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0.000"/>
    <numFmt numFmtId="166" formatCode="0.0000"/>
    <numFmt numFmtId="167" formatCode="0.00000"/>
  </numFmts>
  <fonts count="84" x14ac:knownFonts="1">
    <font>
      <sz val="11"/>
      <color theme="1"/>
      <name val="Calibri"/>
      <family val="2"/>
      <scheme val="minor"/>
    </font>
    <font>
      <b/>
      <sz val="10"/>
      <color rgb="FFFFFFFF"/>
      <name val="Arial"/>
    </font>
    <font>
      <sz val="8"/>
      <name val="Arial"/>
    </font>
    <font>
      <b/>
      <sz val="13"/>
      <color rgb="FFFFFFFF"/>
      <name val="Arial"/>
    </font>
    <font>
      <i/>
      <sz val="9"/>
      <color rgb="FF888888"/>
      <name val="Arial"/>
    </font>
    <font>
      <b/>
      <sz val="11"/>
      <color rgb="FFFFFFFF"/>
      <name val="Arial"/>
    </font>
    <font>
      <b/>
      <sz val="9"/>
      <color rgb="FFFFFFFF"/>
      <name val="Arial"/>
    </font>
    <font>
      <sz val="9"/>
      <name val="Arial"/>
    </font>
    <font>
      <b/>
      <sz val="9"/>
      <color rgb="FF1F2937"/>
      <name val="Arial"/>
    </font>
    <font>
      <i/>
      <sz val="9"/>
      <name val="Arial"/>
    </font>
    <font>
      <b/>
      <sz val="9"/>
      <color rgb="FFC00000"/>
      <name val="Arial"/>
    </font>
    <font>
      <b/>
      <sz val="9"/>
      <name val="Arial"/>
    </font>
    <font>
      <b/>
      <sz val="9"/>
      <color rgb="FF00703C"/>
      <name val="Arial"/>
    </font>
    <font>
      <b/>
      <sz val="9"/>
      <color rgb="FF1F3864"/>
      <name val="Arial"/>
    </font>
    <font>
      <sz val="9"/>
      <color rgb="FF1F2937"/>
      <name val="Arial"/>
    </font>
    <font>
      <i/>
      <sz val="9"/>
      <color rgb="FF1F3864"/>
      <name val="Arial"/>
    </font>
    <font>
      <b/>
      <sz val="9"/>
      <color rgb="FFE97B1A"/>
      <name val="Arial"/>
    </font>
    <font>
      <sz val="11"/>
      <color theme="1"/>
      <name val="Calibri"/>
      <family val="2"/>
      <scheme val="minor"/>
    </font>
    <font>
      <b/>
      <sz val="11"/>
      <color theme="1"/>
      <name val="Calibri"/>
      <family val="2"/>
      <scheme val="minor"/>
    </font>
    <font>
      <sz val="10"/>
      <color theme="1"/>
      <name val="Calibri"/>
      <scheme val="minor"/>
    </font>
    <font>
      <sz val="10"/>
      <color theme="1"/>
      <name val="Calibri"/>
      <family val="2"/>
      <scheme val="minor"/>
    </font>
    <font>
      <u/>
      <sz val="11"/>
      <color theme="10"/>
      <name val="Calibri"/>
      <family val="2"/>
      <scheme val="minor"/>
    </font>
    <font>
      <b/>
      <sz val="10"/>
      <color rgb="FFFFFFFF"/>
      <name val="Arial"/>
      <family val="2"/>
    </font>
    <font>
      <b/>
      <sz val="11"/>
      <color rgb="FFFFFFFF"/>
      <name val="Arial"/>
      <family val="2"/>
    </font>
    <font>
      <b/>
      <sz val="9"/>
      <color rgb="FFFFFFFF"/>
      <name val="Arial"/>
      <family val="2"/>
    </font>
    <font>
      <b/>
      <sz val="11"/>
      <color rgb="FF1F3864"/>
      <name val="Calibri"/>
      <family val="2"/>
      <scheme val="minor"/>
    </font>
    <font>
      <i/>
      <sz val="11"/>
      <color theme="1"/>
      <name val="Calibri"/>
      <family val="2"/>
      <scheme val="minor"/>
    </font>
    <font>
      <i/>
      <sz val="9"/>
      <color theme="1"/>
      <name val="Calibri"/>
      <family val="2"/>
      <scheme val="minor"/>
    </font>
    <font>
      <i/>
      <sz val="8"/>
      <color theme="1"/>
      <name val="Calibri"/>
      <family val="2"/>
      <scheme val="minor"/>
    </font>
    <font>
      <b/>
      <sz val="10"/>
      <color rgb="FFFFFFFF"/>
      <name val="Calibri"/>
      <family val="2"/>
      <scheme val="minor"/>
    </font>
    <font>
      <sz val="11"/>
      <color theme="1"/>
      <name val="Courier New"/>
      <family val="3"/>
    </font>
    <font>
      <sz val="9"/>
      <name val="Arial"/>
      <family val="2"/>
    </font>
    <font>
      <i/>
      <sz val="9"/>
      <name val="Arial"/>
      <family val="2"/>
    </font>
    <font>
      <sz val="9"/>
      <color rgb="FF006400"/>
      <name val="Courier New"/>
      <family val="3"/>
    </font>
    <font>
      <b/>
      <sz val="12"/>
      <color rgb="FFFFFFFF"/>
      <name val="Arial"/>
      <family val="2"/>
    </font>
    <font>
      <i/>
      <sz val="9"/>
      <color rgb="FF444444"/>
      <name val="Arial"/>
      <family val="2"/>
    </font>
    <font>
      <b/>
      <sz val="10"/>
      <color rgb="FF000000"/>
      <name val="Arial"/>
      <family val="2"/>
    </font>
    <font>
      <b/>
      <sz val="11"/>
      <name val="Arial"/>
      <family val="2"/>
    </font>
    <font>
      <sz val="10"/>
      <color rgb="FF000000"/>
      <name val="Arial"/>
      <family val="2"/>
    </font>
    <font>
      <sz val="9"/>
      <color rgb="FF000000"/>
      <name val="Arial"/>
      <family val="2"/>
    </font>
    <font>
      <b/>
      <sz val="9"/>
      <name val="Arial"/>
      <family val="2"/>
    </font>
    <font>
      <b/>
      <sz val="10"/>
      <color rgb="FF1F3864"/>
      <name val="Arial"/>
      <family val="2"/>
    </font>
    <font>
      <b/>
      <sz val="13"/>
      <color rgb="FFFFFFFF"/>
      <name val="Arial"/>
      <family val="2"/>
    </font>
    <font>
      <i/>
      <sz val="10"/>
      <color rgb="FF000000"/>
      <name val="Arial"/>
      <family val="2"/>
    </font>
    <font>
      <b/>
      <sz val="10"/>
      <name val="Arial"/>
      <family val="2"/>
    </font>
    <font>
      <i/>
      <sz val="11"/>
      <color theme="0" tint="-0.34998626667073579"/>
      <name val="Calibri"/>
      <family val="2"/>
      <scheme val="minor"/>
    </font>
    <font>
      <sz val="11"/>
      <color theme="0" tint="-0.34998626667073579"/>
      <name val="Calibri"/>
      <family val="2"/>
      <scheme val="minor"/>
    </font>
    <font>
      <b/>
      <sz val="11"/>
      <color rgb="FFFFFFFF"/>
      <name val="Calibri"/>
    </font>
    <font>
      <b/>
      <sz val="9"/>
      <color rgb="FFFFFFFF"/>
      <name val="Calibri"/>
    </font>
    <font>
      <b/>
      <sz val="10"/>
      <color rgb="FF1F4E79"/>
      <name val="Calibri"/>
    </font>
    <font>
      <b/>
      <sz val="11"/>
      <color theme="1"/>
      <name val="Calibri"/>
      <family val="2"/>
      <charset val="1"/>
    </font>
    <font>
      <b/>
      <sz val="9"/>
      <color rgb="FFFFFFFF"/>
      <name val="Arial"/>
      <family val="2"/>
      <charset val="1"/>
    </font>
    <font>
      <sz val="11"/>
      <color rgb="FF000000"/>
      <name val="Cambria"/>
      <family val="1"/>
    </font>
    <font>
      <i/>
      <sz val="11"/>
      <color theme="1"/>
      <name val="Calibri"/>
      <family val="2"/>
      <charset val="1"/>
    </font>
    <font>
      <b/>
      <sz val="10"/>
      <color rgb="FFFFFFFF"/>
      <name val="Cambria"/>
      <family val="1"/>
    </font>
    <font>
      <sz val="11"/>
      <name val="Cambria"/>
      <family val="1"/>
    </font>
    <font>
      <sz val="12"/>
      <color theme="1"/>
      <name val="Calibri"/>
      <family val="2"/>
      <scheme val="minor"/>
    </font>
    <font>
      <sz val="11"/>
      <color theme="1"/>
      <name val="Segoe UI"/>
      <family val="2"/>
    </font>
    <font>
      <b/>
      <sz val="10"/>
      <color rgb="FFFFFFFF"/>
      <name val="Calibri"/>
    </font>
    <font>
      <b/>
      <sz val="10"/>
      <name val="Calibri"/>
    </font>
    <font>
      <sz val="10"/>
      <color rgb="FF000080"/>
      <name val="Calibri"/>
    </font>
    <font>
      <b/>
      <sz val="11"/>
      <name val="Calibri"/>
    </font>
    <font>
      <sz val="11"/>
      <color rgb="FF006100"/>
      <name val="Calibri"/>
      <family val="2"/>
      <scheme val="minor"/>
    </font>
    <font>
      <sz val="11"/>
      <color rgb="FF9C0006"/>
      <name val="Calibri"/>
      <family val="2"/>
      <scheme val="minor"/>
    </font>
    <font>
      <sz val="11"/>
      <color rgb="FF9C5700"/>
      <name val="Calibri"/>
      <family val="2"/>
      <scheme val="minor"/>
    </font>
    <font>
      <b/>
      <sz val="14"/>
      <color rgb="FF1F4E79"/>
      <name val="Calibri"/>
      <family val="2"/>
      <scheme val="minor"/>
    </font>
    <font>
      <b/>
      <sz val="11"/>
      <color rgb="FF1F4E79"/>
      <name val="Calibri"/>
      <family val="2"/>
      <scheme val="minor"/>
    </font>
    <font>
      <i/>
      <sz val="11"/>
      <color rgb="FF2E75B6"/>
      <name val="Calibri"/>
      <family val="2"/>
      <scheme val="minor"/>
    </font>
    <font>
      <sz val="9"/>
      <color rgb="FF7F7F7F"/>
      <name val="Calibri"/>
      <family val="2"/>
      <scheme val="minor"/>
    </font>
    <font>
      <i/>
      <sz val="11"/>
      <color rgb="FF808080"/>
      <name val="Calibri"/>
      <family val="2"/>
      <scheme val="minor"/>
    </font>
    <font>
      <sz val="8"/>
      <color theme="1"/>
      <name val="Calibri"/>
      <family val="2"/>
      <scheme val="minor"/>
    </font>
    <font>
      <b/>
      <sz val="10"/>
      <color theme="1"/>
      <name val="Calibri"/>
      <family val="2"/>
      <scheme val="minor"/>
    </font>
    <font>
      <i/>
      <sz val="11"/>
      <color rgb="FF2874A6"/>
      <name val="Calibri"/>
      <family val="2"/>
      <scheme val="minor"/>
    </font>
    <font>
      <b/>
      <sz val="11"/>
      <color rgb="FF922B21"/>
      <name val="Calibri"/>
      <family val="2"/>
      <scheme val="minor"/>
    </font>
    <font>
      <i/>
      <sz val="11"/>
      <color rgb="FFC0392B"/>
      <name val="Calibri"/>
      <family val="2"/>
      <scheme val="minor"/>
    </font>
    <font>
      <b/>
      <sz val="11"/>
      <color rgb="FF0066CC"/>
      <name val="Calibri"/>
      <family val="2"/>
      <scheme val="minor"/>
    </font>
    <font>
      <sz val="11"/>
      <color rgb="FF0066CC"/>
      <name val="Calibri"/>
      <family val="2"/>
      <scheme val="minor"/>
    </font>
    <font>
      <b/>
      <sz val="14"/>
      <color rgb="FF0066CC"/>
      <name val="Calibri"/>
      <family val="2"/>
      <scheme val="minor"/>
    </font>
    <font>
      <b/>
      <sz val="11"/>
      <color rgb="FFFFFFFF"/>
      <name val="Calibri"/>
      <family val="2"/>
      <scheme val="minor"/>
    </font>
    <font>
      <b/>
      <sz val="14"/>
      <color rgb="FFFFFFFF"/>
      <name val="Calibri"/>
      <family val="2"/>
      <scheme val="minor"/>
    </font>
    <font>
      <b/>
      <sz val="12"/>
      <color theme="1"/>
      <name val="Calibri"/>
      <family val="2"/>
      <scheme val="minor"/>
    </font>
    <font>
      <b/>
      <sz val="12"/>
      <color rgb="FFFFFFFF"/>
      <name val="Calibri"/>
      <family val="2"/>
      <scheme val="minor"/>
    </font>
    <font>
      <b/>
      <sz val="16"/>
      <color rgb="FFFFFFFF"/>
      <name val="Calibri"/>
      <family val="2"/>
      <scheme val="minor"/>
    </font>
    <font>
      <b/>
      <sz val="13"/>
      <color rgb="FFFFFFFF"/>
      <name val="Calibri"/>
      <family val="2"/>
      <scheme val="minor"/>
    </font>
  </fonts>
  <fills count="64">
    <fill>
      <patternFill patternType="none"/>
    </fill>
    <fill>
      <patternFill patternType="gray125"/>
    </fill>
    <fill>
      <patternFill patternType="solid">
        <fgColor rgb="FF1F3864"/>
      </patternFill>
    </fill>
    <fill>
      <patternFill patternType="solid">
        <fgColor rgb="FFF2F2F2"/>
      </patternFill>
    </fill>
    <fill>
      <patternFill patternType="solid">
        <fgColor rgb="FF2E75B6"/>
      </patternFill>
    </fill>
    <fill>
      <patternFill patternType="solid">
        <fgColor rgb="FFFFFFFF"/>
      </patternFill>
    </fill>
    <fill>
      <patternFill patternType="solid">
        <fgColor rgb="FFE2EFDA"/>
      </patternFill>
    </fill>
    <fill>
      <patternFill patternType="solid">
        <fgColor rgb="FFEBF3FB"/>
      </patternFill>
    </fill>
    <fill>
      <patternFill patternType="solid">
        <fgColor rgb="FFD6E4F0"/>
      </patternFill>
    </fill>
    <fill>
      <patternFill patternType="solid">
        <fgColor rgb="FFFCE5CB"/>
      </patternFill>
    </fill>
    <fill>
      <patternFill patternType="solid">
        <fgColor rgb="FFFFF2CC"/>
      </patternFill>
    </fill>
    <fill>
      <patternFill patternType="solid">
        <fgColor rgb="FF2E75B6"/>
        <bgColor indexed="64"/>
      </patternFill>
    </fill>
    <fill>
      <patternFill patternType="solid">
        <fgColor rgb="FF1F3864"/>
        <bgColor indexed="64"/>
      </patternFill>
    </fill>
    <fill>
      <patternFill patternType="solid">
        <fgColor rgb="FFD6E4F0"/>
        <bgColor indexed="64"/>
      </patternFill>
    </fill>
    <fill>
      <patternFill patternType="solid">
        <fgColor rgb="FFEBF3FB"/>
        <bgColor indexed="64"/>
      </patternFill>
    </fill>
    <fill>
      <patternFill patternType="solid">
        <fgColor rgb="FFFCE5CB"/>
        <bgColor indexed="64"/>
      </patternFill>
    </fill>
    <fill>
      <patternFill patternType="solid">
        <fgColor rgb="FFE2EFDA"/>
        <bgColor indexed="64"/>
      </patternFill>
    </fill>
    <fill>
      <patternFill patternType="solid">
        <fgColor rgb="FFFFF2CC"/>
        <bgColor indexed="64"/>
      </patternFill>
    </fill>
    <fill>
      <patternFill patternType="solid">
        <fgColor rgb="FFF2F2F2"/>
        <bgColor indexed="64"/>
      </patternFill>
    </fill>
    <fill>
      <patternFill patternType="solid">
        <fgColor rgb="FFFFFFFF"/>
        <bgColor indexed="64"/>
      </patternFill>
    </fill>
    <fill>
      <patternFill patternType="solid">
        <fgColor rgb="FFEBEBEB"/>
        <bgColor indexed="64"/>
      </patternFill>
    </fill>
    <fill>
      <patternFill patternType="solid">
        <fgColor rgb="FFFF9933"/>
      </patternFill>
    </fill>
    <fill>
      <patternFill patternType="solid">
        <fgColor rgb="FF46A046"/>
      </patternFill>
    </fill>
    <fill>
      <patternFill patternType="solid">
        <fgColor rgb="FF800080"/>
      </patternFill>
    </fill>
    <fill>
      <patternFill patternType="solid">
        <fgColor rgb="FFF5F9FF"/>
      </patternFill>
    </fill>
    <fill>
      <patternFill patternType="solid">
        <fgColor theme="0"/>
        <bgColor indexed="64"/>
      </patternFill>
    </fill>
    <fill>
      <patternFill patternType="solid">
        <fgColor rgb="FF1F4E79"/>
      </patternFill>
    </fill>
    <fill>
      <patternFill patternType="solid">
        <fgColor rgb="FF2E5E8E"/>
      </patternFill>
    </fill>
    <fill>
      <patternFill patternType="solid">
        <fgColor rgb="FFD6E4F0"/>
      </patternFill>
    </fill>
    <fill>
      <patternFill patternType="solid">
        <fgColor rgb="FFF0F6FC"/>
      </patternFill>
    </fill>
    <fill>
      <patternFill patternType="solid">
        <fgColor rgb="FFFFF2CC"/>
        <bgColor rgb="FFFCE5CB"/>
      </patternFill>
    </fill>
    <fill>
      <patternFill patternType="solid">
        <fgColor rgb="FF2E75B6"/>
        <bgColor rgb="FF0066CC"/>
      </patternFill>
    </fill>
    <fill>
      <patternFill patternType="solid">
        <fgColor rgb="FFFFFFB4"/>
        <bgColor rgb="FFFFF2CC"/>
      </patternFill>
    </fill>
    <fill>
      <patternFill patternType="solid">
        <fgColor rgb="FF1F4E79"/>
        <bgColor rgb="FF1F3864"/>
      </patternFill>
    </fill>
    <fill>
      <patternFill patternType="solid">
        <fgColor rgb="FFD6E4F0"/>
        <bgColor rgb="FFEBEBEB"/>
      </patternFill>
    </fill>
    <fill>
      <patternFill patternType="solid">
        <fgColor rgb="FFEBF3FB"/>
        <bgColor rgb="FFF2F2F2"/>
      </patternFill>
    </fill>
    <fill>
      <patternFill patternType="solid">
        <fgColor theme="1"/>
        <bgColor indexed="64"/>
      </patternFill>
    </fill>
    <fill>
      <patternFill patternType="solid">
        <fgColor theme="1"/>
        <bgColor rgb="FFFFF2CC"/>
      </patternFill>
    </fill>
    <fill>
      <patternFill patternType="solid">
        <fgColor rgb="FF4472C4"/>
      </patternFill>
    </fill>
    <fill>
      <patternFill patternType="solid">
        <fgColor rgb="FFD9E1F2"/>
      </patternFill>
    </fill>
    <fill>
      <patternFill patternType="solid">
        <fgColor rgb="FFD6DCE4"/>
        <bgColor indexed="64"/>
      </patternFill>
    </fill>
    <fill>
      <patternFill patternType="solid">
        <fgColor rgb="FFBDD7EE"/>
        <bgColor indexed="64"/>
      </patternFill>
    </fill>
    <fill>
      <patternFill patternType="solid">
        <fgColor rgb="FFDDEBF7"/>
        <bgColor indexed="64"/>
      </patternFill>
    </fill>
    <fill>
      <patternFill patternType="solid">
        <fgColor rgb="FFFFFBEF"/>
        <bgColor indexed="64"/>
      </patternFill>
    </fill>
    <fill>
      <patternFill patternType="solid">
        <fgColor rgb="FFC6EFCE"/>
        <bgColor indexed="64"/>
      </patternFill>
    </fill>
    <fill>
      <patternFill patternType="solid">
        <fgColor rgb="FFD6EAF8"/>
        <bgColor indexed="64"/>
      </patternFill>
    </fill>
    <fill>
      <patternFill patternType="solid">
        <fgColor rgb="FFF5F5F5"/>
        <bgColor indexed="64"/>
      </patternFill>
    </fill>
    <fill>
      <patternFill patternType="solid">
        <fgColor rgb="FFEBF5FB"/>
        <bgColor indexed="64"/>
      </patternFill>
    </fill>
    <fill>
      <patternFill patternType="solid">
        <fgColor rgb="FFFCF3CF"/>
        <bgColor indexed="64"/>
      </patternFill>
    </fill>
    <fill>
      <patternFill patternType="solid">
        <fgColor rgb="FFFFFDE7"/>
        <bgColor indexed="64"/>
      </patternFill>
    </fill>
    <fill>
      <patternFill patternType="solid">
        <fgColor rgb="FFE8F6F3"/>
        <bgColor indexed="64"/>
      </patternFill>
    </fill>
    <fill>
      <patternFill patternType="solid">
        <fgColor rgb="FFFADBD8"/>
        <bgColor indexed="64"/>
      </patternFill>
    </fill>
    <fill>
      <patternFill patternType="solid">
        <fgColor rgb="FFF5B7B1"/>
        <bgColor indexed="64"/>
      </patternFill>
    </fill>
    <fill>
      <patternFill patternType="solid">
        <fgColor rgb="FFF9E79F"/>
        <bgColor indexed="64"/>
      </patternFill>
    </fill>
    <fill>
      <patternFill patternType="solid">
        <fgColor rgb="FFFEF9E7"/>
        <bgColor indexed="64"/>
      </patternFill>
    </fill>
    <fill>
      <patternFill patternType="solid">
        <fgColor rgb="FFFFC7CE"/>
        <bgColor indexed="64"/>
      </patternFill>
    </fill>
    <fill>
      <patternFill patternType="solid">
        <fgColor rgb="FFFFEB9C"/>
        <bgColor indexed="64"/>
      </patternFill>
    </fill>
    <fill>
      <patternFill patternType="solid">
        <fgColor rgb="FFFFFF99"/>
        <bgColor indexed="64"/>
      </patternFill>
    </fill>
    <fill>
      <patternFill patternType="solid">
        <fgColor rgb="FFD9EAD3"/>
        <bgColor indexed="64"/>
      </patternFill>
    </fill>
    <fill>
      <patternFill patternType="solid">
        <fgColor rgb="FF4472C4"/>
        <bgColor indexed="64"/>
      </patternFill>
    </fill>
    <fill>
      <patternFill patternType="solid">
        <fgColor rgb="FFFFC000"/>
        <bgColor indexed="64"/>
      </patternFill>
    </fill>
    <fill>
      <patternFill patternType="solid">
        <fgColor rgb="FFDEEBF7"/>
        <bgColor indexed="64"/>
      </patternFill>
    </fill>
    <fill>
      <patternFill patternType="solid">
        <fgColor rgb="FFFCE4D6"/>
        <bgColor indexed="64"/>
      </patternFill>
    </fill>
    <fill>
      <patternFill patternType="solid">
        <fgColor theme="4" tint="0.59999389629810485"/>
        <bgColor indexed="64"/>
      </patternFill>
    </fill>
  </fills>
  <borders count="15">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AAAAAA"/>
      </left>
      <right style="thin">
        <color rgb="FFAAAAAA"/>
      </right>
      <top style="thin">
        <color rgb="FFAAAAAA"/>
      </top>
      <bottom style="thin">
        <color rgb="FFAAAAAA"/>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5">
    <xf numFmtId="0" fontId="0" fillId="0" borderId="0"/>
    <xf numFmtId="43" fontId="17" fillId="0" borderId="0"/>
    <xf numFmtId="0" fontId="21" fillId="0" borderId="0"/>
    <xf numFmtId="9" fontId="17" fillId="0" borderId="0" applyFont="0" applyFill="0" applyBorder="0" applyAlignment="0" applyProtection="0"/>
    <xf numFmtId="0" fontId="56" fillId="0" borderId="0"/>
  </cellStyleXfs>
  <cellXfs count="343">
    <xf numFmtId="0" fontId="0" fillId="0" borderId="0" xfId="0"/>
    <xf numFmtId="0" fontId="6" fillId="4" borderId="0" xfId="0" applyFont="1" applyFill="1" applyAlignment="1">
      <alignment horizontal="center" vertical="center" wrapText="1"/>
    </xf>
    <xf numFmtId="0" fontId="8" fillId="6" borderId="1" xfId="0" applyFont="1" applyFill="1" applyBorder="1" applyAlignment="1">
      <alignment horizontal="center" wrapText="1"/>
    </xf>
    <xf numFmtId="0" fontId="14" fillId="6" borderId="1" xfId="0" applyFont="1" applyFill="1" applyBorder="1" applyAlignment="1">
      <alignment horizontal="left" wrapText="1"/>
    </xf>
    <xf numFmtId="0" fontId="14" fillId="6" borderId="1" xfId="0" applyFont="1" applyFill="1" applyBorder="1" applyAlignment="1">
      <alignment horizontal="center" wrapText="1"/>
    </xf>
    <xf numFmtId="0" fontId="8" fillId="10" borderId="1" xfId="0" applyFont="1" applyFill="1" applyBorder="1" applyAlignment="1">
      <alignment horizontal="center" wrapText="1"/>
    </xf>
    <xf numFmtId="0" fontId="14" fillId="10" borderId="1" xfId="0" applyFont="1" applyFill="1" applyBorder="1" applyAlignment="1">
      <alignment horizontal="left" wrapText="1"/>
    </xf>
    <xf numFmtId="0" fontId="14" fillId="10" borderId="1" xfId="0" applyFont="1" applyFill="1" applyBorder="1" applyAlignment="1">
      <alignment horizontal="center" wrapText="1"/>
    </xf>
    <xf numFmtId="0" fontId="1" fillId="2" borderId="0" xfId="0" applyFont="1" applyFill="1" applyAlignment="1">
      <alignment horizontal="center" vertical="center" wrapText="1"/>
    </xf>
    <xf numFmtId="0" fontId="2" fillId="3" borderId="0" xfId="0" applyFont="1" applyFill="1"/>
    <xf numFmtId="0" fontId="2" fillId="0" borderId="0" xfId="0" applyFont="1"/>
    <xf numFmtId="0" fontId="7" fillId="5" borderId="0" xfId="0" applyFont="1" applyFill="1"/>
    <xf numFmtId="0" fontId="9" fillId="5" borderId="0" xfId="0" applyFont="1" applyFill="1"/>
    <xf numFmtId="0" fontId="10" fillId="5" borderId="0" xfId="0" applyFont="1" applyFill="1" applyAlignment="1">
      <alignment horizontal="center"/>
    </xf>
    <xf numFmtId="0" fontId="11" fillId="6" borderId="0" xfId="0" applyFont="1" applyFill="1"/>
    <xf numFmtId="0" fontId="12" fillId="6" borderId="0" xfId="0" applyFont="1" applyFill="1" applyAlignment="1">
      <alignment horizontal="center"/>
    </xf>
    <xf numFmtId="0" fontId="6" fillId="2" borderId="0" xfId="0" applyFont="1" applyFill="1" applyAlignment="1">
      <alignment horizontal="center" vertical="center" wrapText="1"/>
    </xf>
    <xf numFmtId="0" fontId="13" fillId="7" borderId="0" xfId="0" applyFont="1" applyFill="1"/>
    <xf numFmtId="0" fontId="7" fillId="7" borderId="0" xfId="0" applyFont="1" applyFill="1"/>
    <xf numFmtId="0" fontId="13" fillId="5" borderId="0" xfId="0" applyFont="1" applyFill="1"/>
    <xf numFmtId="0" fontId="13" fillId="8" borderId="1" xfId="0" applyFont="1" applyFill="1" applyBorder="1" applyAlignment="1">
      <alignment horizontal="center" wrapText="1"/>
    </xf>
    <xf numFmtId="0" fontId="14" fillId="8" borderId="1" xfId="0" applyFont="1" applyFill="1" applyBorder="1" applyAlignment="1">
      <alignment horizontal="left" wrapText="1"/>
    </xf>
    <xf numFmtId="0" fontId="14" fillId="8" borderId="1" xfId="0" applyFont="1" applyFill="1" applyBorder="1" applyAlignment="1">
      <alignment horizontal="center" wrapText="1"/>
    </xf>
    <xf numFmtId="0" fontId="13" fillId="6" borderId="1" xfId="0" applyFont="1" applyFill="1" applyBorder="1" applyAlignment="1">
      <alignment horizontal="center" wrapText="1"/>
    </xf>
    <xf numFmtId="0" fontId="13" fillId="9" borderId="1" xfId="0" applyFont="1" applyFill="1" applyBorder="1" applyAlignment="1">
      <alignment horizontal="center" wrapText="1"/>
    </xf>
    <xf numFmtId="0" fontId="14" fillId="9" borderId="1" xfId="0" applyFont="1" applyFill="1" applyBorder="1" applyAlignment="1">
      <alignment horizontal="left" wrapText="1"/>
    </xf>
    <xf numFmtId="0" fontId="14" fillId="9" borderId="1" xfId="0" applyFont="1" applyFill="1" applyBorder="1" applyAlignment="1">
      <alignment horizontal="center" wrapText="1"/>
    </xf>
    <xf numFmtId="0" fontId="13" fillId="7" borderId="1" xfId="0" applyFont="1" applyFill="1" applyBorder="1" applyAlignment="1">
      <alignment horizontal="center" wrapText="1"/>
    </xf>
    <xf numFmtId="0" fontId="14" fillId="7" borderId="1" xfId="0" applyFont="1" applyFill="1" applyBorder="1" applyAlignment="1">
      <alignment horizontal="left" wrapText="1"/>
    </xf>
    <xf numFmtId="0" fontId="14" fillId="7" borderId="1" xfId="0" applyFont="1" applyFill="1" applyBorder="1" applyAlignment="1">
      <alignment horizontal="center" wrapText="1"/>
    </xf>
    <xf numFmtId="0" fontId="13" fillId="10" borderId="1" xfId="0" applyFont="1" applyFill="1" applyBorder="1" applyAlignment="1">
      <alignment horizontal="center" wrapText="1"/>
    </xf>
    <xf numFmtId="0" fontId="11" fillId="8" borderId="1" xfId="0" applyFont="1" applyFill="1" applyBorder="1" applyAlignment="1">
      <alignment horizontal="center" wrapText="1"/>
    </xf>
    <xf numFmtId="0" fontId="11" fillId="8" borderId="1" xfId="0" applyFont="1" applyFill="1" applyBorder="1" applyAlignment="1">
      <alignment horizontal="left" wrapText="1"/>
    </xf>
    <xf numFmtId="0" fontId="7" fillId="8" borderId="1" xfId="0" applyFont="1" applyFill="1" applyBorder="1" applyAlignment="1">
      <alignment horizontal="left" wrapText="1"/>
    </xf>
    <xf numFmtId="0" fontId="11" fillId="7" borderId="1" xfId="0" applyFont="1" applyFill="1" applyBorder="1" applyAlignment="1">
      <alignment horizontal="center" wrapText="1"/>
    </xf>
    <xf numFmtId="0" fontId="11" fillId="7" borderId="1" xfId="0" applyFont="1" applyFill="1" applyBorder="1" applyAlignment="1">
      <alignment horizontal="left" wrapText="1"/>
    </xf>
    <xf numFmtId="0" fontId="7" fillId="7" borderId="1" xfId="0" applyFont="1" applyFill="1" applyBorder="1" applyAlignment="1">
      <alignment horizontal="left" wrapText="1"/>
    </xf>
    <xf numFmtId="0" fontId="11" fillId="6" borderId="1" xfId="0" applyFont="1" applyFill="1" applyBorder="1" applyAlignment="1">
      <alignment horizontal="center" wrapText="1"/>
    </xf>
    <xf numFmtId="0" fontId="11" fillId="6" borderId="1" xfId="0" applyFont="1" applyFill="1" applyBorder="1" applyAlignment="1">
      <alignment horizontal="left" wrapText="1"/>
    </xf>
    <xf numFmtId="0" fontId="7" fillId="6" borderId="1" xfId="0" applyFont="1" applyFill="1" applyBorder="1" applyAlignment="1">
      <alignment horizontal="left" wrapText="1"/>
    </xf>
    <xf numFmtId="14" fontId="1" fillId="2" borderId="0" xfId="0" applyNumberFormat="1" applyFont="1" applyFill="1" applyAlignment="1">
      <alignment horizontal="center" vertical="center" wrapText="1"/>
    </xf>
    <xf numFmtId="14" fontId="2" fillId="3" borderId="0" xfId="0" applyNumberFormat="1" applyFont="1" applyFill="1"/>
    <xf numFmtId="14" fontId="2" fillId="0" borderId="0" xfId="0" applyNumberFormat="1" applyFont="1"/>
    <xf numFmtId="14" fontId="0" fillId="0" borderId="0" xfId="0" applyNumberFormat="1"/>
    <xf numFmtId="0" fontId="19" fillId="0" borderId="0" xfId="0" applyFont="1" applyAlignment="1">
      <alignment horizontal="left" vertical="center"/>
    </xf>
    <xf numFmtId="0" fontId="19" fillId="0" borderId="0" xfId="0" applyFont="1" applyAlignment="1">
      <alignment vertical="center"/>
    </xf>
    <xf numFmtId="14" fontId="19" fillId="0" borderId="0" xfId="0" applyNumberFormat="1" applyFont="1" applyAlignment="1">
      <alignment horizontal="left" vertical="center"/>
    </xf>
    <xf numFmtId="14" fontId="19" fillId="0" borderId="0" xfId="0" applyNumberFormat="1" applyFont="1" applyAlignment="1">
      <alignment vertical="center"/>
    </xf>
    <xf numFmtId="14" fontId="21" fillId="6" borderId="1" xfId="2" applyNumberFormat="1" applyFill="1" applyBorder="1" applyAlignment="1">
      <alignment horizontal="center" wrapText="1"/>
    </xf>
    <xf numFmtId="0" fontId="21" fillId="6" borderId="1" xfId="2" applyFill="1" applyBorder="1" applyAlignment="1">
      <alignment horizontal="center" wrapText="1"/>
    </xf>
    <xf numFmtId="0" fontId="22" fillId="2" borderId="0" xfId="0" applyFont="1" applyFill="1" applyAlignment="1">
      <alignment horizontal="center" vertical="center" wrapText="1"/>
    </xf>
    <xf numFmtId="0" fontId="22" fillId="11" borderId="0" xfId="0" applyFont="1" applyFill="1" applyAlignment="1">
      <alignment horizontal="center" vertical="center" wrapText="1"/>
    </xf>
    <xf numFmtId="0" fontId="24" fillId="11" borderId="0" xfId="0" applyFont="1" applyFill="1" applyAlignment="1">
      <alignment horizontal="center" vertical="center" wrapText="1"/>
    </xf>
    <xf numFmtId="0" fontId="0" fillId="13" borderId="0" xfId="0" applyFill="1"/>
    <xf numFmtId="0" fontId="18" fillId="13" borderId="0" xfId="0" applyFont="1" applyFill="1"/>
    <xf numFmtId="0" fontId="25" fillId="13" borderId="0" xfId="0" applyFont="1" applyFill="1"/>
    <xf numFmtId="0" fontId="0" fillId="14" borderId="0" xfId="0" applyFill="1"/>
    <xf numFmtId="0" fontId="25" fillId="14" borderId="0" xfId="0" applyFont="1" applyFill="1"/>
    <xf numFmtId="0" fontId="0" fillId="15" borderId="0" xfId="0" applyFill="1"/>
    <xf numFmtId="0" fontId="18" fillId="15" borderId="0" xfId="0" applyFont="1" applyFill="1"/>
    <xf numFmtId="0" fontId="25" fillId="15" borderId="0" xfId="0" applyFont="1" applyFill="1"/>
    <xf numFmtId="0" fontId="0" fillId="16" borderId="0" xfId="0" applyFill="1"/>
    <xf numFmtId="0" fontId="18" fillId="16" borderId="0" xfId="0" applyFont="1" applyFill="1"/>
    <xf numFmtId="0" fontId="25" fillId="16" borderId="0" xfId="0" applyFont="1" applyFill="1"/>
    <xf numFmtId="0" fontId="0" fillId="17" borderId="0" xfId="0" applyFill="1"/>
    <xf numFmtId="0" fontId="18" fillId="17" borderId="0" xfId="0" applyFont="1" applyFill="1"/>
    <xf numFmtId="0" fontId="25" fillId="17" borderId="0" xfId="0" applyFont="1" applyFill="1"/>
    <xf numFmtId="0" fontId="0" fillId="18" borderId="0" xfId="0" applyFill="1"/>
    <xf numFmtId="0" fontId="25" fillId="18" borderId="0" xfId="0" applyFont="1" applyFill="1"/>
    <xf numFmtId="0" fontId="0" fillId="19" borderId="0" xfId="0" applyFill="1"/>
    <xf numFmtId="0" fontId="25" fillId="19" borderId="0" xfId="0" applyFont="1" applyFill="1"/>
    <xf numFmtId="0" fontId="18" fillId="0" borderId="0" xfId="0" applyFont="1"/>
    <xf numFmtId="0" fontId="25" fillId="0" borderId="0" xfId="0" applyFont="1"/>
    <xf numFmtId="0" fontId="0" fillId="13" borderId="0" xfId="0" applyFill="1" applyAlignment="1">
      <alignment horizontal="center"/>
    </xf>
    <xf numFmtId="0" fontId="0" fillId="19" borderId="0" xfId="0" applyFill="1" applyAlignment="1">
      <alignment horizontal="center"/>
    </xf>
    <xf numFmtId="0" fontId="28" fillId="13" borderId="0" xfId="0" applyFont="1" applyFill="1"/>
    <xf numFmtId="0" fontId="28" fillId="14" borderId="0" xfId="0" applyFont="1" applyFill="1"/>
    <xf numFmtId="0" fontId="28" fillId="16" borderId="0" xfId="0" applyFont="1" applyFill="1"/>
    <xf numFmtId="0" fontId="28" fillId="19" borderId="0" xfId="0" applyFont="1" applyFill="1"/>
    <xf numFmtId="0" fontId="26" fillId="13" borderId="0" xfId="0" applyFont="1" applyFill="1"/>
    <xf numFmtId="0" fontId="26" fillId="19" borderId="0" xfId="0" applyFont="1" applyFill="1"/>
    <xf numFmtId="164" fontId="0" fillId="13" borderId="0" xfId="0" applyNumberFormat="1" applyFill="1"/>
    <xf numFmtId="0" fontId="30" fillId="13" borderId="0" xfId="0" applyFont="1" applyFill="1"/>
    <xf numFmtId="164" fontId="0" fillId="14" borderId="0" xfId="0" applyNumberFormat="1" applyFill="1"/>
    <xf numFmtId="0" fontId="30" fillId="14" borderId="0" xfId="0" applyFont="1" applyFill="1"/>
    <xf numFmtId="164" fontId="0" fillId="16" borderId="0" xfId="0" applyNumberFormat="1" applyFill="1"/>
    <xf numFmtId="0" fontId="30" fillId="16" borderId="0" xfId="0" applyFont="1" applyFill="1"/>
    <xf numFmtId="164" fontId="0" fillId="15" borderId="0" xfId="0" applyNumberFormat="1" applyFill="1"/>
    <xf numFmtId="0" fontId="30" fillId="15" borderId="0" xfId="0" applyFont="1" applyFill="1"/>
    <xf numFmtId="164" fontId="0" fillId="17" borderId="0" xfId="0" applyNumberFormat="1" applyFill="1"/>
    <xf numFmtId="0" fontId="30" fillId="17" borderId="0" xfId="0" applyFont="1" applyFill="1"/>
    <xf numFmtId="164" fontId="0" fillId="18" borderId="0" xfId="0" applyNumberFormat="1" applyFill="1"/>
    <xf numFmtId="0" fontId="30" fillId="18" borderId="0" xfId="0" applyFont="1" applyFill="1"/>
    <xf numFmtId="0" fontId="0" fillId="13" borderId="0" xfId="0" applyFill="1" applyAlignment="1">
      <alignment wrapText="1"/>
    </xf>
    <xf numFmtId="0" fontId="0" fillId="15" borderId="0" xfId="0" applyFill="1" applyAlignment="1">
      <alignment wrapText="1"/>
    </xf>
    <xf numFmtId="0" fontId="0" fillId="16" borderId="0" xfId="0" applyFill="1" applyAlignment="1">
      <alignment wrapText="1"/>
    </xf>
    <xf numFmtId="0" fontId="0" fillId="17" borderId="0" xfId="0" applyFill="1" applyAlignment="1">
      <alignment wrapText="1"/>
    </xf>
    <xf numFmtId="43" fontId="8" fillId="5" borderId="0" xfId="1" applyFont="1" applyFill="1" applyAlignment="1">
      <alignment horizontal="center"/>
    </xf>
    <xf numFmtId="0" fontId="31" fillId="5" borderId="0" xfId="0" applyFont="1" applyFill="1"/>
    <xf numFmtId="0" fontId="33" fillId="7" borderId="0" xfId="0" quotePrefix="1" applyFont="1" applyFill="1"/>
    <xf numFmtId="0" fontId="33" fillId="5" borderId="0" xfId="0" quotePrefix="1" applyFont="1" applyFill="1"/>
    <xf numFmtId="0" fontId="33" fillId="8" borderId="1" xfId="0" quotePrefix="1" applyFont="1" applyFill="1" applyBorder="1" applyAlignment="1">
      <alignment horizontal="left" wrapText="1"/>
    </xf>
    <xf numFmtId="0" fontId="33" fillId="6" borderId="1" xfId="0" quotePrefix="1" applyFont="1" applyFill="1" applyBorder="1" applyAlignment="1">
      <alignment horizontal="left" wrapText="1"/>
    </xf>
    <xf numFmtId="0" fontId="33" fillId="9" borderId="1" xfId="0" quotePrefix="1" applyFont="1" applyFill="1" applyBorder="1" applyAlignment="1">
      <alignment horizontal="left" wrapText="1"/>
    </xf>
    <xf numFmtId="0" fontId="33" fillId="7" borderId="1" xfId="0" quotePrefix="1" applyFont="1" applyFill="1" applyBorder="1" applyAlignment="1">
      <alignment horizontal="left" wrapText="1"/>
    </xf>
    <xf numFmtId="0" fontId="33" fillId="10" borderId="1" xfId="0" quotePrefix="1" applyFont="1" applyFill="1" applyBorder="1" applyAlignment="1">
      <alignment horizontal="left" wrapText="1"/>
    </xf>
    <xf numFmtId="0" fontId="0" fillId="13" borderId="0" xfId="0" quotePrefix="1" applyFill="1"/>
    <xf numFmtId="16" fontId="0" fillId="13" borderId="0" xfId="0" quotePrefix="1" applyNumberFormat="1" applyFill="1"/>
    <xf numFmtId="16" fontId="0" fillId="14" borderId="0" xfId="0" quotePrefix="1" applyNumberFormat="1" applyFill="1"/>
    <xf numFmtId="16" fontId="0" fillId="15" borderId="0" xfId="0" quotePrefix="1" applyNumberFormat="1" applyFill="1"/>
    <xf numFmtId="16" fontId="0" fillId="16" borderId="0" xfId="0" quotePrefix="1" applyNumberFormat="1" applyFill="1"/>
    <xf numFmtId="16" fontId="0" fillId="17" borderId="0" xfId="0" quotePrefix="1" applyNumberFormat="1" applyFill="1"/>
    <xf numFmtId="16" fontId="0" fillId="18" borderId="0" xfId="0" quotePrefix="1" applyNumberFormat="1" applyFill="1"/>
    <xf numFmtId="16" fontId="0" fillId="19" borderId="0" xfId="0" quotePrefix="1" applyNumberFormat="1" applyFill="1"/>
    <xf numFmtId="0" fontId="24" fillId="2"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36" fillId="0" borderId="1" xfId="0" applyFont="1" applyBorder="1" applyAlignment="1">
      <alignment horizontal="center" vertical="center" wrapText="1"/>
    </xf>
    <xf numFmtId="165" fontId="37" fillId="0" borderId="1" xfId="0" applyNumberFormat="1" applyFont="1" applyBorder="1" applyAlignment="1">
      <alignment horizontal="center" vertical="center" wrapText="1"/>
    </xf>
    <xf numFmtId="0" fontId="38" fillId="0" borderId="1" xfId="0" applyFont="1" applyBorder="1" applyAlignment="1">
      <alignment horizontal="center" vertical="center" wrapText="1"/>
    </xf>
    <xf numFmtId="0" fontId="0" fillId="0" borderId="1" xfId="0" applyBorder="1"/>
    <xf numFmtId="0" fontId="22" fillId="4" borderId="1" xfId="0" applyFont="1" applyFill="1" applyBorder="1" applyAlignment="1">
      <alignment horizontal="center" vertical="center" wrapText="1"/>
    </xf>
    <xf numFmtId="0" fontId="22" fillId="21" borderId="1" xfId="0" applyFont="1" applyFill="1" applyBorder="1" applyAlignment="1">
      <alignment horizontal="center" vertical="center" wrapText="1"/>
    </xf>
    <xf numFmtId="0" fontId="22" fillId="22" borderId="1" xfId="0" applyFont="1" applyFill="1" applyBorder="1" applyAlignment="1">
      <alignment horizontal="center" vertical="center" wrapText="1"/>
    </xf>
    <xf numFmtId="0" fontId="22" fillId="23" borderId="1" xfId="0" applyFont="1" applyFill="1" applyBorder="1" applyAlignment="1">
      <alignment horizontal="center" vertical="center" wrapText="1"/>
    </xf>
    <xf numFmtId="0" fontId="24" fillId="4" borderId="1" xfId="0" applyFont="1" applyFill="1" applyBorder="1" applyAlignment="1">
      <alignment horizontal="center" vertical="center" wrapText="1"/>
    </xf>
    <xf numFmtId="0" fontId="24" fillId="21" borderId="1" xfId="0" applyFont="1" applyFill="1" applyBorder="1" applyAlignment="1">
      <alignment horizontal="center" vertical="center" wrapText="1"/>
    </xf>
    <xf numFmtId="0" fontId="24" fillId="22" borderId="1" xfId="0" applyFont="1" applyFill="1" applyBorder="1" applyAlignment="1">
      <alignment horizontal="center" vertical="center" wrapText="1"/>
    </xf>
    <xf numFmtId="0" fontId="24" fillId="23" borderId="1" xfId="0" applyFont="1" applyFill="1" applyBorder="1" applyAlignment="1">
      <alignment horizontal="center" vertical="center" wrapText="1"/>
    </xf>
    <xf numFmtId="0" fontId="39" fillId="24" borderId="1" xfId="0" applyFont="1" applyFill="1" applyBorder="1" applyAlignment="1">
      <alignment horizontal="center" vertical="center" wrapText="1"/>
    </xf>
    <xf numFmtId="1" fontId="39" fillId="24" borderId="1" xfId="0" applyNumberFormat="1" applyFont="1" applyFill="1" applyBorder="1" applyAlignment="1">
      <alignment horizontal="center" vertical="center" wrapText="1"/>
    </xf>
    <xf numFmtId="165" fontId="39" fillId="24" borderId="1" xfId="0" applyNumberFormat="1" applyFont="1" applyFill="1" applyBorder="1" applyAlignment="1">
      <alignment horizontal="center" vertical="center" wrapText="1"/>
    </xf>
    <xf numFmtId="0" fontId="40" fillId="24" borderId="1" xfId="0" applyFont="1" applyFill="1" applyBorder="1" applyAlignment="1">
      <alignment horizontal="center" vertical="center" wrapText="1"/>
    </xf>
    <xf numFmtId="0" fontId="39" fillId="0" borderId="1" xfId="0" applyFont="1" applyBorder="1" applyAlignment="1">
      <alignment horizontal="center" vertical="center" wrapText="1"/>
    </xf>
    <xf numFmtId="1" fontId="39" fillId="0" borderId="1" xfId="0" applyNumberFormat="1" applyFont="1" applyBorder="1" applyAlignment="1">
      <alignment horizontal="center" vertical="center" wrapText="1"/>
    </xf>
    <xf numFmtId="165" fontId="39" fillId="0" borderId="1" xfId="0" applyNumberFormat="1" applyFont="1" applyBorder="1" applyAlignment="1">
      <alignment horizontal="center" vertical="center" wrapText="1"/>
    </xf>
    <xf numFmtId="0" fontId="40" fillId="0" borderId="1" xfId="0" applyFont="1" applyBorder="1" applyAlignment="1">
      <alignment horizontal="center" vertical="center" wrapText="1"/>
    </xf>
    <xf numFmtId="0" fontId="38" fillId="0" borderId="1" xfId="0" applyFont="1" applyBorder="1" applyAlignment="1">
      <alignment horizontal="left" vertical="center" wrapText="1"/>
    </xf>
    <xf numFmtId="166" fontId="41" fillId="0" borderId="1" xfId="0" applyNumberFormat="1" applyFont="1" applyBorder="1" applyAlignment="1">
      <alignment horizontal="center" vertical="center" wrapText="1"/>
    </xf>
    <xf numFmtId="0" fontId="23" fillId="2" borderId="1" xfId="0" applyFont="1" applyFill="1" applyBorder="1" applyAlignment="1">
      <alignment horizontal="left" vertical="center" wrapText="1"/>
    </xf>
    <xf numFmtId="165" fontId="42" fillId="2" borderId="1" xfId="0" applyNumberFormat="1" applyFont="1" applyFill="1" applyBorder="1" applyAlignment="1">
      <alignment horizontal="center" vertical="center" wrapText="1"/>
    </xf>
    <xf numFmtId="0" fontId="43" fillId="0" borderId="1" xfId="0" applyFont="1" applyBorder="1" applyAlignment="1">
      <alignment horizontal="left" vertical="center" wrapText="1"/>
    </xf>
    <xf numFmtId="166" fontId="44" fillId="0" borderId="1" xfId="0" applyNumberFormat="1" applyFont="1" applyBorder="1" applyAlignment="1">
      <alignment horizontal="center" vertical="center" wrapText="1"/>
    </xf>
    <xf numFmtId="0" fontId="23" fillId="4" borderId="1" xfId="0" applyFont="1" applyFill="1" applyBorder="1" applyAlignment="1">
      <alignment horizontal="left" vertical="center" wrapText="1"/>
    </xf>
    <xf numFmtId="165" fontId="42" fillId="4" borderId="1" xfId="0" applyNumberFormat="1" applyFont="1" applyFill="1" applyBorder="1" applyAlignment="1">
      <alignment horizontal="center" vertical="center" wrapText="1"/>
    </xf>
    <xf numFmtId="0" fontId="23" fillId="21" borderId="1" xfId="0" applyFont="1" applyFill="1" applyBorder="1" applyAlignment="1">
      <alignment horizontal="left" vertical="center" wrapText="1"/>
    </xf>
    <xf numFmtId="165" fontId="42" fillId="21" borderId="1" xfId="0" applyNumberFormat="1" applyFont="1" applyFill="1" applyBorder="1" applyAlignment="1">
      <alignment horizontal="center" vertical="center" wrapText="1"/>
    </xf>
    <xf numFmtId="0" fontId="23" fillId="22" borderId="1" xfId="0" applyFont="1" applyFill="1" applyBorder="1" applyAlignment="1">
      <alignment horizontal="left" vertical="center" wrapText="1"/>
    </xf>
    <xf numFmtId="165" fontId="42" fillId="22" borderId="1" xfId="0" applyNumberFormat="1" applyFont="1" applyFill="1" applyBorder="1" applyAlignment="1">
      <alignment horizontal="center" vertical="center" wrapText="1"/>
    </xf>
    <xf numFmtId="0" fontId="23" fillId="23" borderId="1" xfId="0" applyFont="1" applyFill="1" applyBorder="1" applyAlignment="1">
      <alignment horizontal="left" vertical="center" wrapText="1"/>
    </xf>
    <xf numFmtId="165" fontId="42" fillId="23" borderId="1" xfId="0" applyNumberFormat="1" applyFont="1" applyFill="1" applyBorder="1" applyAlignment="1">
      <alignment horizontal="center" vertical="center" wrapText="1"/>
    </xf>
    <xf numFmtId="0" fontId="45" fillId="13" borderId="0" xfId="0" applyFont="1" applyFill="1"/>
    <xf numFmtId="0" fontId="45" fillId="19" borderId="0" xfId="0" applyFont="1" applyFill="1"/>
    <xf numFmtId="0" fontId="46" fillId="13" borderId="0" xfId="0" applyFont="1" applyFill="1"/>
    <xf numFmtId="0" fontId="24" fillId="25" borderId="0" xfId="0" applyFont="1" applyFill="1" applyAlignment="1">
      <alignment horizontal="center" vertical="center" wrapText="1"/>
    </xf>
    <xf numFmtId="0" fontId="0" fillId="25" borderId="0" xfId="0" applyFill="1"/>
    <xf numFmtId="0" fontId="48" fillId="27" borderId="4" xfId="0" applyFont="1" applyFill="1" applyBorder="1" applyAlignment="1">
      <alignment horizontal="center"/>
    </xf>
    <xf numFmtId="0" fontId="0" fillId="29" borderId="4" xfId="0" applyFill="1" applyBorder="1"/>
    <xf numFmtId="0" fontId="0" fillId="29" borderId="4" xfId="0" applyFill="1" applyBorder="1" applyAlignment="1">
      <alignment horizontal="center"/>
    </xf>
    <xf numFmtId="164" fontId="0" fillId="29" borderId="4" xfId="0" applyNumberFormat="1" applyFill="1" applyBorder="1" applyAlignment="1">
      <alignment horizontal="center"/>
    </xf>
    <xf numFmtId="0" fontId="51" fillId="31" borderId="0" xfId="0" applyFont="1" applyFill="1" applyAlignment="1">
      <alignment horizontal="center" vertical="center" wrapText="1"/>
    </xf>
    <xf numFmtId="0" fontId="54" fillId="33" borderId="0" xfId="0" applyFont="1" applyFill="1"/>
    <xf numFmtId="0" fontId="55" fillId="0" borderId="0" xfId="0" applyFont="1"/>
    <xf numFmtId="0" fontId="54" fillId="33" borderId="4" xfId="0" applyFont="1" applyFill="1" applyBorder="1" applyAlignment="1">
      <alignment horizontal="center" wrapText="1"/>
    </xf>
    <xf numFmtId="0" fontId="55" fillId="34" borderId="4" xfId="0" applyFont="1" applyFill="1" applyBorder="1" applyAlignment="1">
      <alignment horizontal="left"/>
    </xf>
    <xf numFmtId="0" fontId="55" fillId="34" borderId="4" xfId="0" applyFont="1" applyFill="1" applyBorder="1" applyAlignment="1">
      <alignment horizontal="center"/>
    </xf>
    <xf numFmtId="0" fontId="55" fillId="35" borderId="4" xfId="0" applyFont="1" applyFill="1" applyBorder="1" applyAlignment="1">
      <alignment horizontal="center"/>
    </xf>
    <xf numFmtId="166" fontId="55" fillId="35" borderId="4" xfId="0" applyNumberFormat="1" applyFont="1" applyFill="1" applyBorder="1" applyAlignment="1">
      <alignment horizontal="center"/>
    </xf>
    <xf numFmtId="0" fontId="54" fillId="0" borderId="4" xfId="0" applyFont="1" applyBorder="1" applyAlignment="1">
      <alignment horizontal="center" wrapText="1"/>
    </xf>
    <xf numFmtId="0" fontId="55" fillId="0" borderId="4" xfId="0" applyFont="1" applyBorder="1" applyAlignment="1">
      <alignment horizontal="center"/>
    </xf>
    <xf numFmtId="2" fontId="0" fillId="13" borderId="0" xfId="0" applyNumberFormat="1" applyFill="1"/>
    <xf numFmtId="2" fontId="0" fillId="19" borderId="0" xfId="0" applyNumberFormat="1" applyFill="1"/>
    <xf numFmtId="0" fontId="57" fillId="0" borderId="0" xfId="0" applyFont="1" applyAlignment="1">
      <alignment horizontal="right" vertical="center" wrapText="1" indent="1"/>
    </xf>
    <xf numFmtId="0" fontId="0" fillId="36" borderId="0" xfId="0" applyFill="1"/>
    <xf numFmtId="0" fontId="58" fillId="38" borderId="5" xfId="4" applyFont="1" applyFill="1" applyBorder="1" applyAlignment="1">
      <alignment horizontal="center" vertical="center" wrapText="1"/>
    </xf>
    <xf numFmtId="9" fontId="58" fillId="38" borderId="5" xfId="3" applyFont="1" applyFill="1" applyBorder="1" applyAlignment="1">
      <alignment horizontal="center" vertical="center" wrapText="1"/>
    </xf>
    <xf numFmtId="0" fontId="59" fillId="7" borderId="5" xfId="4" applyFont="1" applyFill="1" applyBorder="1" applyAlignment="1">
      <alignment horizontal="left" vertical="center" wrapText="1"/>
    </xf>
    <xf numFmtId="1" fontId="60" fillId="7" borderId="5" xfId="4" applyNumberFormat="1" applyFont="1" applyFill="1" applyBorder="1" applyAlignment="1">
      <alignment horizontal="center" vertical="center"/>
    </xf>
    <xf numFmtId="164" fontId="60" fillId="7" borderId="5" xfId="3" applyNumberFormat="1" applyFont="1" applyFill="1" applyBorder="1" applyAlignment="1">
      <alignment horizontal="center" vertical="center"/>
    </xf>
    <xf numFmtId="0" fontId="59" fillId="5" borderId="5" xfId="4" applyFont="1" applyFill="1" applyBorder="1" applyAlignment="1">
      <alignment horizontal="left" vertical="center" wrapText="1"/>
    </xf>
    <xf numFmtId="1" fontId="60" fillId="5" borderId="5" xfId="4" applyNumberFormat="1" applyFont="1" applyFill="1" applyBorder="1" applyAlignment="1">
      <alignment horizontal="center" vertical="center"/>
    </xf>
    <xf numFmtId="164" fontId="60" fillId="5" borderId="5" xfId="3" applyNumberFormat="1" applyFont="1" applyFill="1" applyBorder="1" applyAlignment="1">
      <alignment horizontal="center" vertical="center"/>
    </xf>
    <xf numFmtId="0" fontId="59" fillId="7" borderId="5" xfId="0" applyFont="1" applyFill="1" applyBorder="1" applyAlignment="1">
      <alignment horizontal="left" vertical="center" wrapText="1"/>
    </xf>
    <xf numFmtId="1" fontId="60" fillId="7" borderId="5" xfId="0" applyNumberFormat="1" applyFont="1" applyFill="1" applyBorder="1" applyAlignment="1">
      <alignment horizontal="center" vertical="center"/>
    </xf>
    <xf numFmtId="0" fontId="59" fillId="39" borderId="5" xfId="0" applyFont="1" applyFill="1" applyBorder="1" applyAlignment="1">
      <alignment horizontal="left" vertical="center" indent="1"/>
    </xf>
    <xf numFmtId="1" fontId="59" fillId="39" borderId="5" xfId="0" applyNumberFormat="1" applyFont="1" applyFill="1" applyBorder="1" applyAlignment="1">
      <alignment horizontal="center" vertical="center"/>
    </xf>
    <xf numFmtId="9" fontId="59" fillId="39" borderId="5" xfId="0" applyNumberFormat="1" applyFont="1" applyFill="1" applyBorder="1" applyAlignment="1">
      <alignment horizontal="center" vertical="center"/>
    </xf>
    <xf numFmtId="0" fontId="58" fillId="38" borderId="5" xfId="0" applyFont="1" applyFill="1" applyBorder="1" applyAlignment="1">
      <alignment horizontal="center" vertical="center" wrapText="1"/>
    </xf>
    <xf numFmtId="0" fontId="61" fillId="7" borderId="5" xfId="0" applyFont="1" applyFill="1" applyBorder="1" applyAlignment="1">
      <alignment horizontal="center"/>
    </xf>
    <xf numFmtId="0" fontId="61" fillId="5" borderId="5" xfId="0" applyFont="1" applyFill="1" applyBorder="1" applyAlignment="1">
      <alignment horizontal="center"/>
    </xf>
    <xf numFmtId="1" fontId="60" fillId="5" borderId="5" xfId="0" applyNumberFormat="1" applyFont="1" applyFill="1" applyBorder="1" applyAlignment="1">
      <alignment horizontal="center" vertical="center"/>
    </xf>
    <xf numFmtId="165" fontId="0" fillId="0" borderId="0" xfId="0" applyNumberFormat="1"/>
    <xf numFmtId="1" fontId="0" fillId="0" borderId="0" xfId="0" applyNumberFormat="1"/>
    <xf numFmtId="0" fontId="18" fillId="42" borderId="6" xfId="0" applyFont="1" applyFill="1" applyBorder="1"/>
    <xf numFmtId="0" fontId="0" fillId="0" borderId="6" xfId="0" applyBorder="1"/>
    <xf numFmtId="1" fontId="0" fillId="0" borderId="6" xfId="0" applyNumberFormat="1" applyBorder="1"/>
    <xf numFmtId="165" fontId="0" fillId="0" borderId="6" xfId="0" applyNumberFormat="1" applyBorder="1"/>
    <xf numFmtId="0" fontId="18" fillId="17" borderId="6" xfId="0" applyFont="1" applyFill="1" applyBorder="1"/>
    <xf numFmtId="0" fontId="0" fillId="43" borderId="6" xfId="0" applyFill="1" applyBorder="1"/>
    <xf numFmtId="1" fontId="0" fillId="43" borderId="6" xfId="0" applyNumberFormat="1" applyFill="1" applyBorder="1"/>
    <xf numFmtId="166" fontId="0" fillId="43" borderId="6" xfId="0" applyNumberFormat="1" applyFill="1" applyBorder="1"/>
    <xf numFmtId="166" fontId="0" fillId="0" borderId="0" xfId="0" applyNumberFormat="1"/>
    <xf numFmtId="166" fontId="0" fillId="0" borderId="6" xfId="0" applyNumberFormat="1" applyBorder="1"/>
    <xf numFmtId="0" fontId="70" fillId="0" borderId="0" xfId="0" applyFont="1"/>
    <xf numFmtId="0" fontId="71" fillId="0" borderId="0" xfId="0" applyFont="1"/>
    <xf numFmtId="0" fontId="18" fillId="47" borderId="0" xfId="0" applyFont="1" applyFill="1"/>
    <xf numFmtId="0" fontId="27" fillId="0" borderId="0" xfId="0" applyFont="1"/>
    <xf numFmtId="0" fontId="18" fillId="50" borderId="0" xfId="0" applyFont="1" applyFill="1"/>
    <xf numFmtId="0" fontId="0" fillId="50" borderId="0" xfId="0" applyFill="1"/>
    <xf numFmtId="0" fontId="18" fillId="47" borderId="6" xfId="0" applyFont="1" applyFill="1" applyBorder="1"/>
    <xf numFmtId="0" fontId="18" fillId="48" borderId="6" xfId="0" applyFont="1" applyFill="1" applyBorder="1"/>
    <xf numFmtId="0" fontId="0" fillId="49" borderId="6" xfId="0" applyFill="1" applyBorder="1"/>
    <xf numFmtId="166" fontId="0" fillId="49" borderId="6" xfId="0" applyNumberFormat="1" applyFill="1" applyBorder="1"/>
    <xf numFmtId="1" fontId="0" fillId="49" borderId="6" xfId="0" applyNumberFormat="1" applyFill="1" applyBorder="1"/>
    <xf numFmtId="0" fontId="0" fillId="51" borderId="0" xfId="0" applyFill="1"/>
    <xf numFmtId="0" fontId="18" fillId="52" borderId="0" xfId="0" applyFont="1" applyFill="1"/>
    <xf numFmtId="0" fontId="18" fillId="51" borderId="0" xfId="0" applyFont="1" applyFill="1"/>
    <xf numFmtId="0" fontId="18" fillId="52" borderId="6" xfId="0" applyFont="1" applyFill="1" applyBorder="1"/>
    <xf numFmtId="0" fontId="18" fillId="53" borderId="6" xfId="0" applyFont="1" applyFill="1" applyBorder="1"/>
    <xf numFmtId="0" fontId="0" fillId="54" borderId="6" xfId="0" applyFill="1" applyBorder="1"/>
    <xf numFmtId="166" fontId="0" fillId="54" borderId="6" xfId="0" applyNumberFormat="1" applyFill="1" applyBorder="1"/>
    <xf numFmtId="1" fontId="0" fillId="54" borderId="6" xfId="0" applyNumberFormat="1" applyFill="1" applyBorder="1"/>
    <xf numFmtId="0" fontId="62" fillId="44" borderId="6" xfId="0" applyFont="1" applyFill="1" applyBorder="1"/>
    <xf numFmtId="0" fontId="63" fillId="55" borderId="6" xfId="0" applyFont="1" applyFill="1" applyBorder="1"/>
    <xf numFmtId="0" fontId="64" fillId="56" borderId="6" xfId="0" applyFont="1" applyFill="1" applyBorder="1"/>
    <xf numFmtId="0" fontId="18" fillId="57" borderId="0" xfId="0" applyFont="1" applyFill="1"/>
    <xf numFmtId="0" fontId="18" fillId="58" borderId="0" xfId="0" applyFont="1" applyFill="1"/>
    <xf numFmtId="0" fontId="62" fillId="44" borderId="0" xfId="0" applyFont="1" applyFill="1"/>
    <xf numFmtId="167" fontId="0" fillId="0" borderId="0" xfId="0" applyNumberFormat="1"/>
    <xf numFmtId="0" fontId="78" fillId="59" borderId="0" xfId="0" applyFont="1" applyFill="1"/>
    <xf numFmtId="0" fontId="18" fillId="40" borderId="0" xfId="0" applyFont="1" applyFill="1"/>
    <xf numFmtId="0" fontId="63" fillId="55" borderId="0" xfId="0" applyFont="1" applyFill="1"/>
    <xf numFmtId="0" fontId="78" fillId="12" borderId="6" xfId="0" applyFont="1" applyFill="1" applyBorder="1"/>
    <xf numFmtId="0" fontId="0" fillId="18" borderId="6" xfId="0" applyFill="1" applyBorder="1"/>
    <xf numFmtId="0" fontId="18" fillId="16" borderId="6" xfId="0" applyFont="1" applyFill="1" applyBorder="1"/>
    <xf numFmtId="9" fontId="18" fillId="16" borderId="6" xfId="0" applyNumberFormat="1" applyFont="1" applyFill="1" applyBorder="1"/>
    <xf numFmtId="0" fontId="78" fillId="12" borderId="6" xfId="0" applyFont="1" applyFill="1" applyBorder="1" applyAlignment="1">
      <alignment wrapText="1"/>
    </xf>
    <xf numFmtId="16" fontId="0" fillId="0" borderId="0" xfId="0" applyNumberFormat="1"/>
    <xf numFmtId="16" fontId="78" fillId="12" borderId="6" xfId="0" applyNumberFormat="1" applyFont="1" applyFill="1" applyBorder="1"/>
    <xf numFmtId="0" fontId="78" fillId="12" borderId="10" xfId="0" applyFont="1" applyFill="1" applyBorder="1" applyAlignment="1">
      <alignment wrapText="1"/>
    </xf>
    <xf numFmtId="0" fontId="0" fillId="18" borderId="10" xfId="0" applyFill="1" applyBorder="1"/>
    <xf numFmtId="165" fontId="0" fillId="18" borderId="0" xfId="0" applyNumberFormat="1" applyFill="1"/>
    <xf numFmtId="0" fontId="18" fillId="63" borderId="6" xfId="0" applyFont="1" applyFill="1" applyBorder="1"/>
    <xf numFmtId="2" fontId="0" fillId="0" borderId="6" xfId="0" applyNumberFormat="1" applyBorder="1"/>
    <xf numFmtId="0" fontId="0" fillId="0" borderId="0" xfId="0" applyAlignment="1">
      <alignment wrapText="1"/>
    </xf>
    <xf numFmtId="165" fontId="0" fillId="16" borderId="0" xfId="0" applyNumberFormat="1" applyFill="1"/>
    <xf numFmtId="166" fontId="2" fillId="0" borderId="0" xfId="0" applyNumberFormat="1" applyFont="1"/>
    <xf numFmtId="165" fontId="0" fillId="13" borderId="0" xfId="0" applyNumberFormat="1" applyFill="1"/>
    <xf numFmtId="165" fontId="0" fillId="14" borderId="0" xfId="0" applyNumberFormat="1" applyFill="1"/>
    <xf numFmtId="165" fontId="0" fillId="15" borderId="0" xfId="0" applyNumberFormat="1" applyFill="1"/>
    <xf numFmtId="165" fontId="0" fillId="17" borderId="0" xfId="0" applyNumberFormat="1" applyFill="1"/>
    <xf numFmtId="165" fontId="52" fillId="32" borderId="0" xfId="0" applyNumberFormat="1" applyFont="1" applyFill="1"/>
    <xf numFmtId="165" fontId="53" fillId="37" borderId="0" xfId="0" applyNumberFormat="1" applyFont="1" applyFill="1"/>
    <xf numFmtId="165" fontId="0" fillId="43" borderId="6" xfId="0" applyNumberFormat="1" applyFill="1" applyBorder="1"/>
    <xf numFmtId="165" fontId="0" fillId="49" borderId="6" xfId="0" applyNumberFormat="1" applyFill="1" applyBorder="1"/>
    <xf numFmtId="0" fontId="0" fillId="0" borderId="0" xfId="0"/>
    <xf numFmtId="0" fontId="3" fillId="2" borderId="0" xfId="0" applyFont="1" applyFill="1" applyAlignment="1">
      <alignment horizontal="center" vertical="center"/>
    </xf>
    <xf numFmtId="0" fontId="12" fillId="6" borderId="1" xfId="0" applyFont="1" applyFill="1" applyBorder="1" applyAlignment="1">
      <alignment horizontal="center" wrapText="1"/>
    </xf>
    <xf numFmtId="0" fontId="0" fillId="0" borderId="2" xfId="0" applyBorder="1"/>
    <xf numFmtId="0" fontId="0" fillId="0" borderId="3" xfId="0" applyBorder="1"/>
    <xf numFmtId="0" fontId="16" fillId="10" borderId="1" xfId="0" applyFont="1" applyFill="1" applyBorder="1" applyAlignment="1">
      <alignment horizontal="center" wrapText="1"/>
    </xf>
    <xf numFmtId="0" fontId="14" fillId="8" borderId="1" xfId="0" applyFont="1" applyFill="1" applyBorder="1" applyAlignment="1">
      <alignment horizontal="left" wrapText="1"/>
    </xf>
    <xf numFmtId="0" fontId="9" fillId="6" borderId="0" xfId="0" applyFont="1" applyFill="1"/>
    <xf numFmtId="0" fontId="9" fillId="5" borderId="0" xfId="0" applyFont="1" applyFill="1"/>
    <xf numFmtId="0" fontId="14" fillId="10" borderId="1" xfId="0" applyFont="1" applyFill="1" applyBorder="1" applyAlignment="1">
      <alignment horizontal="left" wrapText="1"/>
    </xf>
    <xf numFmtId="0" fontId="9" fillId="7" borderId="0" xfId="0" applyFont="1" applyFill="1"/>
    <xf numFmtId="0" fontId="5" fillId="2" borderId="0" xfId="0" applyFont="1" applyFill="1" applyAlignment="1">
      <alignment horizontal="left" vertical="center"/>
    </xf>
    <xf numFmtId="0" fontId="4" fillId="0" borderId="0" xfId="0" applyFont="1"/>
    <xf numFmtId="0" fontId="32" fillId="5" borderId="0" xfId="0" applyFont="1" applyFill="1"/>
    <xf numFmtId="0" fontId="7" fillId="7" borderId="1" xfId="0" applyFont="1" applyFill="1" applyBorder="1" applyAlignment="1">
      <alignment horizontal="center" wrapText="1"/>
    </xf>
    <xf numFmtId="0" fontId="14" fillId="6" borderId="1" xfId="0" applyFont="1" applyFill="1" applyBorder="1" applyAlignment="1">
      <alignment horizontal="left" wrapText="1"/>
    </xf>
    <xf numFmtId="0" fontId="15" fillId="10" borderId="0" xfId="0" applyFont="1" applyFill="1" applyAlignment="1">
      <alignment horizontal="left" vertical="center" wrapText="1"/>
    </xf>
    <xf numFmtId="0" fontId="7" fillId="6" borderId="1" xfId="0" applyFont="1" applyFill="1" applyBorder="1" applyAlignment="1">
      <alignment horizontal="center" wrapText="1"/>
    </xf>
    <xf numFmtId="0" fontId="14" fillId="7" borderId="1" xfId="0" applyFont="1" applyFill="1" applyBorder="1" applyAlignment="1">
      <alignment horizontal="left" wrapText="1"/>
    </xf>
    <xf numFmtId="0" fontId="7" fillId="8" borderId="1" xfId="0" applyFont="1" applyFill="1" applyBorder="1" applyAlignment="1">
      <alignment horizontal="center" wrapText="1"/>
    </xf>
    <xf numFmtId="0" fontId="14" fillId="9" borderId="1" xfId="0" applyFont="1" applyFill="1" applyBorder="1" applyAlignment="1">
      <alignment horizontal="left" wrapText="1"/>
    </xf>
    <xf numFmtId="0" fontId="49" fillId="28" borderId="0" xfId="0" applyFont="1" applyFill="1" applyAlignment="1">
      <alignment horizontal="left" vertical="center"/>
    </xf>
    <xf numFmtId="0" fontId="29" fillId="11" borderId="0" xfId="0" applyFont="1" applyFill="1"/>
    <xf numFmtId="0" fontId="23" fillId="12" borderId="0" xfId="0" applyFont="1" applyFill="1" applyAlignment="1">
      <alignment horizontal="left" vertical="center"/>
    </xf>
    <xf numFmtId="0" fontId="47" fillId="26" borderId="0" xfId="0" applyFont="1" applyFill="1" applyAlignment="1">
      <alignment horizontal="left" vertical="center"/>
    </xf>
    <xf numFmtId="0" fontId="34" fillId="2" borderId="0" xfId="0" applyFont="1" applyFill="1" applyAlignment="1">
      <alignment horizontal="center" vertical="center" wrapText="1"/>
    </xf>
    <xf numFmtId="0" fontId="22" fillId="21" borderId="0" xfId="0" applyFont="1" applyFill="1" applyAlignment="1">
      <alignment horizontal="left" vertical="center" wrapText="1"/>
    </xf>
    <xf numFmtId="0" fontId="22" fillId="23" borderId="0" xfId="0" applyFont="1" applyFill="1" applyAlignment="1">
      <alignment horizontal="left" vertical="center" wrapText="1"/>
    </xf>
    <xf numFmtId="0" fontId="22" fillId="2" borderId="0" xfId="0" applyFont="1" applyFill="1" applyAlignment="1">
      <alignment horizontal="left" vertical="center" wrapText="1"/>
    </xf>
    <xf numFmtId="0" fontId="35" fillId="10" borderId="0" xfId="0" applyFont="1" applyFill="1" applyAlignment="1">
      <alignment horizontal="left" vertical="center" wrapText="1"/>
    </xf>
    <xf numFmtId="0" fontId="22" fillId="4" borderId="0" xfId="0" applyFont="1" applyFill="1" applyAlignment="1">
      <alignment horizontal="left" vertical="center" wrapText="1"/>
    </xf>
    <xf numFmtId="0" fontId="22" fillId="22" borderId="0" xfId="0" applyFont="1" applyFill="1" applyAlignment="1">
      <alignment horizontal="left" vertical="center" wrapText="1"/>
    </xf>
    <xf numFmtId="0" fontId="27" fillId="17" borderId="0" xfId="0" applyFont="1" applyFill="1" applyAlignment="1">
      <alignment wrapText="1"/>
    </xf>
    <xf numFmtId="0" fontId="23" fillId="11" borderId="0" xfId="0" applyFont="1" applyFill="1" applyAlignment="1">
      <alignment horizontal="left" vertical="center"/>
    </xf>
    <xf numFmtId="0" fontId="27" fillId="17" borderId="0" xfId="0" applyFont="1" applyFill="1"/>
    <xf numFmtId="0" fontId="50" fillId="30" borderId="0" xfId="0" applyFont="1" applyFill="1"/>
    <xf numFmtId="0" fontId="67" fillId="0" borderId="0" xfId="0" applyFont="1"/>
    <xf numFmtId="0" fontId="66" fillId="41" borderId="0" xfId="0" applyFont="1" applyFill="1"/>
    <xf numFmtId="0" fontId="68" fillId="0" borderId="0" xfId="0" applyFont="1"/>
    <xf numFmtId="0" fontId="69" fillId="0" borderId="0" xfId="0" applyFont="1"/>
    <xf numFmtId="0" fontId="75" fillId="0" borderId="0" xfId="0" applyFont="1"/>
    <xf numFmtId="0" fontId="76" fillId="0" borderId="0" xfId="0" applyFont="1"/>
    <xf numFmtId="0" fontId="0" fillId="0" borderId="0" xfId="0" applyAlignment="1">
      <alignment wrapText="1"/>
    </xf>
    <xf numFmtId="0" fontId="68" fillId="0" borderId="0" xfId="0" applyFont="1" applyAlignment="1">
      <alignment wrapText="1"/>
    </xf>
    <xf numFmtId="0" fontId="65" fillId="40" borderId="0" xfId="0" applyFont="1" applyFill="1"/>
    <xf numFmtId="0" fontId="72" fillId="0" borderId="0" xfId="0" applyFont="1"/>
    <xf numFmtId="0" fontId="65" fillId="45" borderId="0" xfId="0" applyFont="1" applyFill="1"/>
    <xf numFmtId="0" fontId="0" fillId="45" borderId="0" xfId="0" applyFill="1"/>
    <xf numFmtId="0" fontId="26" fillId="46" borderId="0" xfId="0" applyFont="1" applyFill="1"/>
    <xf numFmtId="0" fontId="0" fillId="46" borderId="0" xfId="0" applyFill="1"/>
    <xf numFmtId="0" fontId="66" fillId="45" borderId="0" xfId="0" applyFont="1" applyFill="1"/>
    <xf numFmtId="0" fontId="74" fillId="0" borderId="0" xfId="0" applyFont="1"/>
    <xf numFmtId="0" fontId="65" fillId="51" borderId="0" xfId="0" applyFont="1" applyFill="1"/>
    <xf numFmtId="0" fontId="0" fillId="51" borderId="0" xfId="0" applyFill="1"/>
    <xf numFmtId="0" fontId="73" fillId="51" borderId="0" xfId="0" applyFont="1" applyFill="1"/>
    <xf numFmtId="0" fontId="26" fillId="0" borderId="0" xfId="0" applyFont="1"/>
    <xf numFmtId="0" fontId="77" fillId="0" borderId="0" xfId="0" applyFont="1"/>
    <xf numFmtId="0" fontId="18" fillId="0" borderId="0" xfId="0" applyFont="1"/>
    <xf numFmtId="0" fontId="47" fillId="4" borderId="0" xfId="0" applyFont="1" applyFill="1" applyAlignment="1">
      <alignment horizontal="left" vertical="center" indent="1"/>
    </xf>
    <xf numFmtId="0" fontId="20" fillId="17" borderId="0" xfId="0" applyFont="1" applyFill="1" applyAlignment="1">
      <alignment wrapText="1"/>
    </xf>
    <xf numFmtId="0" fontId="20" fillId="15" borderId="0" xfId="0" applyFont="1" applyFill="1" applyAlignment="1">
      <alignment wrapText="1"/>
    </xf>
    <xf numFmtId="0" fontId="20" fillId="13" borderId="0" xfId="0" applyFont="1" applyFill="1" applyAlignment="1">
      <alignment wrapText="1"/>
    </xf>
    <xf numFmtId="0" fontId="20" fillId="16" borderId="0" xfId="0" applyFont="1" applyFill="1" applyAlignment="1">
      <alignment wrapText="1"/>
    </xf>
    <xf numFmtId="0" fontId="20" fillId="20" borderId="0" xfId="0" applyFont="1" applyFill="1" applyAlignment="1">
      <alignment wrapText="1"/>
    </xf>
    <xf numFmtId="0" fontId="18" fillId="40" borderId="0" xfId="0" applyFont="1" applyFill="1"/>
    <xf numFmtId="0" fontId="18" fillId="60" borderId="0" xfId="0" applyFont="1" applyFill="1"/>
    <xf numFmtId="0" fontId="0" fillId="17" borderId="9" xfId="0" applyFill="1" applyBorder="1" applyAlignment="1">
      <alignment wrapText="1"/>
    </xf>
    <xf numFmtId="0" fontId="0" fillId="17" borderId="8" xfId="0" applyFill="1" applyBorder="1" applyAlignment="1">
      <alignment wrapText="1"/>
    </xf>
    <xf numFmtId="0" fontId="0" fillId="17" borderId="12" xfId="0" applyFill="1" applyBorder="1" applyAlignment="1">
      <alignment wrapText="1"/>
    </xf>
    <xf numFmtId="0" fontId="0" fillId="17" borderId="10" xfId="0" applyFill="1" applyBorder="1" applyAlignment="1">
      <alignment wrapText="1"/>
    </xf>
    <xf numFmtId="0" fontId="0" fillId="17" borderId="0" xfId="0" applyFill="1" applyAlignment="1">
      <alignment wrapText="1"/>
    </xf>
    <xf numFmtId="0" fontId="0" fillId="17" borderId="13" xfId="0" applyFill="1" applyBorder="1" applyAlignment="1">
      <alignment wrapText="1"/>
    </xf>
    <xf numFmtId="0" fontId="0" fillId="17" borderId="11" xfId="0" applyFill="1" applyBorder="1" applyAlignment="1">
      <alignment wrapText="1"/>
    </xf>
    <xf numFmtId="0" fontId="0" fillId="17" borderId="7" xfId="0" applyFill="1" applyBorder="1" applyAlignment="1">
      <alignment wrapText="1"/>
    </xf>
    <xf numFmtId="0" fontId="0" fillId="17" borderId="14" xfId="0" applyFill="1" applyBorder="1" applyAlignment="1">
      <alignment wrapText="1"/>
    </xf>
    <xf numFmtId="0" fontId="79" fillId="12" borderId="0" xfId="0" applyFont="1" applyFill="1" applyAlignment="1">
      <alignment horizontal="center"/>
    </xf>
    <xf numFmtId="0" fontId="26" fillId="17" borderId="0" xfId="0" applyFont="1" applyFill="1"/>
    <xf numFmtId="0" fontId="81" fillId="59" borderId="0" xfId="0" applyFont="1" applyFill="1"/>
    <xf numFmtId="0" fontId="26" fillId="40" borderId="0" xfId="0" applyFont="1" applyFill="1"/>
    <xf numFmtId="0" fontId="80" fillId="60" borderId="0" xfId="0" applyFont="1" applyFill="1"/>
    <xf numFmtId="0" fontId="18" fillId="16" borderId="6" xfId="0" applyFont="1" applyFill="1" applyBorder="1"/>
    <xf numFmtId="0" fontId="26" fillId="17" borderId="0" xfId="0" applyFont="1" applyFill="1" applyAlignment="1">
      <alignment wrapText="1"/>
    </xf>
    <xf numFmtId="0" fontId="82" fillId="12" borderId="0" xfId="0" applyFont="1" applyFill="1" applyAlignment="1">
      <alignment horizontal="center"/>
    </xf>
    <xf numFmtId="0" fontId="83" fillId="59" borderId="0" xfId="0" applyFont="1" applyFill="1"/>
    <xf numFmtId="0" fontId="0" fillId="16" borderId="0" xfId="0" applyFill="1" applyAlignment="1">
      <alignment wrapText="1"/>
    </xf>
    <xf numFmtId="0" fontId="0" fillId="61" borderId="0" xfId="0" applyFill="1" applyAlignment="1">
      <alignment wrapText="1"/>
    </xf>
    <xf numFmtId="0" fontId="0" fillId="62" borderId="0" xfId="0" applyFill="1" applyAlignment="1">
      <alignment wrapText="1"/>
    </xf>
    <xf numFmtId="0" fontId="18" fillId="55" borderId="0" xfId="0" applyFont="1" applyFill="1"/>
    <xf numFmtId="0" fontId="18" fillId="44" borderId="0" xfId="0" applyFont="1" applyFill="1"/>
  </cellXfs>
  <cellStyles count="5">
    <cellStyle name="Lien hypertexte" xfId="2" builtinId="8"/>
    <cellStyle name="Milliers" xfId="1" builtinId="3"/>
    <cellStyle name="Normal" xfId="0" builtinId="0"/>
    <cellStyle name="Normal 2" xfId="4" xr:uid="{333E90A6-A277-4DD7-A818-013C8D5CDF23}"/>
    <cellStyle name="Pourcentage" xfId="3" builtinId="5"/>
  </cellStyles>
  <dxfs count="12">
    <dxf>
      <font>
        <color rgb="FF006100"/>
      </font>
      <fill>
        <patternFill patternType="solid">
          <fgColor indexed="64"/>
          <bgColor rgb="FFC6EFCE"/>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font>
        <color rgb="FF9C0006"/>
      </font>
      <fill>
        <patternFill patternType="solid">
          <fgColor indexed="64"/>
          <bgColor rgb="FFFFC7CE"/>
        </patternFill>
      </fill>
    </dxf>
    <dxf>
      <font>
        <color rgb="FF9C5700"/>
      </font>
      <fill>
        <patternFill patternType="solid">
          <fgColor indexed="64"/>
          <bgColor rgb="FFFFEB9C"/>
        </patternFill>
      </fill>
    </dxf>
    <dxf>
      <font>
        <color rgb="FF006100"/>
      </font>
      <fill>
        <patternFill patternType="solid">
          <fgColor indexed="64"/>
          <bgColor rgb="FFC6EFCE"/>
        </patternFill>
      </fill>
    </dxf>
    <dxf>
      <numFmt numFmtId="19" formatCode="dd/mm/yyyy"/>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Réponses au formulaire 1-style" pivot="0" count="4" xr9:uid="{00000000-0011-0000-FFFF-FFFF00000000}">
      <tableStyleElement type="wholeTable" size="0" dxfId="11"/>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a:t>Q1 - Fréquence d'usage de l'IAG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fr-FR"/>
        </a:p>
      </c:txPr>
    </c:title>
    <c:autoTitleDeleted val="0"/>
    <c:plotArea>
      <c:layout/>
      <c:barChart>
        <c:barDir val="col"/>
        <c:grouping val="stacked"/>
        <c:varyColors val="0"/>
        <c:ser>
          <c:idx val="0"/>
          <c:order val="0"/>
          <c:tx>
            <c:strRef>
              <c:f>'5.1_PROFIL_ECHANTILLON'!$B$83</c:f>
              <c:strCache>
                <c:ptCount val="1"/>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'5.1_PROFIL_ECHANTILLON'!$A$84:$A$90</c:f>
              <c:strCache>
                <c:ptCount val="7"/>
                <c:pt idx="0">
                  <c:v>Jamais</c:v>
                </c:pt>
                <c:pt idx="1">
                  <c:v>Très rarement (&lt; 1x/mois)</c:v>
                </c:pt>
                <c:pt idx="2">
                  <c:v>Rarement (1 à 3x/mois)</c:v>
                </c:pt>
                <c:pt idx="3">
                  <c:v>Parfois (1x/semaine)</c:v>
                </c:pt>
                <c:pt idx="4">
                  <c:v>Régulièrement (plusieurs x/semaine)</c:v>
                </c:pt>
                <c:pt idx="5">
                  <c:v>Quotidiennement (1x/jour)</c:v>
                </c:pt>
                <c:pt idx="6">
                  <c:v>Très fréquemment (plusieurs x/jour)</c:v>
                </c:pt>
              </c:strCache>
            </c:strRef>
          </c:cat>
          <c:val>
            <c:numRef>
              <c:f>'5.1_PROFIL_ECHANTILLON'!$B$84:$B$90</c:f>
              <c:numCache>
                <c:formatCode>General</c:formatCode>
                <c:ptCount val="7"/>
                <c:pt idx="0">
                  <c:v>5</c:v>
                </c:pt>
                <c:pt idx="1">
                  <c:v>3</c:v>
                </c:pt>
                <c:pt idx="2">
                  <c:v>6</c:v>
                </c:pt>
                <c:pt idx="3">
                  <c:v>11</c:v>
                </c:pt>
                <c:pt idx="4">
                  <c:v>26</c:v>
                </c:pt>
                <c:pt idx="5">
                  <c:v>9</c:v>
                </c:pt>
                <c:pt idx="6">
                  <c:v>12</c:v>
                </c:pt>
              </c:numCache>
            </c:numRef>
          </c:val>
          <c:extLst>
            <c:ext xmlns:c16="http://schemas.microsoft.com/office/drawing/2014/chart" uri="{C3380CC4-5D6E-409C-BE32-E72D297353CC}">
              <c16:uniqueId val="{00000000-1356-448B-97DE-4F3F98DF09BD}"/>
            </c:ext>
          </c:extLst>
        </c:ser>
        <c:dLbls>
          <c:showLegendKey val="0"/>
          <c:showVal val="0"/>
          <c:showCatName val="0"/>
          <c:showSerName val="0"/>
          <c:showPercent val="0"/>
          <c:showBubbleSize val="0"/>
        </c:dLbls>
        <c:gapWidth val="150"/>
        <c:overlap val="100"/>
        <c:axId val="1596527311"/>
        <c:axId val="1596520591"/>
      </c:barChart>
      <c:catAx>
        <c:axId val="15965273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596520591"/>
        <c:crosses val="autoZero"/>
        <c:auto val="1"/>
        <c:lblAlgn val="ctr"/>
        <c:lblOffset val="100"/>
        <c:noMultiLvlLbl val="0"/>
      </c:catAx>
      <c:valAx>
        <c:axId val="159652059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5965273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1F4E79"/>
                </a:solidFill>
              </a:defRPr>
            </a:pPr>
            <a:r>
              <a:rPr lang="fr-FR"/>
              <a:t>Coefficients rho de Spearman par hypothèse</a:t>
            </a:r>
          </a:p>
        </c:rich>
      </c:tx>
      <c:overlay val="0"/>
    </c:title>
    <c:autoTitleDeleted val="0"/>
    <c:plotArea>
      <c:layout/>
      <c:barChart>
        <c:barDir val="bar"/>
        <c:grouping val="clustered"/>
        <c:varyColors val="0"/>
        <c:ser>
          <c:idx val="0"/>
          <c:order val="0"/>
          <c:tx>
            <c:v>rho Spearman</c:v>
          </c:tx>
          <c:invertIfNegative val="0"/>
          <c:dPt>
            <c:idx val="0"/>
            <c:invertIfNegative val="0"/>
            <c:bubble3D val="0"/>
            <c:spPr>
              <a:solidFill>
                <a:srgbClr val="B4B4B4"/>
              </a:solidFill>
            </c:spPr>
            <c:extLst>
              <c:ext xmlns:c16="http://schemas.microsoft.com/office/drawing/2014/chart" uri="{C3380CC4-5D6E-409C-BE32-E72D297353CC}">
                <c16:uniqueId val="{00000008-C3BE-482E-8CD9-A5B06FFEAA5B}"/>
              </c:ext>
            </c:extLst>
          </c:dPt>
          <c:dPt>
            <c:idx val="1"/>
            <c:invertIfNegative val="0"/>
            <c:bubble3D val="0"/>
            <c:spPr>
              <a:solidFill>
                <a:srgbClr val="2C8244"/>
              </a:solidFill>
            </c:spPr>
            <c:extLst>
              <c:ext xmlns:c16="http://schemas.microsoft.com/office/drawing/2014/chart" uri="{C3380CC4-5D6E-409C-BE32-E72D297353CC}">
                <c16:uniqueId val="{00000009-C3BE-482E-8CD9-A5B06FFEAA5B}"/>
              </c:ext>
            </c:extLst>
          </c:dPt>
          <c:dPt>
            <c:idx val="2"/>
            <c:invertIfNegative val="0"/>
            <c:bubble3D val="0"/>
            <c:spPr>
              <a:solidFill>
                <a:srgbClr val="2C8244"/>
              </a:solidFill>
            </c:spPr>
            <c:extLst>
              <c:ext xmlns:c16="http://schemas.microsoft.com/office/drawing/2014/chart" uri="{C3380CC4-5D6E-409C-BE32-E72D297353CC}">
                <c16:uniqueId val="{0000000A-C3BE-482E-8CD9-A5B06FFEAA5B}"/>
              </c:ext>
            </c:extLst>
          </c:dPt>
          <c:dPt>
            <c:idx val="3"/>
            <c:invertIfNegative val="0"/>
            <c:bubble3D val="0"/>
            <c:spPr>
              <a:solidFill>
                <a:srgbClr val="CD5C5C"/>
              </a:solidFill>
            </c:spPr>
            <c:extLst>
              <c:ext xmlns:c16="http://schemas.microsoft.com/office/drawing/2014/chart" uri="{C3380CC4-5D6E-409C-BE32-E72D297353CC}">
                <c16:uniqueId val="{0000000B-C3BE-482E-8CD9-A5B06FFEAA5B}"/>
              </c:ext>
            </c:extLst>
          </c:dPt>
          <c:dPt>
            <c:idx val="4"/>
            <c:invertIfNegative val="0"/>
            <c:bubble3D val="0"/>
            <c:spPr>
              <a:solidFill>
                <a:srgbClr val="B4B4B4"/>
              </a:solidFill>
            </c:spPr>
            <c:extLst>
              <c:ext xmlns:c16="http://schemas.microsoft.com/office/drawing/2014/chart" uri="{C3380CC4-5D6E-409C-BE32-E72D297353CC}">
                <c16:uniqueId val="{0000000C-C3BE-482E-8CD9-A5B06FFEAA5B}"/>
              </c:ext>
            </c:extLst>
          </c:dPt>
          <c:dPt>
            <c:idx val="5"/>
            <c:invertIfNegative val="0"/>
            <c:bubble3D val="0"/>
            <c:spPr>
              <a:solidFill>
                <a:srgbClr val="B4B4B4"/>
              </a:solidFill>
            </c:spPr>
            <c:extLst>
              <c:ext xmlns:c16="http://schemas.microsoft.com/office/drawing/2014/chart" uri="{C3380CC4-5D6E-409C-BE32-E72D297353CC}">
                <c16:uniqueId val="{0000000D-C3BE-482E-8CD9-A5B06FFEAA5B}"/>
              </c:ext>
            </c:extLst>
          </c:dPt>
          <c:dLbls>
            <c:numFmt formatCode="0.000" sourceLinked="0"/>
            <c:spPr>
              <a:noFill/>
              <a:ln>
                <a:noFill/>
              </a:ln>
              <a:effectLst/>
            </c:spPr>
            <c:txPr>
              <a:bodyPr wrap="square" lIns="38100" tIns="19050" rIns="38100" bIns="19050" anchor="ctr">
                <a:spAutoFit/>
              </a:bodyPr>
              <a:lstStyle/>
              <a:p>
                <a:pPr>
                  <a:defRPr sz="9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'5.3_HYPOTHESES'!$A$31:$A$36</c:f>
              <c:strCache>
                <c:ptCount val="6"/>
                <c:pt idx="0">
                  <c:v>H1: SUP → Q1</c:v>
                </c:pt>
                <c:pt idx="1">
                  <c:v>H2: SFU → Q1</c:v>
                </c:pt>
                <c:pt idx="2">
                  <c:v>H3a: SRP → Q17</c:v>
                </c:pt>
                <c:pt idx="3">
                  <c:v>h3a-2: SRP → Q1</c:v>
                </c:pt>
                <c:pt idx="4">
                  <c:v>H4b-1: SMF → SS</c:v>
                </c:pt>
                <c:pt idx="5">
                  <c:v>H4b-2: SRP → SS</c:v>
                </c:pt>
              </c:strCache>
            </c:strRef>
          </c:cat>
          <c:val>
            <c:numRef>
              <c:f>'5.3_HYPOTHESES'!$E$31:$E$36</c:f>
              <c:numCache>
                <c:formatCode>0.0000</c:formatCode>
                <c:ptCount val="6"/>
                <c:pt idx="0">
                  <c:v>0.16799573079388649</c:v>
                </c:pt>
                <c:pt idx="1">
                  <c:v>0.3249278719182116</c:v>
                </c:pt>
                <c:pt idx="2">
                  <c:v>0.30950561196222048</c:v>
                </c:pt>
                <c:pt idx="3">
                  <c:v>-0.23098831616581353</c:v>
                </c:pt>
                <c:pt idx="4">
                  <c:v>0.18957620665689032</c:v>
                </c:pt>
                <c:pt idx="5">
                  <c:v>0.11261127342095291</c:v>
                </c:pt>
              </c:numCache>
            </c:numRef>
          </c:val>
          <c:extLst>
            <c:ext xmlns:c16="http://schemas.microsoft.com/office/drawing/2014/chart" uri="{C3380CC4-5D6E-409C-BE32-E72D297353CC}">
              <c16:uniqueId val="{00000007-C3BE-482E-8CD9-A5B06FFEAA5B}"/>
            </c:ext>
          </c:extLst>
        </c:ser>
        <c:dLbls>
          <c:showLegendKey val="0"/>
          <c:showVal val="0"/>
          <c:showCatName val="0"/>
          <c:showSerName val="0"/>
          <c:showPercent val="0"/>
          <c:showBubbleSize val="0"/>
        </c:dLbls>
        <c:gapWidth val="150"/>
        <c:axId val="2105741775"/>
        <c:axId val="2105744655"/>
      </c:barChart>
      <c:catAx>
        <c:axId val="2105741775"/>
        <c:scaling>
          <c:orientation val="minMax"/>
        </c:scaling>
        <c:delete val="0"/>
        <c:axPos val="l"/>
        <c:numFmt formatCode="General" sourceLinked="1"/>
        <c:majorTickMark val="out"/>
        <c:minorTickMark val="none"/>
        <c:tickLblPos val="nextTo"/>
        <c:crossAx val="2105744655"/>
        <c:crosses val="autoZero"/>
        <c:auto val="1"/>
        <c:lblAlgn val="ctr"/>
        <c:lblOffset val="100"/>
        <c:noMultiLvlLbl val="0"/>
      </c:catAx>
      <c:valAx>
        <c:axId val="2105744655"/>
        <c:scaling>
          <c:orientation val="minMax"/>
          <c:max val="0.4"/>
          <c:min val="-0.4"/>
        </c:scaling>
        <c:delete val="0"/>
        <c:axPos val="b"/>
        <c:majorGridlines/>
        <c:numFmt formatCode="0.0000" sourceLinked="1"/>
        <c:majorTickMark val="out"/>
        <c:minorTickMark val="none"/>
        <c:tickLblPos val="nextTo"/>
        <c:crossAx val="2105741775"/>
        <c:crosses val="autoZero"/>
        <c:crossBetween val="between"/>
      </c:valAx>
      <c:spPr>
        <a:solidFill>
          <a:srgbClr val="F5FA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solidFill>
        <a:srgbClr val="B4D2F0"/>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1F4E79"/>
                </a:solidFill>
              </a:defRPr>
            </a:pPr>
            <a:r>
              <a:rPr lang="fr-FR"/>
              <a:t>p-values (seuil alpha = 0,05)</a:t>
            </a:r>
          </a:p>
        </c:rich>
      </c:tx>
      <c:overlay val="0"/>
    </c:title>
    <c:autoTitleDeleted val="0"/>
    <c:plotArea>
      <c:layout/>
      <c:barChart>
        <c:barDir val="col"/>
        <c:grouping val="clustered"/>
        <c:varyColors val="0"/>
        <c:ser>
          <c:idx val="0"/>
          <c:order val="0"/>
          <c:tx>
            <c:v>p-value</c:v>
          </c:tx>
          <c:invertIfNegative val="0"/>
          <c:dPt>
            <c:idx val="0"/>
            <c:invertIfNegative val="0"/>
            <c:bubble3D val="0"/>
            <c:spPr>
              <a:solidFill>
                <a:srgbClr val="B4B4B4"/>
              </a:solidFill>
            </c:spPr>
            <c:extLst>
              <c:ext xmlns:c16="http://schemas.microsoft.com/office/drawing/2014/chart" uri="{C3380CC4-5D6E-409C-BE32-E72D297353CC}">
                <c16:uniqueId val="{00000008-220A-4D52-ABFB-F306C0394B35}"/>
              </c:ext>
            </c:extLst>
          </c:dPt>
          <c:dPt>
            <c:idx val="1"/>
            <c:invertIfNegative val="0"/>
            <c:bubble3D val="0"/>
            <c:spPr>
              <a:solidFill>
                <a:srgbClr val="2C8244"/>
              </a:solidFill>
            </c:spPr>
            <c:extLst>
              <c:ext xmlns:c16="http://schemas.microsoft.com/office/drawing/2014/chart" uri="{C3380CC4-5D6E-409C-BE32-E72D297353CC}">
                <c16:uniqueId val="{00000009-220A-4D52-ABFB-F306C0394B35}"/>
              </c:ext>
            </c:extLst>
          </c:dPt>
          <c:dPt>
            <c:idx val="2"/>
            <c:invertIfNegative val="0"/>
            <c:bubble3D val="0"/>
            <c:spPr>
              <a:solidFill>
                <a:srgbClr val="2C8244"/>
              </a:solidFill>
            </c:spPr>
            <c:extLst>
              <c:ext xmlns:c16="http://schemas.microsoft.com/office/drawing/2014/chart" uri="{C3380CC4-5D6E-409C-BE32-E72D297353CC}">
                <c16:uniqueId val="{0000000A-220A-4D52-ABFB-F306C0394B35}"/>
              </c:ext>
            </c:extLst>
          </c:dPt>
          <c:dPt>
            <c:idx val="3"/>
            <c:invertIfNegative val="0"/>
            <c:bubble3D val="0"/>
            <c:spPr>
              <a:solidFill>
                <a:srgbClr val="2C8244"/>
              </a:solidFill>
            </c:spPr>
            <c:extLst>
              <c:ext xmlns:c16="http://schemas.microsoft.com/office/drawing/2014/chart" uri="{C3380CC4-5D6E-409C-BE32-E72D297353CC}">
                <c16:uniqueId val="{0000000B-220A-4D52-ABFB-F306C0394B35}"/>
              </c:ext>
            </c:extLst>
          </c:dPt>
          <c:dPt>
            <c:idx val="4"/>
            <c:invertIfNegative val="0"/>
            <c:bubble3D val="0"/>
            <c:spPr>
              <a:solidFill>
                <a:srgbClr val="B4B4B4"/>
              </a:solidFill>
            </c:spPr>
            <c:extLst>
              <c:ext xmlns:c16="http://schemas.microsoft.com/office/drawing/2014/chart" uri="{C3380CC4-5D6E-409C-BE32-E72D297353CC}">
                <c16:uniqueId val="{0000000C-220A-4D52-ABFB-F306C0394B35}"/>
              </c:ext>
            </c:extLst>
          </c:dPt>
          <c:dPt>
            <c:idx val="5"/>
            <c:invertIfNegative val="0"/>
            <c:bubble3D val="0"/>
            <c:spPr>
              <a:solidFill>
                <a:srgbClr val="B4B4B4"/>
              </a:solidFill>
            </c:spPr>
            <c:extLst>
              <c:ext xmlns:c16="http://schemas.microsoft.com/office/drawing/2014/chart" uri="{C3380CC4-5D6E-409C-BE32-E72D297353CC}">
                <c16:uniqueId val="{0000000D-220A-4D52-ABFB-F306C0394B35}"/>
              </c:ext>
            </c:extLst>
          </c:dPt>
          <c:dLbls>
            <c:numFmt formatCode="0\.000" sourceLinked="0"/>
            <c:spPr>
              <a:noFill/>
              <a:ln>
                <a:noFill/>
              </a:ln>
              <a:effectLst/>
            </c:spPr>
            <c:txPr>
              <a:bodyPr wrap="square" lIns="38100" tIns="19050" rIns="38100" bIns="19050" anchor="ctr">
                <a:spAutoFit/>
              </a:bodyPr>
              <a:lstStyle/>
              <a:p>
                <a:pPr>
                  <a:defRPr sz="900" b="1"/>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'5.3_HYPOTHESES'!$A$31:$A$36</c:f>
              <c:strCache>
                <c:ptCount val="6"/>
                <c:pt idx="0">
                  <c:v>H1: SUP → Q1</c:v>
                </c:pt>
                <c:pt idx="1">
                  <c:v>H2: SFU → Q1</c:v>
                </c:pt>
                <c:pt idx="2">
                  <c:v>H3a: SRP → Q17</c:v>
                </c:pt>
                <c:pt idx="3">
                  <c:v>h3a-2: SRP → Q1</c:v>
                </c:pt>
                <c:pt idx="4">
                  <c:v>H4b-1: SMF → SS</c:v>
                </c:pt>
                <c:pt idx="5">
                  <c:v>H4b-2: SRP → SS</c:v>
                </c:pt>
              </c:strCache>
            </c:strRef>
          </c:cat>
          <c:val>
            <c:numRef>
              <c:f>'5.3_HYPOTHESES'!$G$31:$G$36</c:f>
              <c:numCache>
                <c:formatCode>0.0000</c:formatCode>
                <c:ptCount val="6"/>
                <c:pt idx="0">
                  <c:v>0.17417627109125927</c:v>
                </c:pt>
                <c:pt idx="1">
                  <c:v>7.3005317475038451E-3</c:v>
                </c:pt>
                <c:pt idx="2">
                  <c:v>1.0814038085717938E-2</c:v>
                </c:pt>
                <c:pt idx="3">
                  <c:v>6.0018256687192705E-2</c:v>
                </c:pt>
                <c:pt idx="4">
                  <c:v>0.12441185721232748</c:v>
                </c:pt>
                <c:pt idx="5">
                  <c:v>0.36424451291437565</c:v>
                </c:pt>
              </c:numCache>
            </c:numRef>
          </c:val>
          <c:extLst>
            <c:ext xmlns:c16="http://schemas.microsoft.com/office/drawing/2014/chart" uri="{C3380CC4-5D6E-409C-BE32-E72D297353CC}">
              <c16:uniqueId val="{00000007-220A-4D52-ABFB-F306C0394B35}"/>
            </c:ext>
          </c:extLst>
        </c:ser>
        <c:dLbls>
          <c:showLegendKey val="0"/>
          <c:showVal val="0"/>
          <c:showCatName val="0"/>
          <c:showSerName val="0"/>
          <c:showPercent val="0"/>
          <c:showBubbleSize val="0"/>
        </c:dLbls>
        <c:gapWidth val="150"/>
        <c:axId val="2061919935"/>
        <c:axId val="2105742255"/>
      </c:barChart>
      <c:lineChart>
        <c:grouping val="standard"/>
        <c:varyColors val="0"/>
        <c:ser>
          <c:idx val="1"/>
          <c:order val="1"/>
          <c:tx>
            <c:v>Seuil 0,05</c:v>
          </c:tx>
          <c:spPr>
            <a:ln w="25400">
              <a:solidFill>
                <a:srgbClr val="FF0000"/>
              </a:solidFill>
              <a:prstDash val="lgDash"/>
            </a:ln>
          </c:spPr>
          <c:marker>
            <c:symbol val="none"/>
          </c:marker>
          <c:cat>
            <c:strRef>
              <c:f>'5.3_HYPOTHESES'!$A$31:$A$36</c:f>
              <c:strCache>
                <c:ptCount val="6"/>
                <c:pt idx="0">
                  <c:v>H1: SUP → Q1</c:v>
                </c:pt>
                <c:pt idx="1">
                  <c:v>H2: SFU → Q1</c:v>
                </c:pt>
                <c:pt idx="2">
                  <c:v>H3a: SRP → Q17</c:v>
                </c:pt>
                <c:pt idx="3">
                  <c:v>h3a-2: SRP → Q1</c:v>
                </c:pt>
                <c:pt idx="4">
                  <c:v>H4b-1: SMF → SS</c:v>
                </c:pt>
                <c:pt idx="5">
                  <c:v>H4b-2: SRP → SS</c:v>
                </c:pt>
              </c:strCache>
            </c:strRef>
          </c:cat>
          <c:val>
            <c:numLit>
              <c:formatCode>General</c:formatCode>
              <c:ptCount val="6"/>
              <c:pt idx="0">
                <c:v>0.05</c:v>
              </c:pt>
              <c:pt idx="1">
                <c:v>0.05</c:v>
              </c:pt>
              <c:pt idx="2">
                <c:v>0.05</c:v>
              </c:pt>
              <c:pt idx="3">
                <c:v>0.05</c:v>
              </c:pt>
              <c:pt idx="4">
                <c:v>0.05</c:v>
              </c:pt>
              <c:pt idx="5">
                <c:v>0.05</c:v>
              </c:pt>
            </c:numLit>
          </c:val>
          <c:smooth val="0"/>
          <c:extLst>
            <c:ext xmlns:c16="http://schemas.microsoft.com/office/drawing/2014/chart" uri="{C3380CC4-5D6E-409C-BE32-E72D297353CC}">
              <c16:uniqueId val="{0000000E-220A-4D52-ABFB-F306C0394B35}"/>
            </c:ext>
          </c:extLst>
        </c:ser>
        <c:dLbls>
          <c:showLegendKey val="0"/>
          <c:showVal val="0"/>
          <c:showCatName val="0"/>
          <c:showSerName val="0"/>
          <c:showPercent val="0"/>
          <c:showBubbleSize val="0"/>
        </c:dLbls>
        <c:marker val="1"/>
        <c:smooth val="0"/>
        <c:axId val="2061919935"/>
        <c:axId val="2105742255"/>
      </c:lineChart>
      <c:catAx>
        <c:axId val="2061919935"/>
        <c:scaling>
          <c:orientation val="minMax"/>
        </c:scaling>
        <c:delete val="0"/>
        <c:axPos val="b"/>
        <c:numFmt formatCode="General" sourceLinked="1"/>
        <c:majorTickMark val="out"/>
        <c:minorTickMark val="none"/>
        <c:tickLblPos val="nextTo"/>
        <c:crossAx val="2105742255"/>
        <c:crosses val="autoZero"/>
        <c:auto val="1"/>
        <c:lblAlgn val="ctr"/>
        <c:lblOffset val="100"/>
        <c:noMultiLvlLbl val="0"/>
      </c:catAx>
      <c:valAx>
        <c:axId val="2105742255"/>
        <c:scaling>
          <c:orientation val="minMax"/>
        </c:scaling>
        <c:delete val="0"/>
        <c:axPos val="l"/>
        <c:majorGridlines/>
        <c:numFmt formatCode="0.0000" sourceLinked="1"/>
        <c:majorTickMark val="out"/>
        <c:minorTickMark val="none"/>
        <c:tickLblPos val="nextTo"/>
        <c:crossAx val="2061919935"/>
        <c:crosses val="autoZero"/>
        <c:crossBetween val="between"/>
      </c:valAx>
      <c:spPr>
        <a:solidFill>
          <a:srgbClr val="F5FAFF"/>
        </a:solidFill>
      </c:spPr>
    </c:plotArea>
    <c:legend>
      <c:legendPos val="r"/>
      <c:overlay val="0"/>
      <c:txPr>
        <a:bodyPr/>
        <a:lstStyle/>
        <a:p>
          <a:pPr>
            <a:defRPr sz="800"/>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ln>
      <a:solidFill>
        <a:srgbClr val="B4D2F0"/>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1F4E79"/>
                </a:solidFill>
              </a:defRPr>
            </a:pPr>
            <a:r>
              <a:rPr lang="fr-FR"/>
              <a:t>H2: SFU -&gt; Q1  (rho=0,293 ; p=0,016)</a:t>
            </a:r>
          </a:p>
        </c:rich>
      </c:tx>
      <c:overlay val="0"/>
    </c:title>
    <c:autoTitleDeleted val="0"/>
    <c:plotArea>
      <c:layout/>
      <c:scatterChart>
        <c:scatterStyle val="lineMarker"/>
        <c:varyColors val="0"/>
        <c:ser>
          <c:idx val="0"/>
          <c:order val="0"/>
          <c:tx>
            <c:v>Observations</c:v>
          </c:tx>
          <c:spPr>
            <a:ln w="28575">
              <a:noFill/>
            </a:ln>
          </c:spPr>
          <c:marker>
            <c:symbol val="circle"/>
            <c:size val="5"/>
            <c:spPr>
              <a:solidFill>
                <a:srgbClr val="1F77B4"/>
              </a:solidFill>
              <a:ln>
                <a:solidFill>
                  <a:srgbClr val="1F77B4"/>
                </a:solidFill>
                <a:prstDash val="solid"/>
              </a:ln>
            </c:spPr>
          </c:marker>
          <c:trendline>
            <c:spPr>
              <a:ln w="25400">
                <a:solidFill>
                  <a:srgbClr val="FF0000"/>
                </a:solidFill>
                <a:prstDash val="solid"/>
              </a:ln>
            </c:spPr>
            <c:trendlineType val="linear"/>
            <c:dispRSqr val="0"/>
            <c:dispEq val="0"/>
          </c:trendline>
          <c:xVal>
            <c:strRef>
              <c:f>'5.3_HYPOTHESES'!$P$2:$P$1001</c:f>
              <c:strCache>
                <c:ptCount val="67"/>
                <c:pt idx="0">
                  <c:v>5,3333</c:v>
                </c:pt>
                <c:pt idx="1">
                  <c:v>5</c:v>
                </c:pt>
                <c:pt idx="2">
                  <c:v>3</c:v>
                </c:pt>
                <c:pt idx="3">
                  <c:v>5,3333</c:v>
                </c:pt>
                <c:pt idx="4">
                  <c:v>5,6667</c:v>
                </c:pt>
                <c:pt idx="5">
                  <c:v>4,3333</c:v>
                </c:pt>
                <c:pt idx="6">
                  <c:v>3,6667</c:v>
                </c:pt>
                <c:pt idx="7">
                  <c:v>5,3333</c:v>
                </c:pt>
                <c:pt idx="8">
                  <c:v>6</c:v>
                </c:pt>
                <c:pt idx="9">
                  <c:v>5,6667</c:v>
                </c:pt>
                <c:pt idx="10">
                  <c:v>5,3333</c:v>
                </c:pt>
                <c:pt idx="11">
                  <c:v>6,6667</c:v>
                </c:pt>
                <c:pt idx="12">
                  <c:v>6,3333</c:v>
                </c:pt>
                <c:pt idx="13">
                  <c:v>3,6667</c:v>
                </c:pt>
                <c:pt idx="14">
                  <c:v>5,6667</c:v>
                </c:pt>
                <c:pt idx="15">
                  <c:v>4</c:v>
                </c:pt>
                <c:pt idx="16">
                  <c:v>2,6667</c:v>
                </c:pt>
                <c:pt idx="17">
                  <c:v>6</c:v>
                </c:pt>
                <c:pt idx="18">
                  <c:v>6,3333</c:v>
                </c:pt>
                <c:pt idx="19">
                  <c:v>4,6667</c:v>
                </c:pt>
                <c:pt idx="20">
                  <c:v>4,3333</c:v>
                </c:pt>
                <c:pt idx="21">
                  <c:v>5,6667</c:v>
                </c:pt>
                <c:pt idx="22">
                  <c:v>5,3333</c:v>
                </c:pt>
                <c:pt idx="23">
                  <c:v>5,6667</c:v>
                </c:pt>
                <c:pt idx="24">
                  <c:v>3,3333</c:v>
                </c:pt>
                <c:pt idx="25">
                  <c:v>5,3333</c:v>
                </c:pt>
                <c:pt idx="26">
                  <c:v>3</c:v>
                </c:pt>
                <c:pt idx="27">
                  <c:v>4,3333</c:v>
                </c:pt>
                <c:pt idx="28">
                  <c:v>5,3333</c:v>
                </c:pt>
                <c:pt idx="29">
                  <c:v>4,6667</c:v>
                </c:pt>
                <c:pt idx="30">
                  <c:v>5,3333</c:v>
                </c:pt>
                <c:pt idx="31">
                  <c:v>5,6667</c:v>
                </c:pt>
                <c:pt idx="32">
                  <c:v>4,6667</c:v>
                </c:pt>
                <c:pt idx="33">
                  <c:v>4,6667</c:v>
                </c:pt>
                <c:pt idx="34">
                  <c:v>4,6667</c:v>
                </c:pt>
                <c:pt idx="35">
                  <c:v>4,3333</c:v>
                </c:pt>
                <c:pt idx="36">
                  <c:v>3,6667</c:v>
                </c:pt>
                <c:pt idx="37">
                  <c:v>4,3333</c:v>
                </c:pt>
                <c:pt idx="38">
                  <c:v>4</c:v>
                </c:pt>
                <c:pt idx="39">
                  <c:v>3,6667</c:v>
                </c:pt>
                <c:pt idx="40">
                  <c:v>4</c:v>
                </c:pt>
                <c:pt idx="41">
                  <c:v>5</c:v>
                </c:pt>
                <c:pt idx="42">
                  <c:v>4</c:v>
                </c:pt>
                <c:pt idx="43">
                  <c:v>4</c:v>
                </c:pt>
                <c:pt idx="44">
                  <c:v>4,6667</c:v>
                </c:pt>
                <c:pt idx="45">
                  <c:v>5,3333</c:v>
                </c:pt>
                <c:pt idx="46">
                  <c:v>5,6667</c:v>
                </c:pt>
                <c:pt idx="47">
                  <c:v>4,3333</c:v>
                </c:pt>
                <c:pt idx="48">
                  <c:v>4,3333</c:v>
                </c:pt>
                <c:pt idx="49">
                  <c:v>4,3333</c:v>
                </c:pt>
                <c:pt idx="50">
                  <c:v>5,6667</c:v>
                </c:pt>
                <c:pt idx="51">
                  <c:v>6,6667</c:v>
                </c:pt>
                <c:pt idx="52">
                  <c:v>4,3333</c:v>
                </c:pt>
                <c:pt idx="53">
                  <c:v>6,3333</c:v>
                </c:pt>
                <c:pt idx="54">
                  <c:v>4,6667</c:v>
                </c:pt>
                <c:pt idx="55">
                  <c:v>4,6667</c:v>
                </c:pt>
                <c:pt idx="56">
                  <c:v>4,3333</c:v>
                </c:pt>
                <c:pt idx="57">
                  <c:v>4,3333</c:v>
                </c:pt>
                <c:pt idx="58">
                  <c:v>5,6667</c:v>
                </c:pt>
                <c:pt idx="59">
                  <c:v>3</c:v>
                </c:pt>
                <c:pt idx="60">
                  <c:v>5,3333</c:v>
                </c:pt>
                <c:pt idx="61">
                  <c:v>2,6667</c:v>
                </c:pt>
                <c:pt idx="62">
                  <c:v>4</c:v>
                </c:pt>
                <c:pt idx="63">
                  <c:v>4,6667</c:v>
                </c:pt>
                <c:pt idx="64">
                  <c:v>4,6667</c:v>
                </c:pt>
                <c:pt idx="65">
                  <c:v>4</c:v>
                </c:pt>
                <c:pt idx="66">
                  <c:v>6</c:v>
                </c:pt>
              </c:strCache>
            </c:strRef>
          </c:xVal>
          <c:yVal>
            <c:numRef>
              <c:f>'5.3_HYPOTHESES'!$Q$2:$Q$1001</c:f>
              <c:numCache>
                <c:formatCode>General</c:formatCode>
                <c:ptCount val="1000"/>
                <c:pt idx="0">
                  <c:v>3</c:v>
                </c:pt>
                <c:pt idx="1">
                  <c:v>5</c:v>
                </c:pt>
                <c:pt idx="2">
                  <c:v>5</c:v>
                </c:pt>
                <c:pt idx="3">
                  <c:v>7</c:v>
                </c:pt>
                <c:pt idx="4">
                  <c:v>5</c:v>
                </c:pt>
                <c:pt idx="5">
                  <c:v>5</c:v>
                </c:pt>
                <c:pt idx="6">
                  <c:v>3</c:v>
                </c:pt>
                <c:pt idx="7">
                  <c:v>3</c:v>
                </c:pt>
                <c:pt idx="8">
                  <c:v>4</c:v>
                </c:pt>
                <c:pt idx="9">
                  <c:v>4</c:v>
                </c:pt>
                <c:pt idx="10">
                  <c:v>7</c:v>
                </c:pt>
                <c:pt idx="11">
                  <c:v>7</c:v>
                </c:pt>
                <c:pt idx="12">
                  <c:v>6</c:v>
                </c:pt>
                <c:pt idx="13">
                  <c:v>3</c:v>
                </c:pt>
                <c:pt idx="14">
                  <c:v>7</c:v>
                </c:pt>
                <c:pt idx="15">
                  <c:v>5</c:v>
                </c:pt>
                <c:pt idx="16">
                  <c:v>4</c:v>
                </c:pt>
                <c:pt idx="17">
                  <c:v>5</c:v>
                </c:pt>
                <c:pt idx="18">
                  <c:v>7</c:v>
                </c:pt>
                <c:pt idx="19">
                  <c:v>3</c:v>
                </c:pt>
                <c:pt idx="20">
                  <c:v>2</c:v>
                </c:pt>
                <c:pt idx="21">
                  <c:v>7</c:v>
                </c:pt>
                <c:pt idx="22">
                  <c:v>5</c:v>
                </c:pt>
                <c:pt idx="23">
                  <c:v>7</c:v>
                </c:pt>
                <c:pt idx="24">
                  <c:v>5</c:v>
                </c:pt>
                <c:pt idx="25">
                  <c:v>2</c:v>
                </c:pt>
                <c:pt idx="26">
                  <c:v>2</c:v>
                </c:pt>
                <c:pt idx="27">
                  <c:v>6</c:v>
                </c:pt>
                <c:pt idx="28">
                  <c:v>7</c:v>
                </c:pt>
                <c:pt idx="29">
                  <c:v>6</c:v>
                </c:pt>
                <c:pt idx="30">
                  <c:v>4</c:v>
                </c:pt>
                <c:pt idx="31">
                  <c:v>7</c:v>
                </c:pt>
                <c:pt idx="32">
                  <c:v>5</c:v>
                </c:pt>
                <c:pt idx="33">
                  <c:v>5</c:v>
                </c:pt>
                <c:pt idx="34">
                  <c:v>5</c:v>
                </c:pt>
                <c:pt idx="35">
                  <c:v>4</c:v>
                </c:pt>
                <c:pt idx="36">
                  <c:v>5</c:v>
                </c:pt>
                <c:pt idx="37">
                  <c:v>6</c:v>
                </c:pt>
                <c:pt idx="38">
                  <c:v>4</c:v>
                </c:pt>
                <c:pt idx="39">
                  <c:v>5</c:v>
                </c:pt>
                <c:pt idx="40">
                  <c:v>7</c:v>
                </c:pt>
                <c:pt idx="41">
                  <c:v>5</c:v>
                </c:pt>
                <c:pt idx="42">
                  <c:v>5</c:v>
                </c:pt>
                <c:pt idx="43">
                  <c:v>6</c:v>
                </c:pt>
                <c:pt idx="44">
                  <c:v>6</c:v>
                </c:pt>
                <c:pt idx="45">
                  <c:v>4</c:v>
                </c:pt>
                <c:pt idx="46">
                  <c:v>5</c:v>
                </c:pt>
                <c:pt idx="47">
                  <c:v>5</c:v>
                </c:pt>
                <c:pt idx="48">
                  <c:v>5</c:v>
                </c:pt>
                <c:pt idx="49">
                  <c:v>5</c:v>
                </c:pt>
                <c:pt idx="50">
                  <c:v>4</c:v>
                </c:pt>
                <c:pt idx="51">
                  <c:v>7</c:v>
                </c:pt>
                <c:pt idx="52">
                  <c:v>7</c:v>
                </c:pt>
                <c:pt idx="53">
                  <c:v>5</c:v>
                </c:pt>
                <c:pt idx="54">
                  <c:v>5</c:v>
                </c:pt>
                <c:pt idx="55">
                  <c:v>6</c:v>
                </c:pt>
                <c:pt idx="56">
                  <c:v>5</c:v>
                </c:pt>
                <c:pt idx="57">
                  <c:v>4</c:v>
                </c:pt>
                <c:pt idx="58">
                  <c:v>6</c:v>
                </c:pt>
                <c:pt idx="59">
                  <c:v>5</c:v>
                </c:pt>
                <c:pt idx="60">
                  <c:v>4</c:v>
                </c:pt>
                <c:pt idx="61">
                  <c:v>5</c:v>
                </c:pt>
                <c:pt idx="62">
                  <c:v>3</c:v>
                </c:pt>
                <c:pt idx="63">
                  <c:v>5</c:v>
                </c:pt>
                <c:pt idx="64">
                  <c:v>5</c:v>
                </c:pt>
                <c:pt idx="65">
                  <c:v>4</c:v>
                </c:pt>
                <c:pt idx="66">
                  <c:v>6</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numCache>
            </c:numRef>
          </c:yVal>
          <c:smooth val="0"/>
          <c:extLst>
            <c:ext xmlns:c16="http://schemas.microsoft.com/office/drawing/2014/chart" uri="{C3380CC4-5D6E-409C-BE32-E72D297353CC}">
              <c16:uniqueId val="{00000007-981E-48C1-BBEC-0BB33CECF213}"/>
            </c:ext>
          </c:extLst>
        </c:ser>
        <c:dLbls>
          <c:showLegendKey val="0"/>
          <c:showVal val="0"/>
          <c:showCatName val="0"/>
          <c:showSerName val="0"/>
          <c:showPercent val="0"/>
          <c:showBubbleSize val="0"/>
        </c:dLbls>
        <c:axId val="2105742735"/>
        <c:axId val="2105743215"/>
      </c:scatterChart>
      <c:valAx>
        <c:axId val="2105742735"/>
        <c:scaling>
          <c:orientation val="minMax"/>
        </c:scaling>
        <c:delete val="0"/>
        <c:axPos val="b"/>
        <c:title>
          <c:tx>
            <c:rich>
              <a:bodyPr/>
              <a:lstStyle/>
              <a:p>
                <a:pPr>
                  <a:defRPr/>
                </a:pPr>
                <a:r>
                  <a:rPr lang="fr-FR"/>
                  <a:t>SFU</a:t>
                </a:r>
              </a:p>
            </c:rich>
          </c:tx>
          <c:overlay val="0"/>
        </c:title>
        <c:majorTickMark val="out"/>
        <c:minorTickMark val="none"/>
        <c:tickLblPos val="nextTo"/>
        <c:crossAx val="2105743215"/>
        <c:crosses val="autoZero"/>
        <c:crossBetween val="midCat"/>
      </c:valAx>
      <c:valAx>
        <c:axId val="2105743215"/>
        <c:scaling>
          <c:orientation val="minMax"/>
        </c:scaling>
        <c:delete val="0"/>
        <c:axPos val="l"/>
        <c:majorGridlines/>
        <c:title>
          <c:tx>
            <c:rich>
              <a:bodyPr/>
              <a:lstStyle/>
              <a:p>
                <a:pPr>
                  <a:defRPr/>
                </a:pPr>
                <a:r>
                  <a:rPr lang="fr-FR"/>
                  <a:t>Q1 (frequence)</a:t>
                </a:r>
              </a:p>
            </c:rich>
          </c:tx>
          <c:overlay val="0"/>
        </c:title>
        <c:numFmt formatCode="General" sourceLinked="1"/>
        <c:majorTickMark val="out"/>
        <c:minorTickMark val="none"/>
        <c:tickLblPos val="nextTo"/>
        <c:crossAx val="2105742735"/>
        <c:crosses val="autoZero"/>
        <c:crossBetween val="midCat"/>
      </c:valAx>
      <c:spPr>
        <a:solidFill>
          <a:srgbClr val="F5FA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solidFill>
        <a:srgbClr val="B4D2F0"/>
      </a:solid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1F4E79"/>
                </a:solidFill>
              </a:defRPr>
            </a:pPr>
            <a:r>
              <a:rPr lang="fr-FR"/>
              <a:t>H3a: SRP -&gt; Q17  (rho=0,283 ; p=0,020)</a:t>
            </a:r>
          </a:p>
        </c:rich>
      </c:tx>
      <c:layout>
        <c:manualLayout>
          <c:xMode val="edge"/>
          <c:yMode val="edge"/>
          <c:x val="0.20400503157091643"/>
          <c:y val="3.726510786524849E-2"/>
        </c:manualLayout>
      </c:layout>
      <c:overlay val="0"/>
    </c:title>
    <c:autoTitleDeleted val="0"/>
    <c:plotArea>
      <c:layout>
        <c:manualLayout>
          <c:layoutTarget val="inner"/>
          <c:xMode val="edge"/>
          <c:yMode val="edge"/>
          <c:x val="0.15001620822029246"/>
          <c:y val="0.15421819048848193"/>
          <c:w val="0.79265416489462415"/>
          <c:h val="0.63623762535063177"/>
        </c:manualLayout>
      </c:layout>
      <c:scatterChart>
        <c:scatterStyle val="lineMarker"/>
        <c:varyColors val="0"/>
        <c:ser>
          <c:idx val="0"/>
          <c:order val="0"/>
          <c:tx>
            <c:v>Observations</c:v>
          </c:tx>
          <c:spPr>
            <a:ln w="28575">
              <a:noFill/>
            </a:ln>
          </c:spPr>
          <c:marker>
            <c:symbol val="circle"/>
            <c:size val="5"/>
            <c:spPr>
              <a:solidFill>
                <a:srgbClr val="CD5C5C"/>
              </a:solidFill>
              <a:ln>
                <a:solidFill>
                  <a:srgbClr val="CD5C5C"/>
                </a:solidFill>
                <a:prstDash val="solid"/>
              </a:ln>
            </c:spPr>
          </c:marker>
          <c:trendline>
            <c:trendlineType val="linear"/>
            <c:dispRSqr val="0"/>
            <c:dispEq val="0"/>
          </c:trendline>
          <c:trendline>
            <c:trendlineType val="linear"/>
            <c:dispRSqr val="0"/>
            <c:dispEq val="0"/>
          </c:trendline>
          <c:trendline>
            <c:trendlineType val="linear"/>
            <c:dispRSqr val="0"/>
            <c:dispEq val="0"/>
          </c:trendline>
          <c:trendline>
            <c:trendlineType val="linear"/>
            <c:dispRSqr val="0"/>
            <c:dispEq val="0"/>
          </c:trendline>
          <c:trendline>
            <c:trendlineType val="linear"/>
            <c:dispRSqr val="0"/>
            <c:dispEq val="0"/>
          </c:trendline>
          <c:trendline>
            <c:trendlineType val="linear"/>
            <c:forward val="2"/>
            <c:dispRSqr val="0"/>
            <c:dispEq val="0"/>
          </c:trendline>
          <c:xVal>
            <c:strRef>
              <c:f>'5.3_HYPOTHESES'!$R$2:$R$1001</c:f>
              <c:strCache>
                <c:ptCount val="67"/>
                <c:pt idx="0">
                  <c:v>6,25</c:v>
                </c:pt>
                <c:pt idx="1">
                  <c:v>6,25</c:v>
                </c:pt>
                <c:pt idx="2">
                  <c:v>3,75</c:v>
                </c:pt>
                <c:pt idx="3">
                  <c:v>5,5</c:v>
                </c:pt>
                <c:pt idx="4">
                  <c:v>5,5</c:v>
                </c:pt>
                <c:pt idx="5">
                  <c:v>4</c:v>
                </c:pt>
                <c:pt idx="6">
                  <c:v>5,25</c:v>
                </c:pt>
                <c:pt idx="7">
                  <c:v>6</c:v>
                </c:pt>
                <c:pt idx="8">
                  <c:v>6,5</c:v>
                </c:pt>
                <c:pt idx="9">
                  <c:v>5,5</c:v>
                </c:pt>
                <c:pt idx="10">
                  <c:v>7</c:v>
                </c:pt>
                <c:pt idx="11">
                  <c:v>6,25</c:v>
                </c:pt>
                <c:pt idx="12">
                  <c:v>6</c:v>
                </c:pt>
                <c:pt idx="13">
                  <c:v>5,5</c:v>
                </c:pt>
                <c:pt idx="14">
                  <c:v>6</c:v>
                </c:pt>
                <c:pt idx="15">
                  <c:v>3,5</c:v>
                </c:pt>
                <c:pt idx="16">
                  <c:v>5,5</c:v>
                </c:pt>
                <c:pt idx="17">
                  <c:v>4,5</c:v>
                </c:pt>
                <c:pt idx="18">
                  <c:v>5,5</c:v>
                </c:pt>
                <c:pt idx="19">
                  <c:v>7</c:v>
                </c:pt>
                <c:pt idx="20">
                  <c:v>5,5</c:v>
                </c:pt>
                <c:pt idx="21">
                  <c:v>3,5</c:v>
                </c:pt>
                <c:pt idx="22">
                  <c:v>5,25</c:v>
                </c:pt>
                <c:pt idx="23">
                  <c:v>5,75</c:v>
                </c:pt>
                <c:pt idx="24">
                  <c:v>4,5</c:v>
                </c:pt>
                <c:pt idx="25">
                  <c:v>4,5</c:v>
                </c:pt>
                <c:pt idx="26">
                  <c:v>6,5</c:v>
                </c:pt>
                <c:pt idx="27">
                  <c:v>4,75</c:v>
                </c:pt>
                <c:pt idx="28">
                  <c:v>5,25</c:v>
                </c:pt>
                <c:pt idx="29">
                  <c:v>4,75</c:v>
                </c:pt>
                <c:pt idx="30">
                  <c:v>6,25</c:v>
                </c:pt>
                <c:pt idx="31">
                  <c:v>3,75</c:v>
                </c:pt>
                <c:pt idx="32">
                  <c:v>5,5</c:v>
                </c:pt>
                <c:pt idx="33">
                  <c:v>5,5</c:v>
                </c:pt>
                <c:pt idx="34">
                  <c:v>7</c:v>
                </c:pt>
                <c:pt idx="35">
                  <c:v>7</c:v>
                </c:pt>
                <c:pt idx="36">
                  <c:v>5,5</c:v>
                </c:pt>
                <c:pt idx="37">
                  <c:v>6,5</c:v>
                </c:pt>
                <c:pt idx="38">
                  <c:v>5,75</c:v>
                </c:pt>
                <c:pt idx="39">
                  <c:v>6,25</c:v>
                </c:pt>
                <c:pt idx="40">
                  <c:v>4,5</c:v>
                </c:pt>
                <c:pt idx="41">
                  <c:v>6,75</c:v>
                </c:pt>
                <c:pt idx="42">
                  <c:v>5,75</c:v>
                </c:pt>
                <c:pt idx="43">
                  <c:v>5,25</c:v>
                </c:pt>
                <c:pt idx="44">
                  <c:v>5,5</c:v>
                </c:pt>
                <c:pt idx="45">
                  <c:v>5,5</c:v>
                </c:pt>
                <c:pt idx="46">
                  <c:v>6</c:v>
                </c:pt>
                <c:pt idx="47">
                  <c:v>5,25</c:v>
                </c:pt>
                <c:pt idx="48">
                  <c:v>4,25</c:v>
                </c:pt>
                <c:pt idx="49">
                  <c:v>5,5</c:v>
                </c:pt>
                <c:pt idx="50">
                  <c:v>6,25</c:v>
                </c:pt>
                <c:pt idx="51">
                  <c:v>5,5</c:v>
                </c:pt>
                <c:pt idx="52">
                  <c:v>4,75</c:v>
                </c:pt>
                <c:pt idx="53">
                  <c:v>4,5</c:v>
                </c:pt>
                <c:pt idx="54">
                  <c:v>4,25</c:v>
                </c:pt>
                <c:pt idx="55">
                  <c:v>5,75</c:v>
                </c:pt>
                <c:pt idx="56">
                  <c:v>6,5</c:v>
                </c:pt>
                <c:pt idx="57">
                  <c:v>6,5</c:v>
                </c:pt>
                <c:pt idx="58">
                  <c:v>4,75</c:v>
                </c:pt>
                <c:pt idx="59">
                  <c:v>5,75</c:v>
                </c:pt>
                <c:pt idx="60">
                  <c:v>5,25</c:v>
                </c:pt>
                <c:pt idx="61">
                  <c:v>7</c:v>
                </c:pt>
                <c:pt idx="62">
                  <c:v>6,5</c:v>
                </c:pt>
                <c:pt idx="63">
                  <c:v>5,25</c:v>
                </c:pt>
                <c:pt idx="64">
                  <c:v>6</c:v>
                </c:pt>
                <c:pt idx="65">
                  <c:v>5,5</c:v>
                </c:pt>
                <c:pt idx="66">
                  <c:v>6,25</c:v>
                </c:pt>
              </c:strCache>
            </c:strRef>
          </c:xVal>
          <c:yVal>
            <c:numRef>
              <c:f>'5.3_HYPOTHESES'!$S$2:$S$1001</c:f>
              <c:numCache>
                <c:formatCode>General</c:formatCode>
                <c:ptCount val="1000"/>
                <c:pt idx="0">
                  <c:v>4</c:v>
                </c:pt>
                <c:pt idx="1">
                  <c:v>4</c:v>
                </c:pt>
                <c:pt idx="2">
                  <c:v>5</c:v>
                </c:pt>
                <c:pt idx="3">
                  <c:v>4</c:v>
                </c:pt>
                <c:pt idx="4">
                  <c:v>6</c:v>
                </c:pt>
                <c:pt idx="5">
                  <c:v>4</c:v>
                </c:pt>
                <c:pt idx="6">
                  <c:v>6</c:v>
                </c:pt>
                <c:pt idx="7">
                  <c:v>6</c:v>
                </c:pt>
                <c:pt idx="8">
                  <c:v>5</c:v>
                </c:pt>
                <c:pt idx="9">
                  <c:v>6</c:v>
                </c:pt>
                <c:pt idx="10">
                  <c:v>4</c:v>
                </c:pt>
                <c:pt idx="11">
                  <c:v>1</c:v>
                </c:pt>
                <c:pt idx="12">
                  <c:v>4</c:v>
                </c:pt>
                <c:pt idx="13">
                  <c:v>4</c:v>
                </c:pt>
                <c:pt idx="14">
                  <c:v>5</c:v>
                </c:pt>
                <c:pt idx="15">
                  <c:v>2</c:v>
                </c:pt>
                <c:pt idx="16">
                  <c:v>6</c:v>
                </c:pt>
                <c:pt idx="17">
                  <c:v>1</c:v>
                </c:pt>
                <c:pt idx="18">
                  <c:v>7</c:v>
                </c:pt>
                <c:pt idx="19">
                  <c:v>7</c:v>
                </c:pt>
                <c:pt idx="20">
                  <c:v>4</c:v>
                </c:pt>
                <c:pt idx="21">
                  <c:v>4</c:v>
                </c:pt>
                <c:pt idx="22">
                  <c:v>6</c:v>
                </c:pt>
                <c:pt idx="23">
                  <c:v>2</c:v>
                </c:pt>
                <c:pt idx="24">
                  <c:v>5</c:v>
                </c:pt>
                <c:pt idx="25">
                  <c:v>5</c:v>
                </c:pt>
                <c:pt idx="26">
                  <c:v>5</c:v>
                </c:pt>
                <c:pt idx="27">
                  <c:v>3</c:v>
                </c:pt>
                <c:pt idx="28">
                  <c:v>3</c:v>
                </c:pt>
                <c:pt idx="29">
                  <c:v>6</c:v>
                </c:pt>
                <c:pt idx="30">
                  <c:v>3</c:v>
                </c:pt>
                <c:pt idx="31">
                  <c:v>2</c:v>
                </c:pt>
                <c:pt idx="32">
                  <c:v>6</c:v>
                </c:pt>
                <c:pt idx="33">
                  <c:v>6</c:v>
                </c:pt>
                <c:pt idx="34">
                  <c:v>6</c:v>
                </c:pt>
                <c:pt idx="35">
                  <c:v>5</c:v>
                </c:pt>
                <c:pt idx="36">
                  <c:v>3</c:v>
                </c:pt>
                <c:pt idx="37">
                  <c:v>6</c:v>
                </c:pt>
                <c:pt idx="38">
                  <c:v>3</c:v>
                </c:pt>
                <c:pt idx="39">
                  <c:v>4</c:v>
                </c:pt>
                <c:pt idx="40">
                  <c:v>1</c:v>
                </c:pt>
                <c:pt idx="41">
                  <c:v>3</c:v>
                </c:pt>
                <c:pt idx="42">
                  <c:v>6</c:v>
                </c:pt>
                <c:pt idx="43">
                  <c:v>4</c:v>
                </c:pt>
                <c:pt idx="44">
                  <c:v>1</c:v>
                </c:pt>
                <c:pt idx="45">
                  <c:v>2</c:v>
                </c:pt>
                <c:pt idx="46">
                  <c:v>3</c:v>
                </c:pt>
                <c:pt idx="47">
                  <c:v>4</c:v>
                </c:pt>
                <c:pt idx="48">
                  <c:v>2</c:v>
                </c:pt>
                <c:pt idx="49">
                  <c:v>5</c:v>
                </c:pt>
                <c:pt idx="50">
                  <c:v>4</c:v>
                </c:pt>
                <c:pt idx="51">
                  <c:v>5</c:v>
                </c:pt>
                <c:pt idx="52">
                  <c:v>3</c:v>
                </c:pt>
                <c:pt idx="53">
                  <c:v>1</c:v>
                </c:pt>
                <c:pt idx="54">
                  <c:v>5</c:v>
                </c:pt>
                <c:pt idx="55">
                  <c:v>3</c:v>
                </c:pt>
                <c:pt idx="56">
                  <c:v>7</c:v>
                </c:pt>
                <c:pt idx="57">
                  <c:v>5</c:v>
                </c:pt>
                <c:pt idx="58">
                  <c:v>1</c:v>
                </c:pt>
                <c:pt idx="59">
                  <c:v>4</c:v>
                </c:pt>
                <c:pt idx="60">
                  <c:v>3</c:v>
                </c:pt>
                <c:pt idx="61">
                  <c:v>7</c:v>
                </c:pt>
                <c:pt idx="62">
                  <c:v>5</c:v>
                </c:pt>
                <c:pt idx="63">
                  <c:v>7</c:v>
                </c:pt>
                <c:pt idx="64">
                  <c:v>5</c:v>
                </c:pt>
                <c:pt idx="65">
                  <c:v>5</c:v>
                </c:pt>
                <c:pt idx="66">
                  <c:v>7</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numCache>
            </c:numRef>
          </c:yVal>
          <c:smooth val="0"/>
          <c:extLst>
            <c:ext xmlns:c16="http://schemas.microsoft.com/office/drawing/2014/chart" uri="{C3380CC4-5D6E-409C-BE32-E72D297353CC}">
              <c16:uniqueId val="{00000007-8DF0-4C19-88DF-82B9D99AD541}"/>
            </c:ext>
          </c:extLst>
        </c:ser>
        <c:dLbls>
          <c:showLegendKey val="0"/>
          <c:showVal val="0"/>
          <c:showCatName val="0"/>
          <c:showSerName val="0"/>
          <c:showPercent val="0"/>
          <c:showBubbleSize val="0"/>
        </c:dLbls>
        <c:axId val="867629312"/>
        <c:axId val="867630272"/>
      </c:scatterChart>
      <c:valAx>
        <c:axId val="867629312"/>
        <c:scaling>
          <c:orientation val="minMax"/>
        </c:scaling>
        <c:delete val="0"/>
        <c:axPos val="b"/>
        <c:title>
          <c:tx>
            <c:rich>
              <a:bodyPr/>
              <a:lstStyle/>
              <a:p>
                <a:pPr>
                  <a:defRPr/>
                </a:pPr>
                <a:r>
                  <a:rPr lang="fr-FR"/>
                  <a:t>SRP</a:t>
                </a:r>
              </a:p>
            </c:rich>
          </c:tx>
          <c:overlay val="0"/>
        </c:title>
        <c:majorTickMark val="out"/>
        <c:minorTickMark val="none"/>
        <c:tickLblPos val="nextTo"/>
        <c:crossAx val="867630272"/>
        <c:crosses val="autoZero"/>
        <c:crossBetween val="midCat"/>
      </c:valAx>
      <c:valAx>
        <c:axId val="867630272"/>
        <c:scaling>
          <c:orientation val="minMax"/>
        </c:scaling>
        <c:delete val="0"/>
        <c:axPos val="l"/>
        <c:majorGridlines/>
        <c:title>
          <c:tx>
            <c:rich>
              <a:bodyPr/>
              <a:lstStyle/>
              <a:p>
                <a:pPr>
                  <a:defRPr/>
                </a:pPr>
                <a:r>
                  <a:rPr lang="fr-FR"/>
                  <a:t>Q17</a:t>
                </a:r>
              </a:p>
            </c:rich>
          </c:tx>
          <c:overlay val="0"/>
        </c:title>
        <c:numFmt formatCode="General" sourceLinked="1"/>
        <c:majorTickMark val="out"/>
        <c:minorTickMark val="none"/>
        <c:tickLblPos val="nextTo"/>
        <c:crossAx val="867629312"/>
        <c:crosses val="autoZero"/>
        <c:crossBetween val="midCat"/>
      </c:valAx>
      <c:spPr>
        <a:solidFill>
          <a:srgbClr val="F5FA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solidFill>
        <a:srgbClr val="B4D2F0"/>
      </a:solid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1F4E79"/>
                </a:solidFill>
              </a:defRPr>
            </a:pPr>
            <a:r>
              <a:rPr lang="fr-FR"/>
              <a:t>H3b: SRP -&gt; Q1  (rho=-0,246 ; p=0,045)</a:t>
            </a:r>
          </a:p>
        </c:rich>
      </c:tx>
      <c:overlay val="0"/>
    </c:title>
    <c:autoTitleDeleted val="0"/>
    <c:plotArea>
      <c:layout/>
      <c:scatterChart>
        <c:scatterStyle val="lineMarker"/>
        <c:varyColors val="0"/>
        <c:ser>
          <c:idx val="0"/>
          <c:order val="0"/>
          <c:tx>
            <c:v>Observations</c:v>
          </c:tx>
          <c:spPr>
            <a:ln w="28575">
              <a:noFill/>
            </a:ln>
          </c:spPr>
          <c:marker>
            <c:symbol val="circle"/>
            <c:size val="5"/>
            <c:spPr>
              <a:solidFill>
                <a:srgbClr val="9400D3"/>
              </a:solidFill>
              <a:ln>
                <a:solidFill>
                  <a:srgbClr val="9400D3"/>
                </a:solidFill>
                <a:prstDash val="solid"/>
              </a:ln>
            </c:spPr>
          </c:marker>
          <c:trendline>
            <c:spPr>
              <a:ln w="25400">
                <a:solidFill>
                  <a:srgbClr val="FF6400"/>
                </a:solidFill>
                <a:prstDash val="solid"/>
              </a:ln>
            </c:spPr>
            <c:trendlineType val="linear"/>
            <c:dispRSqr val="0"/>
            <c:dispEq val="0"/>
          </c:trendline>
          <c:xVal>
            <c:strRef>
              <c:f>'5.3_HYPOTHESES'!$T$2:$T$1001</c:f>
              <c:strCache>
                <c:ptCount val="67"/>
                <c:pt idx="0">
                  <c:v>6,25</c:v>
                </c:pt>
                <c:pt idx="1">
                  <c:v>6,25</c:v>
                </c:pt>
                <c:pt idx="2">
                  <c:v>3,75</c:v>
                </c:pt>
                <c:pt idx="3">
                  <c:v>5,5</c:v>
                </c:pt>
                <c:pt idx="4">
                  <c:v>5,5</c:v>
                </c:pt>
                <c:pt idx="5">
                  <c:v>4</c:v>
                </c:pt>
                <c:pt idx="6">
                  <c:v>5,25</c:v>
                </c:pt>
                <c:pt idx="7">
                  <c:v>6</c:v>
                </c:pt>
                <c:pt idx="8">
                  <c:v>6,5</c:v>
                </c:pt>
                <c:pt idx="9">
                  <c:v>5,5</c:v>
                </c:pt>
                <c:pt idx="10">
                  <c:v>7</c:v>
                </c:pt>
                <c:pt idx="11">
                  <c:v>6,25</c:v>
                </c:pt>
                <c:pt idx="12">
                  <c:v>6</c:v>
                </c:pt>
                <c:pt idx="13">
                  <c:v>5,5</c:v>
                </c:pt>
                <c:pt idx="14">
                  <c:v>6</c:v>
                </c:pt>
                <c:pt idx="15">
                  <c:v>3,5</c:v>
                </c:pt>
                <c:pt idx="16">
                  <c:v>5,5</c:v>
                </c:pt>
                <c:pt idx="17">
                  <c:v>4,5</c:v>
                </c:pt>
                <c:pt idx="18">
                  <c:v>5,5</c:v>
                </c:pt>
                <c:pt idx="19">
                  <c:v>7</c:v>
                </c:pt>
                <c:pt idx="20">
                  <c:v>5,5</c:v>
                </c:pt>
                <c:pt idx="21">
                  <c:v>3,5</c:v>
                </c:pt>
                <c:pt idx="22">
                  <c:v>5,25</c:v>
                </c:pt>
                <c:pt idx="23">
                  <c:v>5,75</c:v>
                </c:pt>
                <c:pt idx="24">
                  <c:v>4,5</c:v>
                </c:pt>
                <c:pt idx="25">
                  <c:v>4,5</c:v>
                </c:pt>
                <c:pt idx="26">
                  <c:v>6,5</c:v>
                </c:pt>
                <c:pt idx="27">
                  <c:v>4,75</c:v>
                </c:pt>
                <c:pt idx="28">
                  <c:v>5,25</c:v>
                </c:pt>
                <c:pt idx="29">
                  <c:v>4,75</c:v>
                </c:pt>
                <c:pt idx="30">
                  <c:v>6,25</c:v>
                </c:pt>
                <c:pt idx="31">
                  <c:v>3,75</c:v>
                </c:pt>
                <c:pt idx="32">
                  <c:v>5,5</c:v>
                </c:pt>
                <c:pt idx="33">
                  <c:v>5,5</c:v>
                </c:pt>
                <c:pt idx="34">
                  <c:v>7</c:v>
                </c:pt>
                <c:pt idx="35">
                  <c:v>7</c:v>
                </c:pt>
                <c:pt idx="36">
                  <c:v>5,5</c:v>
                </c:pt>
                <c:pt idx="37">
                  <c:v>6,5</c:v>
                </c:pt>
                <c:pt idx="38">
                  <c:v>5,75</c:v>
                </c:pt>
                <c:pt idx="39">
                  <c:v>6,25</c:v>
                </c:pt>
                <c:pt idx="40">
                  <c:v>4,5</c:v>
                </c:pt>
                <c:pt idx="41">
                  <c:v>6,75</c:v>
                </c:pt>
                <c:pt idx="42">
                  <c:v>5,75</c:v>
                </c:pt>
                <c:pt idx="43">
                  <c:v>5,25</c:v>
                </c:pt>
                <c:pt idx="44">
                  <c:v>5,5</c:v>
                </c:pt>
                <c:pt idx="45">
                  <c:v>5,5</c:v>
                </c:pt>
                <c:pt idx="46">
                  <c:v>6</c:v>
                </c:pt>
                <c:pt idx="47">
                  <c:v>5,25</c:v>
                </c:pt>
                <c:pt idx="48">
                  <c:v>4,25</c:v>
                </c:pt>
                <c:pt idx="49">
                  <c:v>5,5</c:v>
                </c:pt>
                <c:pt idx="50">
                  <c:v>6,25</c:v>
                </c:pt>
                <c:pt idx="51">
                  <c:v>5,5</c:v>
                </c:pt>
                <c:pt idx="52">
                  <c:v>4,75</c:v>
                </c:pt>
                <c:pt idx="53">
                  <c:v>4,5</c:v>
                </c:pt>
                <c:pt idx="54">
                  <c:v>4,25</c:v>
                </c:pt>
                <c:pt idx="55">
                  <c:v>5,75</c:v>
                </c:pt>
                <c:pt idx="56">
                  <c:v>6,5</c:v>
                </c:pt>
                <c:pt idx="57">
                  <c:v>6,5</c:v>
                </c:pt>
                <c:pt idx="58">
                  <c:v>4,75</c:v>
                </c:pt>
                <c:pt idx="59">
                  <c:v>5,75</c:v>
                </c:pt>
                <c:pt idx="60">
                  <c:v>5,25</c:v>
                </c:pt>
                <c:pt idx="61">
                  <c:v>7</c:v>
                </c:pt>
                <c:pt idx="62">
                  <c:v>6,5</c:v>
                </c:pt>
                <c:pt idx="63">
                  <c:v>5,25</c:v>
                </c:pt>
                <c:pt idx="64">
                  <c:v>6</c:v>
                </c:pt>
                <c:pt idx="65">
                  <c:v>5,5</c:v>
                </c:pt>
                <c:pt idx="66">
                  <c:v>6,25</c:v>
                </c:pt>
              </c:strCache>
            </c:strRef>
          </c:xVal>
          <c:yVal>
            <c:numRef>
              <c:f>'5.3_HYPOTHESES'!$U$2:$U$1001</c:f>
              <c:numCache>
                <c:formatCode>General</c:formatCode>
                <c:ptCount val="1000"/>
                <c:pt idx="0">
                  <c:v>3</c:v>
                </c:pt>
                <c:pt idx="1">
                  <c:v>5</c:v>
                </c:pt>
                <c:pt idx="2">
                  <c:v>5</c:v>
                </c:pt>
                <c:pt idx="3">
                  <c:v>7</c:v>
                </c:pt>
                <c:pt idx="4">
                  <c:v>5</c:v>
                </c:pt>
                <c:pt idx="5">
                  <c:v>5</c:v>
                </c:pt>
                <c:pt idx="6">
                  <c:v>3</c:v>
                </c:pt>
                <c:pt idx="7">
                  <c:v>3</c:v>
                </c:pt>
                <c:pt idx="8">
                  <c:v>4</c:v>
                </c:pt>
                <c:pt idx="9">
                  <c:v>4</c:v>
                </c:pt>
                <c:pt idx="10">
                  <c:v>7</c:v>
                </c:pt>
                <c:pt idx="11">
                  <c:v>7</c:v>
                </c:pt>
                <c:pt idx="12">
                  <c:v>6</c:v>
                </c:pt>
                <c:pt idx="13">
                  <c:v>3</c:v>
                </c:pt>
                <c:pt idx="14">
                  <c:v>7</c:v>
                </c:pt>
                <c:pt idx="15">
                  <c:v>5</c:v>
                </c:pt>
                <c:pt idx="16">
                  <c:v>4</c:v>
                </c:pt>
                <c:pt idx="17">
                  <c:v>5</c:v>
                </c:pt>
                <c:pt idx="18">
                  <c:v>7</c:v>
                </c:pt>
                <c:pt idx="19">
                  <c:v>3</c:v>
                </c:pt>
                <c:pt idx="20">
                  <c:v>2</c:v>
                </c:pt>
                <c:pt idx="21">
                  <c:v>7</c:v>
                </c:pt>
                <c:pt idx="22">
                  <c:v>5</c:v>
                </c:pt>
                <c:pt idx="23">
                  <c:v>7</c:v>
                </c:pt>
                <c:pt idx="24">
                  <c:v>5</c:v>
                </c:pt>
                <c:pt idx="25">
                  <c:v>2</c:v>
                </c:pt>
                <c:pt idx="26">
                  <c:v>2</c:v>
                </c:pt>
                <c:pt idx="27">
                  <c:v>6</c:v>
                </c:pt>
                <c:pt idx="28">
                  <c:v>7</c:v>
                </c:pt>
                <c:pt idx="29">
                  <c:v>6</c:v>
                </c:pt>
                <c:pt idx="30">
                  <c:v>4</c:v>
                </c:pt>
                <c:pt idx="31">
                  <c:v>7</c:v>
                </c:pt>
                <c:pt idx="32">
                  <c:v>5</c:v>
                </c:pt>
                <c:pt idx="33">
                  <c:v>5</c:v>
                </c:pt>
                <c:pt idx="34">
                  <c:v>5</c:v>
                </c:pt>
                <c:pt idx="35">
                  <c:v>4</c:v>
                </c:pt>
                <c:pt idx="36">
                  <c:v>5</c:v>
                </c:pt>
                <c:pt idx="37">
                  <c:v>6</c:v>
                </c:pt>
                <c:pt idx="38">
                  <c:v>4</c:v>
                </c:pt>
                <c:pt idx="39">
                  <c:v>5</c:v>
                </c:pt>
                <c:pt idx="40">
                  <c:v>7</c:v>
                </c:pt>
                <c:pt idx="41">
                  <c:v>5</c:v>
                </c:pt>
                <c:pt idx="42">
                  <c:v>5</c:v>
                </c:pt>
                <c:pt idx="43">
                  <c:v>6</c:v>
                </c:pt>
                <c:pt idx="44">
                  <c:v>6</c:v>
                </c:pt>
                <c:pt idx="45">
                  <c:v>4</c:v>
                </c:pt>
                <c:pt idx="46">
                  <c:v>5</c:v>
                </c:pt>
                <c:pt idx="47">
                  <c:v>5</c:v>
                </c:pt>
                <c:pt idx="48">
                  <c:v>5</c:v>
                </c:pt>
                <c:pt idx="49">
                  <c:v>5</c:v>
                </c:pt>
                <c:pt idx="50">
                  <c:v>4</c:v>
                </c:pt>
                <c:pt idx="51">
                  <c:v>7</c:v>
                </c:pt>
                <c:pt idx="52">
                  <c:v>7</c:v>
                </c:pt>
                <c:pt idx="53">
                  <c:v>5</c:v>
                </c:pt>
                <c:pt idx="54">
                  <c:v>5</c:v>
                </c:pt>
                <c:pt idx="55">
                  <c:v>6</c:v>
                </c:pt>
                <c:pt idx="56">
                  <c:v>5</c:v>
                </c:pt>
                <c:pt idx="57">
                  <c:v>4</c:v>
                </c:pt>
                <c:pt idx="58">
                  <c:v>6</c:v>
                </c:pt>
                <c:pt idx="59">
                  <c:v>5</c:v>
                </c:pt>
                <c:pt idx="60">
                  <c:v>4</c:v>
                </c:pt>
                <c:pt idx="61">
                  <c:v>5</c:v>
                </c:pt>
                <c:pt idx="62">
                  <c:v>3</c:v>
                </c:pt>
                <c:pt idx="63">
                  <c:v>5</c:v>
                </c:pt>
                <c:pt idx="64">
                  <c:v>5</c:v>
                </c:pt>
                <c:pt idx="65">
                  <c:v>4</c:v>
                </c:pt>
                <c:pt idx="66">
                  <c:v>6</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numCache>
            </c:numRef>
          </c:yVal>
          <c:smooth val="0"/>
          <c:extLst>
            <c:ext xmlns:c16="http://schemas.microsoft.com/office/drawing/2014/chart" uri="{C3380CC4-5D6E-409C-BE32-E72D297353CC}">
              <c16:uniqueId val="{00000007-22F7-4786-B7A1-8EEB89C4C08F}"/>
            </c:ext>
          </c:extLst>
        </c:ser>
        <c:dLbls>
          <c:showLegendKey val="0"/>
          <c:showVal val="0"/>
          <c:showCatName val="0"/>
          <c:showSerName val="0"/>
          <c:showPercent val="0"/>
          <c:showBubbleSize val="0"/>
        </c:dLbls>
        <c:axId val="1990053343"/>
        <c:axId val="1990052383"/>
      </c:scatterChart>
      <c:valAx>
        <c:axId val="1990053343"/>
        <c:scaling>
          <c:orientation val="minMax"/>
        </c:scaling>
        <c:delete val="0"/>
        <c:axPos val="b"/>
        <c:title>
          <c:tx>
            <c:rich>
              <a:bodyPr/>
              <a:lstStyle/>
              <a:p>
                <a:pPr>
                  <a:defRPr/>
                </a:pPr>
                <a:r>
                  <a:rPr lang="fr-FR"/>
                  <a:t>SRP</a:t>
                </a:r>
              </a:p>
            </c:rich>
          </c:tx>
          <c:overlay val="0"/>
        </c:title>
        <c:majorTickMark val="out"/>
        <c:minorTickMark val="none"/>
        <c:tickLblPos val="nextTo"/>
        <c:crossAx val="1990052383"/>
        <c:crosses val="autoZero"/>
        <c:crossBetween val="midCat"/>
      </c:valAx>
      <c:valAx>
        <c:axId val="1990052383"/>
        <c:scaling>
          <c:orientation val="minMax"/>
        </c:scaling>
        <c:delete val="0"/>
        <c:axPos val="l"/>
        <c:majorGridlines/>
        <c:title>
          <c:tx>
            <c:rich>
              <a:bodyPr/>
              <a:lstStyle/>
              <a:p>
                <a:pPr>
                  <a:defRPr/>
                </a:pPr>
                <a:r>
                  <a:rPr lang="fr-FR"/>
                  <a:t>Q1 (frequence)</a:t>
                </a:r>
              </a:p>
            </c:rich>
          </c:tx>
          <c:overlay val="0"/>
        </c:title>
        <c:numFmt formatCode="General" sourceLinked="1"/>
        <c:majorTickMark val="out"/>
        <c:minorTickMark val="none"/>
        <c:tickLblPos val="nextTo"/>
        <c:crossAx val="1990053343"/>
        <c:crosses val="autoZero"/>
        <c:crossBetween val="midCat"/>
      </c:valAx>
      <c:spPr>
        <a:solidFill>
          <a:srgbClr val="F5FAFF"/>
        </a:solidFill>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solidFill>
        <a:srgbClr val="B4D2F0"/>
      </a:solid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fr-FR"/>
              <a:t>Classement des risques par importance perçue 1-5</a:t>
            </a:r>
          </a:p>
          <a:p>
            <a:pPr>
              <a:defRPr/>
            </a:pPr>
            <a:r>
              <a:rPr lang="fr-FR"/>
              <a:t>(Q16,</a:t>
            </a:r>
            <a:r>
              <a:rPr lang="fr-FR" baseline="0"/>
              <a:t> N = 67)</a:t>
            </a:r>
            <a:endParaRPr lang="fr-F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barChart>
        <c:barDir val="bar"/>
        <c:grouping val="clustered"/>
        <c:varyColors val="0"/>
        <c:ser>
          <c:idx val="0"/>
          <c:order val="0"/>
          <c:tx>
            <c:strRef>
              <c:f>'5.4_COMPLEM'!$D$30</c:f>
              <c:strCache>
                <c:ptCount val="1"/>
                <c:pt idx="0">
                  <c:v>Moy 1-5</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fr-FR"/>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'5.4_COMPLEM'!$A$31:$A$34</c:f>
              <c:strCache>
                <c:ptCount val="4"/>
                <c:pt idx="0">
                  <c:v>Boite noire (Q16_3)</c:v>
                </c:pt>
                <c:pt idx="1">
                  <c:v>Responsabilite (Q16_4)</c:v>
                </c:pt>
                <c:pt idx="2">
                  <c:v>Hallucinations (Q16_1)</c:v>
                </c:pt>
                <c:pt idx="3">
                  <c:v>Confidentialite (Q16_2)</c:v>
                </c:pt>
              </c:strCache>
            </c:strRef>
          </c:cat>
          <c:val>
            <c:numRef>
              <c:f>'5.4_COMPLEM'!$D$31:$D$34</c:f>
              <c:numCache>
                <c:formatCode>0.00</c:formatCode>
                <c:ptCount val="4"/>
                <c:pt idx="0">
                  <c:v>3.6417910447761193</c:v>
                </c:pt>
                <c:pt idx="1">
                  <c:v>3.8805970149253732</c:v>
                </c:pt>
                <c:pt idx="2">
                  <c:v>4.3432835820895521</c:v>
                </c:pt>
                <c:pt idx="3">
                  <c:v>4.4328358208955221</c:v>
                </c:pt>
              </c:numCache>
            </c:numRef>
          </c:val>
          <c:extLst>
            <c:ext xmlns:c16="http://schemas.microsoft.com/office/drawing/2014/chart" uri="{C3380CC4-5D6E-409C-BE32-E72D297353CC}">
              <c16:uniqueId val="{00000000-353C-4789-A321-1FB4F52657FC}"/>
            </c:ext>
          </c:extLst>
        </c:ser>
        <c:dLbls>
          <c:dLblPos val="inEnd"/>
          <c:showLegendKey val="0"/>
          <c:showVal val="1"/>
          <c:showCatName val="0"/>
          <c:showSerName val="0"/>
          <c:showPercent val="0"/>
          <c:showBubbleSize val="0"/>
        </c:dLbls>
        <c:gapWidth val="65"/>
        <c:axId val="1301604864"/>
        <c:axId val="1301605344"/>
      </c:barChart>
      <c:catAx>
        <c:axId val="1301604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fr-FR"/>
          </a:p>
        </c:txPr>
        <c:crossAx val="1301605344"/>
        <c:crosses val="autoZero"/>
        <c:auto val="1"/>
        <c:lblAlgn val="ctr"/>
        <c:lblOffset val="100"/>
        <c:noMultiLvlLbl val="0"/>
      </c:catAx>
      <c:valAx>
        <c:axId val="13016053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crossAx val="130160486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fr-FR"/>
              <a:t>Distribution Q17 vs Q18 — </a:t>
            </a:r>
            <a:br>
              <a:rPr lang="fr-FR"/>
            </a:br>
            <a:r>
              <a:rPr lang="fr-FR"/>
              <a:t>Frein actuel vs Intention latente</a:t>
            </a:r>
          </a:p>
        </c:rich>
      </c:tx>
      <c:overlay val="1"/>
      <c:spPr>
        <a:noFill/>
        <a:ln>
          <a:noFill/>
        </a:ln>
        <a:effectLst/>
      </c:spPr>
    </c:title>
    <c:autoTitleDeleted val="0"/>
    <c:plotArea>
      <c:layout/>
      <c:barChart>
        <c:barDir val="col"/>
        <c:grouping val="clustered"/>
        <c:varyColors val="1"/>
        <c:ser>
          <c:idx val="1"/>
          <c:order val="0"/>
          <c:tx>
            <c:strRef>
              <c:f>'5.4_COMPLEM'!$B$65</c:f>
              <c:strCache>
                <c:ptCount val="1"/>
                <c:pt idx="0">
                  <c:v>Q17 — Frein actuel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1"/>
          <c:val>
            <c:numRef>
              <c:f>'5.4_COMPLEM'!$B$66:$B$72</c:f>
              <c:numCache>
                <c:formatCode>0</c:formatCode>
                <c:ptCount val="7"/>
                <c:pt idx="0">
                  <c:v>6</c:v>
                </c:pt>
                <c:pt idx="1">
                  <c:v>5</c:v>
                </c:pt>
                <c:pt idx="2">
                  <c:v>10</c:v>
                </c:pt>
                <c:pt idx="3">
                  <c:v>14</c:v>
                </c:pt>
                <c:pt idx="4">
                  <c:v>14</c:v>
                </c:pt>
                <c:pt idx="5">
                  <c:v>12</c:v>
                </c:pt>
                <c:pt idx="6">
                  <c:v>6</c:v>
                </c:pt>
              </c:numCache>
            </c:numRef>
          </c:val>
          <c:extLst>
            <c:ext xmlns:c16="http://schemas.microsoft.com/office/drawing/2014/chart" uri="{C3380CC4-5D6E-409C-BE32-E72D297353CC}">
              <c16:uniqueId val="{00000001-FB1A-4BF5-9858-DE2849D74635}"/>
            </c:ext>
          </c:extLst>
        </c:ser>
        <c:ser>
          <c:idx val="2"/>
          <c:order val="1"/>
          <c:tx>
            <c:strRef>
              <c:f>'5.4_COMPLEM'!$C$65</c:f>
              <c:strCache>
                <c:ptCount val="1"/>
                <c:pt idx="0">
                  <c:v>Q18 — Intention latente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val>
            <c:numRef>
              <c:f>'5.4_COMPLEM'!$C$66:$C$72</c:f>
              <c:numCache>
                <c:formatCode>0</c:formatCode>
                <c:ptCount val="7"/>
                <c:pt idx="0">
                  <c:v>1</c:v>
                </c:pt>
                <c:pt idx="1">
                  <c:v>0</c:v>
                </c:pt>
                <c:pt idx="2">
                  <c:v>5</c:v>
                </c:pt>
                <c:pt idx="3">
                  <c:v>7</c:v>
                </c:pt>
                <c:pt idx="4">
                  <c:v>12</c:v>
                </c:pt>
                <c:pt idx="5">
                  <c:v>14</c:v>
                </c:pt>
                <c:pt idx="6">
                  <c:v>28</c:v>
                </c:pt>
              </c:numCache>
            </c:numRef>
          </c:val>
          <c:extLst>
            <c:ext xmlns:c16="http://schemas.microsoft.com/office/drawing/2014/chart" uri="{C3380CC4-5D6E-409C-BE32-E72D297353CC}">
              <c16:uniqueId val="{00000002-FB1A-4BF5-9858-DE2849D74635}"/>
            </c:ext>
          </c:extLst>
        </c:ser>
        <c:dLbls>
          <c:showLegendKey val="0"/>
          <c:showVal val="0"/>
          <c:showCatName val="0"/>
          <c:showSerName val="0"/>
          <c:showPercent val="0"/>
          <c:showBubbleSize val="0"/>
        </c:dLbls>
        <c:gapWidth val="100"/>
        <c:overlap val="-24"/>
        <c:axId val="10"/>
        <c:axId val="100"/>
      </c:barChart>
      <c:catAx>
        <c:axId val="1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fr-FR"/>
                  <a:t>Échelon (1-7)</a:t>
                </a:r>
              </a:p>
            </c:rich>
          </c:tx>
          <c:overlay val="1"/>
          <c:spPr>
            <a:noFill/>
            <a:ln>
              <a:noFill/>
            </a:ln>
            <a:effectLst/>
          </c:sp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00"/>
        <c:crosses val="autoZero"/>
        <c:auto val="1"/>
        <c:lblAlgn val="ctr"/>
        <c:lblOffset val="100"/>
        <c:noMultiLvlLbl val="1"/>
      </c:catAx>
      <c:valAx>
        <c:axId val="1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fr-FR"/>
                  <a:t>N répondants</a:t>
                </a:r>
              </a:p>
            </c:rich>
          </c:tx>
          <c:overlay val="1"/>
          <c:spPr>
            <a:noFill/>
            <a:ln>
              <a:noFill/>
            </a:ln>
            <a:effectLst/>
          </c:sp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crossAx val="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fr-FR"/>
        </a:p>
      </c:txPr>
    </c:legend>
    <c:plotVisOnly val="1"/>
    <c:dispBlanksAs val="gap"/>
    <c:showDLblsOverMax val="1"/>
  </c:chart>
  <c:spPr>
    <a:solidFill>
      <a:schemeClr val="bg1"/>
    </a:solidFill>
    <a:ln w="9525" cap="flat" cmpd="sng" algn="ctr">
      <a:solidFill>
        <a:schemeClr val="tx2">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 – INTENTION D'USAGE FUTUR (Q27)</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fr-FR"/>
        </a:p>
      </c:txPr>
    </c:title>
    <c:autoTitleDeleted val="0"/>
    <c:plotArea>
      <c:layout/>
      <c:pieChart>
        <c:varyColors val="1"/>
        <c:ser>
          <c:idx val="0"/>
          <c:order val="0"/>
          <c:tx>
            <c:strRef>
              <c:f>'5.4_COMPLEM'!$B$38</c:f>
              <c:strCache>
                <c:ptCount val="1"/>
                <c:pt idx="0">
                  <c:v>N</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38B-48A5-94F9-FC6AAC53110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38B-48A5-94F9-FC6AAC53110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38B-48A5-94F9-FC6AAC531109}"/>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fr-FR"/>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'5.4_COMPLEM'!$A$39:$A$41</c:f>
              <c:strCache>
                <c:ptCount val="3"/>
                <c:pt idx="0">
                  <c:v>Oui — Augmentation prévue</c:v>
                </c:pt>
                <c:pt idx="1">
                  <c:v>Non — Pas d'augmentation prévue</c:v>
                </c:pt>
                <c:pt idx="2">
                  <c:v>Conditionnel / Incertain</c:v>
                </c:pt>
              </c:strCache>
            </c:strRef>
          </c:cat>
          <c:val>
            <c:numRef>
              <c:f>'5.4_COMPLEM'!$B$39:$B$41</c:f>
              <c:numCache>
                <c:formatCode>0</c:formatCode>
                <c:ptCount val="3"/>
                <c:pt idx="0">
                  <c:v>39</c:v>
                </c:pt>
                <c:pt idx="1">
                  <c:v>24</c:v>
                </c:pt>
                <c:pt idx="2">
                  <c:v>4</c:v>
                </c:pt>
              </c:numCache>
            </c:numRef>
          </c:val>
          <c:extLst>
            <c:ext xmlns:c16="http://schemas.microsoft.com/office/drawing/2014/chart" uri="{C3380CC4-5D6E-409C-BE32-E72D297353CC}">
              <c16:uniqueId val="{00000000-F8FA-480F-8ABC-1CEB3045F0C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fr-FR"/>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Répartition par tranche d'âge (Q31)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SYNTHESE_5.1_PROFIL!$A$13:$A$18</c:f>
              <c:strCache>
                <c:ptCount val="6"/>
                <c:pt idx="0">
                  <c:v>18-25</c:v>
                </c:pt>
                <c:pt idx="1">
                  <c:v>26-35</c:v>
                </c:pt>
                <c:pt idx="2">
                  <c:v>36-45</c:v>
                </c:pt>
                <c:pt idx="3">
                  <c:v>46-55</c:v>
                </c:pt>
                <c:pt idx="4">
                  <c:v>56-65</c:v>
                </c:pt>
                <c:pt idx="5">
                  <c:v>+65</c:v>
                </c:pt>
              </c:strCache>
            </c:strRef>
          </c:cat>
          <c:val>
            <c:numRef>
              <c:f>SYNTHESE_5.1_PROFIL!$B$13:$B$18</c:f>
              <c:numCache>
                <c:formatCode>General</c:formatCode>
                <c:ptCount val="6"/>
                <c:pt idx="0">
                  <c:v>32</c:v>
                </c:pt>
                <c:pt idx="1">
                  <c:v>17</c:v>
                </c:pt>
                <c:pt idx="2">
                  <c:v>9</c:v>
                </c:pt>
                <c:pt idx="3">
                  <c:v>5</c:v>
                </c:pt>
                <c:pt idx="4">
                  <c:v>3</c:v>
                </c:pt>
                <c:pt idx="5">
                  <c:v>1</c:v>
                </c:pt>
              </c:numCache>
            </c:numRef>
          </c:val>
          <c:extLst>
            <c:ext xmlns:c16="http://schemas.microsoft.com/office/drawing/2014/chart" uri="{C3380CC4-5D6E-409C-BE32-E72D297353CC}">
              <c16:uniqueId val="{00000000-8283-4FBB-BA33-5EE93A5B02D6}"/>
            </c:ext>
          </c:extLst>
        </c:ser>
        <c:dLbls>
          <c:showLegendKey val="0"/>
          <c:showVal val="0"/>
          <c:showCatName val="0"/>
          <c:showSerName val="0"/>
          <c:showPercent val="0"/>
          <c:showBubbleSize val="0"/>
        </c:dLbls>
        <c:gapWidth val="219"/>
        <c:overlap val="-27"/>
        <c:axId val="993243424"/>
        <c:axId val="993243904"/>
      </c:barChart>
      <c:catAx>
        <c:axId val="99324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3243904"/>
        <c:crosses val="autoZero"/>
        <c:auto val="1"/>
        <c:lblAlgn val="ctr"/>
        <c:lblOffset val="100"/>
        <c:noMultiLvlLbl val="0"/>
      </c:catAx>
      <c:valAx>
        <c:axId val="993243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Effectif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9324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Répartition par genre (Q32)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9C-4CD6-982E-80186E72D9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9C-4CD6-982E-80186E72D9F7}"/>
              </c:ext>
            </c:extLst>
          </c:dPt>
          <c:cat>
            <c:strRef>
              <c:f>SYNTHESE_5.1_PROFIL!$A$23:$A$24</c:f>
              <c:strCache>
                <c:ptCount val="2"/>
                <c:pt idx="0">
                  <c:v>Femme</c:v>
                </c:pt>
                <c:pt idx="1">
                  <c:v>Homme</c:v>
                </c:pt>
              </c:strCache>
            </c:strRef>
          </c:cat>
          <c:val>
            <c:numRef>
              <c:f>SYNTHESE_5.1_PROFIL!$B$23:$B$24</c:f>
              <c:numCache>
                <c:formatCode>General</c:formatCode>
                <c:ptCount val="2"/>
                <c:pt idx="0">
                  <c:v>22</c:v>
                </c:pt>
                <c:pt idx="1">
                  <c:v>45</c:v>
                </c:pt>
              </c:numCache>
            </c:numRef>
          </c:val>
          <c:extLst>
            <c:ext xmlns:c16="http://schemas.microsoft.com/office/drawing/2014/chart" uri="{C3380CC4-5D6E-409C-BE32-E72D297353CC}">
              <c16:uniqueId val="{00000000-B754-4EA7-99DD-4B75F489E212}"/>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Répartition par grade (Q33)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cat>
            <c:strRef>
              <c:f>SYNTHESE_5.1_PROFIL!$A$29:$A$31</c:f>
              <c:strCache>
                <c:ptCount val="3"/>
                <c:pt idx="0">
                  <c:v>Junior</c:v>
                </c:pt>
                <c:pt idx="1">
                  <c:v>Senior-Manager</c:v>
                </c:pt>
                <c:pt idx="2">
                  <c:v>Associe</c:v>
                </c:pt>
              </c:strCache>
            </c:strRef>
          </c:cat>
          <c:val>
            <c:numRef>
              <c:f>SYNTHESE_5.1_PROFIL!$B$29:$B$31</c:f>
              <c:numCache>
                <c:formatCode>General</c:formatCode>
                <c:ptCount val="3"/>
                <c:pt idx="0">
                  <c:v>32</c:v>
                </c:pt>
                <c:pt idx="1">
                  <c:v>17</c:v>
                </c:pt>
                <c:pt idx="2">
                  <c:v>18</c:v>
                </c:pt>
              </c:numCache>
            </c:numRef>
          </c:val>
          <c:extLst>
            <c:ext xmlns:c16="http://schemas.microsoft.com/office/drawing/2014/chart" uri="{C3380CC4-5D6E-409C-BE32-E72D297353CC}">
              <c16:uniqueId val="{00000000-F9E9-4C1E-8F30-9185B19BA406}"/>
            </c:ext>
          </c:extLst>
        </c:ser>
        <c:dLbls>
          <c:showLegendKey val="0"/>
          <c:showVal val="0"/>
          <c:showCatName val="0"/>
          <c:showSerName val="0"/>
          <c:showPercent val="0"/>
          <c:showBubbleSize val="0"/>
        </c:dLbls>
        <c:gapWidth val="219"/>
        <c:overlap val="-27"/>
        <c:axId val="551482480"/>
        <c:axId val="1199254784"/>
      </c:barChart>
      <c:catAx>
        <c:axId val="55148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9254784"/>
        <c:crosses val="autoZero"/>
        <c:auto val="1"/>
        <c:lblAlgn val="ctr"/>
        <c:lblOffset val="100"/>
        <c:noMultiLvlLbl val="0"/>
      </c:catAx>
      <c:valAx>
        <c:axId val="1199254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Effectif (N)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5148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Taille du cabinet (Q36)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AB-4E34-8C57-9F9D3C326D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AB-4E34-8C57-9F9D3C326D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AB-4E34-8C57-9F9D3C326D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AB-4E34-8C57-9F9D3C326D54}"/>
              </c:ext>
            </c:extLst>
          </c:dPt>
          <c:cat>
            <c:strRef>
              <c:f>SYNTHESE_5.1_PROFIL!$A$46:$A$49</c:f>
              <c:strCache>
                <c:ptCount val="4"/>
                <c:pt idx="0">
                  <c:v>Cabinet international</c:v>
                </c:pt>
                <c:pt idx="1">
                  <c:v>Cabinet local</c:v>
                </c:pt>
                <c:pt idx="2">
                  <c:v>Cabinet regional</c:v>
                </c:pt>
                <c:pt idx="3">
                  <c:v>National et membre d'un réseau </c:v>
                </c:pt>
              </c:strCache>
            </c:strRef>
          </c:cat>
          <c:val>
            <c:numRef>
              <c:f>SYNTHESE_5.1_PROFIL!$B$46:$B$49</c:f>
              <c:numCache>
                <c:formatCode>General</c:formatCode>
                <c:ptCount val="4"/>
                <c:pt idx="0">
                  <c:v>37</c:v>
                </c:pt>
                <c:pt idx="1">
                  <c:v>19</c:v>
                </c:pt>
                <c:pt idx="2">
                  <c:v>10</c:v>
                </c:pt>
                <c:pt idx="3">
                  <c:v>1</c:v>
                </c:pt>
              </c:numCache>
            </c:numRef>
          </c:val>
          <c:extLst>
            <c:ext xmlns:c16="http://schemas.microsoft.com/office/drawing/2014/chart" uri="{C3380CC4-5D6E-409C-BE32-E72D297353CC}">
              <c16:uniqueId val="{00000000-45B2-4BE7-BC93-0938C5430F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Entonnoir de filtrage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SYNTHESE_5.1_PROFIL!$F$5</c:f>
              <c:strCache>
                <c:ptCount val="1"/>
                <c:pt idx="0">
                  <c:v>N restant</c:v>
                </c:pt>
              </c:strCache>
            </c:strRef>
          </c:tx>
          <c:spPr>
            <a:solidFill>
              <a:schemeClr val="accent1"/>
            </a:solidFill>
            <a:ln>
              <a:noFill/>
            </a:ln>
            <a:effectLst/>
          </c:spPr>
          <c:invertIfNegative val="0"/>
          <c:cat>
            <c:strRef>
              <c:f>SYNTHESE_5.1_PROFIL!$E$6:$E$9</c:f>
              <c:strCache>
                <c:ptCount val="4"/>
                <c:pt idx="0">
                  <c:v>1-Brut</c:v>
                </c:pt>
                <c:pt idx="1">
                  <c:v>2-Q1≠Jamais</c:v>
                </c:pt>
                <c:pt idx="2">
                  <c:v>3-Q29=Neutre</c:v>
                </c:pt>
                <c:pt idx="3">
                  <c:v>4-Métier audit</c:v>
                </c:pt>
              </c:strCache>
            </c:strRef>
          </c:cat>
          <c:val>
            <c:numRef>
              <c:f>SYNTHESE_5.1_PROFIL!$F$6:$F$9</c:f>
              <c:numCache>
                <c:formatCode>General</c:formatCode>
                <c:ptCount val="4"/>
                <c:pt idx="0">
                  <c:v>85</c:v>
                </c:pt>
                <c:pt idx="1">
                  <c:v>80</c:v>
                </c:pt>
                <c:pt idx="2">
                  <c:v>74</c:v>
                </c:pt>
                <c:pt idx="3">
                  <c:v>67</c:v>
                </c:pt>
              </c:numCache>
            </c:numRef>
          </c:val>
          <c:extLst>
            <c:ext xmlns:c16="http://schemas.microsoft.com/office/drawing/2014/chart" uri="{C3380CC4-5D6E-409C-BE32-E72D297353CC}">
              <c16:uniqueId val="{00000000-10B0-4B10-A9F3-5EA36BA7A61B}"/>
            </c:ext>
          </c:extLst>
        </c:ser>
        <c:dLbls>
          <c:showLegendKey val="0"/>
          <c:showVal val="0"/>
          <c:showCatName val="0"/>
          <c:showSerName val="0"/>
          <c:showPercent val="0"/>
          <c:showBubbleSize val="0"/>
        </c:dLbls>
        <c:gapWidth val="182"/>
        <c:axId val="1354746800"/>
        <c:axId val="1354743920"/>
      </c:barChart>
      <c:catAx>
        <c:axId val="135474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4743920"/>
        <c:crosses val="autoZero"/>
        <c:auto val="1"/>
        <c:lblAlgn val="ctr"/>
        <c:lblOffset val="100"/>
        <c:noMultiLvlLbl val="0"/>
      </c:catAx>
      <c:valAx>
        <c:axId val="1354743920"/>
        <c:scaling>
          <c:orientation val="minMax"/>
          <c:max val="10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474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Moyennes des scores composites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SYNTHESE_5.2_STATS!$E$4</c:f>
              <c:strCache>
                <c:ptCount val="1"/>
                <c:pt idx="0">
                  <c:v>N</c:v>
                </c:pt>
              </c:strCache>
            </c:strRef>
          </c:tx>
          <c:spPr>
            <a:solidFill>
              <a:schemeClr val="accent1"/>
            </a:solidFill>
            <a:ln>
              <a:noFill/>
            </a:ln>
            <a:effectLst/>
          </c:spPr>
          <c:invertIfNegative val="0"/>
          <c:cat>
            <c:multiLvlStrRef>
              <c:f>SYNTHESE_5.2_STATS!$A$5:$D$11</c:f>
              <c:multiLvlStrCache>
                <c:ptCount val="7"/>
                <c:lvl>
                  <c:pt idx="0">
                    <c:v>1-5</c:v>
                  </c:pt>
                  <c:pt idx="1">
                    <c:v>1-7</c:v>
                  </c:pt>
                  <c:pt idx="2">
                    <c:v>1-7</c:v>
                  </c:pt>
                  <c:pt idx="3">
                    <c:v>1-7</c:v>
                  </c:pt>
                  <c:pt idx="4">
                    <c:v>1-7</c:v>
                  </c:pt>
                  <c:pt idx="5">
                    <c:v>1-7</c:v>
                  </c:pt>
                  <c:pt idx="6">
                    <c:v>1-7</c:v>
                  </c:pt>
                </c:lvl>
                <c:lvl>
                  <c:pt idx="0">
                    <c:v>21</c:v>
                  </c:pt>
                  <c:pt idx="1">
                    <c:v>3</c:v>
                  </c:pt>
                  <c:pt idx="2">
                    <c:v>4</c:v>
                  </c:pt>
                  <c:pt idx="3">
                    <c:v>3</c:v>
                  </c:pt>
                  <c:pt idx="4">
                    <c:v>5</c:v>
                  </c:pt>
                  <c:pt idx="5">
                    <c:v>1</c:v>
                  </c:pt>
                  <c:pt idx="6">
                    <c:v>1</c:v>
                  </c:pt>
                </c:lvl>
                <c:lvl>
                  <c:pt idx="0">
                    <c:v>Utilite percue (H1)</c:v>
                  </c:pt>
                  <c:pt idx="1">
                    <c:v>Facilite d'usage (H2)</c:v>
                  </c:pt>
                  <c:pt idx="2">
                    <c:v>Risques percus (H3)</c:v>
                  </c:pt>
                  <c:pt idx="3">
                    <c:v>Maitrise tech. (H4a/H4b)</c:v>
                  </c:pt>
                  <c:pt idx="4">
                    <c:v>Scepticisme prof. (H4b)</c:v>
                  </c:pt>
                  <c:pt idx="5">
                    <c:v>Usage IAG (frequence)</c:v>
                  </c:pt>
                  <c:pt idx="6">
                    <c:v>Perception benefices-risques</c:v>
                  </c:pt>
                </c:lvl>
                <c:lvl>
                  <c:pt idx="0">
                    <c:v>SUP</c:v>
                  </c:pt>
                  <c:pt idx="1">
                    <c:v>SFU</c:v>
                  </c:pt>
                  <c:pt idx="2">
                    <c:v>SRP</c:v>
                  </c:pt>
                  <c:pt idx="3">
                    <c:v>SMF</c:v>
                  </c:pt>
                  <c:pt idx="4">
                    <c:v>SS</c:v>
                  </c:pt>
                  <c:pt idx="5">
                    <c:v>Q1</c:v>
                  </c:pt>
                  <c:pt idx="6">
                    <c:v>Q30</c:v>
                  </c:pt>
                </c:lvl>
              </c:multiLvlStrCache>
            </c:multiLvlStrRef>
          </c:cat>
          <c:val>
            <c:numRef>
              <c:f>SYNTHESE_5.2_STATS!$E$5:$E$11</c:f>
              <c:numCache>
                <c:formatCode>General</c:formatCode>
                <c:ptCount val="7"/>
                <c:pt idx="0">
                  <c:v>67</c:v>
                </c:pt>
                <c:pt idx="1">
                  <c:v>67</c:v>
                </c:pt>
                <c:pt idx="2">
                  <c:v>67</c:v>
                </c:pt>
                <c:pt idx="3">
                  <c:v>67</c:v>
                </c:pt>
                <c:pt idx="4">
                  <c:v>67</c:v>
                </c:pt>
                <c:pt idx="5">
                  <c:v>67</c:v>
                </c:pt>
                <c:pt idx="6">
                  <c:v>67</c:v>
                </c:pt>
              </c:numCache>
            </c:numRef>
          </c:val>
          <c:extLst>
            <c:ext xmlns:c16="http://schemas.microsoft.com/office/drawing/2014/chart" uri="{C3380CC4-5D6E-409C-BE32-E72D297353CC}">
              <c16:uniqueId val="{00000000-A3A3-41B0-B11D-82C15EF81611}"/>
            </c:ext>
          </c:extLst>
        </c:ser>
        <c:ser>
          <c:idx val="1"/>
          <c:order val="1"/>
          <c:tx>
            <c:strRef>
              <c:f>SYNTHESE_5.2_STATS!$F$4</c:f>
              <c:strCache>
                <c:ptCount val="1"/>
                <c:pt idx="0">
                  <c:v>Moyenne</c:v>
                </c:pt>
              </c:strCache>
            </c:strRef>
          </c:tx>
          <c:spPr>
            <a:solidFill>
              <a:schemeClr val="accent2"/>
            </a:solidFill>
            <a:ln>
              <a:noFill/>
            </a:ln>
            <a:effectLst/>
          </c:spPr>
          <c:invertIfNegative val="0"/>
          <c:cat>
            <c:multiLvlStrRef>
              <c:f>SYNTHESE_5.2_STATS!$A$5:$D$11</c:f>
              <c:multiLvlStrCache>
                <c:ptCount val="7"/>
                <c:lvl>
                  <c:pt idx="0">
                    <c:v>1-5</c:v>
                  </c:pt>
                  <c:pt idx="1">
                    <c:v>1-7</c:v>
                  </c:pt>
                  <c:pt idx="2">
                    <c:v>1-7</c:v>
                  </c:pt>
                  <c:pt idx="3">
                    <c:v>1-7</c:v>
                  </c:pt>
                  <c:pt idx="4">
                    <c:v>1-7</c:v>
                  </c:pt>
                  <c:pt idx="5">
                    <c:v>1-7</c:v>
                  </c:pt>
                  <c:pt idx="6">
                    <c:v>1-7</c:v>
                  </c:pt>
                </c:lvl>
                <c:lvl>
                  <c:pt idx="0">
                    <c:v>21</c:v>
                  </c:pt>
                  <c:pt idx="1">
                    <c:v>3</c:v>
                  </c:pt>
                  <c:pt idx="2">
                    <c:v>4</c:v>
                  </c:pt>
                  <c:pt idx="3">
                    <c:v>3</c:v>
                  </c:pt>
                  <c:pt idx="4">
                    <c:v>5</c:v>
                  </c:pt>
                  <c:pt idx="5">
                    <c:v>1</c:v>
                  </c:pt>
                  <c:pt idx="6">
                    <c:v>1</c:v>
                  </c:pt>
                </c:lvl>
                <c:lvl>
                  <c:pt idx="0">
                    <c:v>Utilite percue (H1)</c:v>
                  </c:pt>
                  <c:pt idx="1">
                    <c:v>Facilite d'usage (H2)</c:v>
                  </c:pt>
                  <c:pt idx="2">
                    <c:v>Risques percus (H3)</c:v>
                  </c:pt>
                  <c:pt idx="3">
                    <c:v>Maitrise tech. (H4a/H4b)</c:v>
                  </c:pt>
                  <c:pt idx="4">
                    <c:v>Scepticisme prof. (H4b)</c:v>
                  </c:pt>
                  <c:pt idx="5">
                    <c:v>Usage IAG (frequence)</c:v>
                  </c:pt>
                  <c:pt idx="6">
                    <c:v>Perception benefices-risques</c:v>
                  </c:pt>
                </c:lvl>
                <c:lvl>
                  <c:pt idx="0">
                    <c:v>SUP</c:v>
                  </c:pt>
                  <c:pt idx="1">
                    <c:v>SFU</c:v>
                  </c:pt>
                  <c:pt idx="2">
                    <c:v>SRP</c:v>
                  </c:pt>
                  <c:pt idx="3">
                    <c:v>SMF</c:v>
                  </c:pt>
                  <c:pt idx="4">
                    <c:v>SS</c:v>
                  </c:pt>
                  <c:pt idx="5">
                    <c:v>Q1</c:v>
                  </c:pt>
                  <c:pt idx="6">
                    <c:v>Q30</c:v>
                  </c:pt>
                </c:lvl>
              </c:multiLvlStrCache>
            </c:multiLvlStrRef>
          </c:cat>
          <c:val>
            <c:numRef>
              <c:f>SYNTHESE_5.2_STATS!$F$5:$F$11</c:f>
              <c:numCache>
                <c:formatCode>General</c:formatCode>
                <c:ptCount val="7"/>
                <c:pt idx="0">
                  <c:v>3.399</c:v>
                </c:pt>
                <c:pt idx="1">
                  <c:v>4.766</c:v>
                </c:pt>
                <c:pt idx="2">
                  <c:v>5.5369999999999999</c:v>
                </c:pt>
                <c:pt idx="3">
                  <c:v>4.7809999999999997</c:v>
                </c:pt>
                <c:pt idx="4">
                  <c:v>4.9580000000000002</c:v>
                </c:pt>
                <c:pt idx="5">
                  <c:v>5.0149253731343286</c:v>
                </c:pt>
                <c:pt idx="6">
                  <c:v>5.1360000000000001</c:v>
                </c:pt>
              </c:numCache>
            </c:numRef>
          </c:val>
          <c:extLst>
            <c:ext xmlns:c16="http://schemas.microsoft.com/office/drawing/2014/chart" uri="{C3380CC4-5D6E-409C-BE32-E72D297353CC}">
              <c16:uniqueId val="{00000001-A3A3-41B0-B11D-82C15EF81611}"/>
            </c:ext>
          </c:extLst>
        </c:ser>
        <c:dLbls>
          <c:showLegendKey val="0"/>
          <c:showVal val="0"/>
          <c:showCatName val="0"/>
          <c:showSerName val="0"/>
          <c:showPercent val="0"/>
          <c:showBubbleSize val="0"/>
        </c:dLbls>
        <c:gapWidth val="182"/>
        <c:axId val="1273146784"/>
        <c:axId val="1273143424"/>
      </c:barChart>
      <c:catAx>
        <c:axId val="1273146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3143424"/>
        <c:crosses val="autoZero"/>
        <c:auto val="1"/>
        <c:lblAlgn val="ctr"/>
        <c:lblOffset val="100"/>
        <c:noMultiLvlLbl val="0"/>
      </c:catAx>
      <c:valAx>
        <c:axId val="127314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73146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 de Cronbach (seuil 0.70)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SYNTHESE_5.2_STATS!$O$4</c:f>
              <c:strCache>
                <c:ptCount val="1"/>
                <c:pt idx="0">
                  <c:v>Alpha</c:v>
                </c:pt>
              </c:strCache>
            </c:strRef>
          </c:tx>
          <c:spPr>
            <a:solidFill>
              <a:schemeClr val="accent1"/>
            </a:solidFill>
            <a:ln>
              <a:noFill/>
            </a:ln>
            <a:effectLst/>
          </c:spPr>
          <c:invertIfNegative val="0"/>
          <c:val>
            <c:numRef>
              <c:f>SYNTHESE_5.2_STATS!$O$5:$O$9</c:f>
            </c:numRef>
          </c:val>
          <c:extLst>
            <c:ext xmlns:c15="http://schemas.microsoft.com/office/drawing/2012/chart" uri="{02D57815-91ED-43cb-92C2-25804820EDAC}">
              <c15:filteredCategoryTitle>
                <c15:cat>
                  <c:multiLvlStrRef>
                    <c:extLst>
                      <c:ext uri="{02D57815-91ED-43cb-92C2-25804820EDAC}">
                        <c15:formulaRef>
                          <c15:sqref>SYNTHESE_5.2_STATS!$N$5:$N$9</c15:sqref>
                        </c15:formulaRef>
                      </c:ext>
                    </c:extLst>
                  </c:multiLvlStrRef>
                </c15:cat>
              </c15:filteredCategoryTitle>
            </c:ext>
            <c:ext xmlns:c16="http://schemas.microsoft.com/office/drawing/2014/chart" uri="{C3380CC4-5D6E-409C-BE32-E72D297353CC}">
              <c16:uniqueId val="{00000000-117D-486B-8258-962B61E0189B}"/>
            </c:ext>
          </c:extLst>
        </c:ser>
        <c:dLbls>
          <c:showLegendKey val="0"/>
          <c:showVal val="0"/>
          <c:showCatName val="0"/>
          <c:showSerName val="0"/>
          <c:showPercent val="0"/>
          <c:showBubbleSize val="0"/>
        </c:dLbls>
        <c:gapWidth val="219"/>
        <c:overlap val="-27"/>
        <c:axId val="1191988960"/>
        <c:axId val="1191989440"/>
      </c:barChart>
      <c:catAx>
        <c:axId val="119198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1989440"/>
        <c:crosses val="autoZero"/>
        <c:auto val="1"/>
        <c:lblAlgn val="ctr"/>
        <c:lblOffset val="100"/>
        <c:noMultiLvlLbl val="0"/>
      </c:catAx>
      <c:valAx>
        <c:axId val="119198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1988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Q1 - Fréquence d'usage IAG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SYNTHESE_5.2_STATS!$O$14</c:f>
              <c:strCache>
                <c:ptCount val="1"/>
                <c:pt idx="0">
                  <c:v>N</c:v>
                </c:pt>
              </c:strCache>
            </c:strRef>
          </c:tx>
          <c:spPr>
            <a:solidFill>
              <a:schemeClr val="accent1"/>
            </a:solidFill>
            <a:ln>
              <a:noFill/>
            </a:ln>
            <a:effectLst/>
          </c:spPr>
          <c:invertIfNegative val="0"/>
          <c:val>
            <c:numRef>
              <c:f>SYNTHESE_5.2_STATS!$O$15:$O$19</c:f>
            </c:numRef>
          </c:val>
          <c:extLst>
            <c:ext xmlns:c15="http://schemas.microsoft.com/office/drawing/2012/chart" uri="{02D57815-91ED-43cb-92C2-25804820EDAC}">
              <c15:filteredCategoryTitle>
                <c15:cat>
                  <c:multiLvlStrRef>
                    <c:extLst>
                      <c:ext uri="{02D57815-91ED-43cb-92C2-25804820EDAC}">
                        <c15:formulaRef>
                          <c15:sqref>SYNTHESE_5.2_STATS!$N$15:$N$19</c15:sqref>
                        </c15:formulaRef>
                      </c:ext>
                    </c:extLst>
                  </c:multiLvlStrRef>
                </c15:cat>
              </c15:filteredCategoryTitle>
            </c:ext>
            <c:ext xmlns:c16="http://schemas.microsoft.com/office/drawing/2014/chart" uri="{C3380CC4-5D6E-409C-BE32-E72D297353CC}">
              <c16:uniqueId val="{00000000-DCC3-4627-8811-682D72EE9314}"/>
            </c:ext>
          </c:extLst>
        </c:ser>
        <c:dLbls>
          <c:showLegendKey val="0"/>
          <c:showVal val="0"/>
          <c:showCatName val="0"/>
          <c:showSerName val="0"/>
          <c:showPercent val="0"/>
          <c:showBubbleSize val="0"/>
        </c:dLbls>
        <c:gapWidth val="219"/>
        <c:overlap val="-27"/>
        <c:axId val="1184905648"/>
        <c:axId val="1184904688"/>
      </c:barChart>
      <c:catAx>
        <c:axId val="118490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84904688"/>
        <c:crosses val="autoZero"/>
        <c:auto val="1"/>
        <c:lblAlgn val="ctr"/>
        <c:lblOffset val="100"/>
        <c:noMultiLvlLbl val="0"/>
      </c:catAx>
      <c:valAx>
        <c:axId val="118490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8490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Distribution Q30 - Équilibre bénéfices-risques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SYNTHESE_5.2_STATS!$N$22</c:f>
              <c:strCache>
                <c:ptCount val="1"/>
                <c:pt idx="0">
                  <c:v>Modalité</c:v>
                </c:pt>
              </c:strCache>
            </c:strRef>
          </c:tx>
          <c:spPr>
            <a:solidFill>
              <a:schemeClr val="accent1"/>
            </a:solidFill>
            <a:ln>
              <a:noFill/>
            </a:ln>
            <a:effectLst/>
          </c:spPr>
          <c:invertIfNegative val="0"/>
          <c:val>
            <c:numRef>
              <c:f>SYNTHESE_5.2_STATS!$N$23:$N$29</c:f>
            </c:numRef>
          </c:val>
          <c:extLst>
            <c:ext xmlns:c16="http://schemas.microsoft.com/office/drawing/2014/chart" uri="{C3380CC4-5D6E-409C-BE32-E72D297353CC}">
              <c16:uniqueId val="{00000000-00F8-4AB7-A0F1-95553D9085C6}"/>
            </c:ext>
          </c:extLst>
        </c:ser>
        <c:ser>
          <c:idx val="1"/>
          <c:order val="1"/>
          <c:tx>
            <c:strRef>
              <c:f>SYNTHESE_5.2_STATS!$O$22</c:f>
              <c:strCache>
                <c:ptCount val="1"/>
                <c:pt idx="0">
                  <c:v>N</c:v>
                </c:pt>
              </c:strCache>
            </c:strRef>
          </c:tx>
          <c:spPr>
            <a:solidFill>
              <a:schemeClr val="accent2"/>
            </a:solidFill>
            <a:ln>
              <a:noFill/>
            </a:ln>
            <a:effectLst/>
          </c:spPr>
          <c:invertIfNegative val="0"/>
          <c:val>
            <c:numRef>
              <c:f>SYNTHESE_5.2_STATS!$O$23:$O$29</c:f>
            </c:numRef>
          </c:val>
          <c:extLst>
            <c:ext xmlns:c16="http://schemas.microsoft.com/office/drawing/2014/chart" uri="{C3380CC4-5D6E-409C-BE32-E72D297353CC}">
              <c16:uniqueId val="{00000001-00F8-4AB7-A0F1-95553D9085C6}"/>
            </c:ext>
          </c:extLst>
        </c:ser>
        <c:dLbls>
          <c:showLegendKey val="0"/>
          <c:showVal val="0"/>
          <c:showCatName val="0"/>
          <c:showSerName val="0"/>
          <c:showPercent val="0"/>
          <c:showBubbleSize val="0"/>
        </c:dLbls>
        <c:gapWidth val="219"/>
        <c:overlap val="-27"/>
        <c:axId val="1336406016"/>
        <c:axId val="1336404576"/>
      </c:barChart>
      <c:catAx>
        <c:axId val="13364060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36404576"/>
        <c:crosses val="autoZero"/>
        <c:auto val="1"/>
        <c:lblAlgn val="ctr"/>
        <c:lblOffset val="100"/>
        <c:noMultiLvlLbl val="0"/>
      </c:catAx>
      <c:valAx>
        <c:axId val="1336404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3640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Corrélations Spearman (</a:t>
            </a:r>
            <a:r>
              <a:rPr lang="el-GR"/>
              <a:t>ρ) </a:t>
            </a:r>
            <a:r>
              <a:rPr lang="en-US"/>
              <a:t>par hypothèse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SYNTHESE_5.3_HYPOTHESES!$B$54</c:f>
              <c:strCache>
                <c:ptCount val="1"/>
                <c:pt idx="0">
                  <c:v>ρ Spearman</c:v>
                </c:pt>
              </c:strCache>
            </c:strRef>
          </c:tx>
          <c:spPr>
            <a:solidFill>
              <a:schemeClr val="accent1"/>
            </a:solidFill>
            <a:ln>
              <a:noFill/>
            </a:ln>
            <a:effectLst/>
          </c:spPr>
          <c:invertIfNegative val="0"/>
          <c:cat>
            <c:strRef>
              <c:f>SYNTHESE_5.3_HYPOTHESES!$A$55:$A$61</c:f>
              <c:strCache>
                <c:ptCount val="7"/>
                <c:pt idx="0">
                  <c:v>H1 (SUP→Q1)</c:v>
                </c:pt>
                <c:pt idx="1">
                  <c:v>H2 (SFU→Q1)</c:v>
                </c:pt>
                <c:pt idx="2">
                  <c:v>H3a (SRP→Q17)</c:v>
                </c:pt>
                <c:pt idx="3">
                  <c:v>H3a-2 (SRP→Q1)</c:v>
                </c:pt>
                <c:pt idx="4">
                  <c:v>H4a Bas</c:v>
                </c:pt>
                <c:pt idx="5">
                  <c:v>H4b-1 (SMF→SS)</c:v>
                </c:pt>
                <c:pt idx="6">
                  <c:v>H4b-2 (SRP→SS)</c:v>
                </c:pt>
              </c:strCache>
            </c:strRef>
          </c:cat>
          <c:val>
            <c:numRef>
              <c:f>SYNTHESE_5.3_HYPOTHESES!$B$55:$B$61</c:f>
              <c:numCache>
                <c:formatCode>General</c:formatCode>
                <c:ptCount val="7"/>
                <c:pt idx="0">
                  <c:v>8.8273721895141322E-2</c:v>
                </c:pt>
                <c:pt idx="1">
                  <c:v>0.3249278719182116</c:v>
                </c:pt>
                <c:pt idx="2">
                  <c:v>0.30950561196222048</c:v>
                </c:pt>
                <c:pt idx="3">
                  <c:v>-0.23098831616581353</c:v>
                </c:pt>
                <c:pt idx="4">
                  <c:v>-0.41561294300239771</c:v>
                </c:pt>
                <c:pt idx="5">
                  <c:v>0.18957620665689032</c:v>
                </c:pt>
                <c:pt idx="6">
                  <c:v>0.11261127342095291</c:v>
                </c:pt>
              </c:numCache>
            </c:numRef>
          </c:val>
          <c:extLst>
            <c:ext xmlns:c16="http://schemas.microsoft.com/office/drawing/2014/chart" uri="{C3380CC4-5D6E-409C-BE32-E72D297353CC}">
              <c16:uniqueId val="{00000000-56CB-4B41-B345-47CC104DBACD}"/>
            </c:ext>
          </c:extLst>
        </c:ser>
        <c:dLbls>
          <c:showLegendKey val="0"/>
          <c:showVal val="0"/>
          <c:showCatName val="0"/>
          <c:showSerName val="0"/>
          <c:showPercent val="0"/>
          <c:showBubbleSize val="0"/>
        </c:dLbls>
        <c:gapWidth val="182"/>
        <c:axId val="1198172720"/>
        <c:axId val="1198171760"/>
      </c:barChart>
      <c:catAx>
        <c:axId val="119817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8171760"/>
        <c:crosses val="autoZero"/>
        <c:auto val="1"/>
        <c:lblAlgn val="ctr"/>
        <c:lblOffset val="100"/>
        <c:noMultiLvlLbl val="0"/>
      </c:catAx>
      <c:valAx>
        <c:axId val="1198171760"/>
        <c:scaling>
          <c:orientation val="minMax"/>
          <c:max val="0.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9817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Gradient H4a : effet modérateur de la compétence (SMF)</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tx>
            <c:strRef>
              <c:f>SYNTHESE_5.3_HYPOTHESES!$B$84</c:f>
              <c:strCache>
                <c:ptCount val="1"/>
                <c:pt idx="0">
                  <c:v>ρ Spearman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SYNTHESE_5.3_HYPOTHESES!$A$85:$A$87</c:f>
              <c:strCache>
                <c:ptCount val="3"/>
                <c:pt idx="0">
                  <c:v>Bas</c:v>
                </c:pt>
                <c:pt idx="1">
                  <c:v>Moyen</c:v>
                </c:pt>
                <c:pt idx="2">
                  <c:v>Élevé</c:v>
                </c:pt>
              </c:strCache>
            </c:strRef>
          </c:cat>
          <c:val>
            <c:numRef>
              <c:f>SYNTHESE_5.3_HYPOTHESES!$B$85:$B$87</c:f>
              <c:numCache>
                <c:formatCode>General</c:formatCode>
                <c:ptCount val="3"/>
                <c:pt idx="0">
                  <c:v>-0.41561294300239771</c:v>
                </c:pt>
                <c:pt idx="1">
                  <c:v>-0.27407502882115659</c:v>
                </c:pt>
                <c:pt idx="2">
                  <c:v>3.0447407905009619E-2</c:v>
                </c:pt>
              </c:numCache>
            </c:numRef>
          </c:val>
          <c:smooth val="0"/>
          <c:extLst>
            <c:ext xmlns:c16="http://schemas.microsoft.com/office/drawing/2014/chart" uri="{C3380CC4-5D6E-409C-BE32-E72D297353CC}">
              <c16:uniqueId val="{00000000-7C4F-4C37-9115-E726B0D5C3B5}"/>
            </c:ext>
          </c:extLst>
        </c:ser>
        <c:dLbls>
          <c:showLegendKey val="0"/>
          <c:showVal val="0"/>
          <c:showCatName val="0"/>
          <c:showSerName val="0"/>
          <c:showPercent val="0"/>
          <c:showBubbleSize val="0"/>
        </c:dLbls>
        <c:marker val="1"/>
        <c:smooth val="0"/>
        <c:axId val="1354167808"/>
        <c:axId val="1354164448"/>
      </c:lineChart>
      <c:catAx>
        <c:axId val="1354167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r-FR"/>
                  <a:t>Niveau de compétence technique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4164448"/>
        <c:crosses val="autoZero"/>
        <c:auto val="1"/>
        <c:lblAlgn val="ctr"/>
        <c:lblOffset val="100"/>
        <c:noMultiLvlLbl val="0"/>
      </c:catAx>
      <c:valAx>
        <c:axId val="1354164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l-GR"/>
                  <a:t>ρ(</a:t>
                </a:r>
                <a:r>
                  <a:rPr lang="fr-FR"/>
                  <a:t>SRP→Q1)</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416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Répartition des verdicts d'hypothèses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SYNTHESE_5.3_HYPOTHESES!$B$107</c:f>
              <c:strCache>
                <c:ptCount val="1"/>
                <c:pt idx="0">
                  <c:v>Nombre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88-48D1-BCA7-2D1DC8BFDA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88-48D1-BCA7-2D1DC8BFDA08}"/>
              </c:ext>
            </c:extLst>
          </c:dPt>
          <c:cat>
            <c:strRef>
              <c:f>SYNTHESE_5.3_HYPOTHESES!$A$108:$A$109</c:f>
              <c:strCache>
                <c:ptCount val="2"/>
                <c:pt idx="0">
                  <c:v>CONFIRMÉE</c:v>
                </c:pt>
                <c:pt idx="1">
                  <c:v>INFIRMÉE</c:v>
                </c:pt>
              </c:strCache>
            </c:strRef>
          </c:cat>
          <c:val>
            <c:numRef>
              <c:f>SYNTHESE_5.3_HYPOTHESES!$B$108:$B$109</c:f>
              <c:numCache>
                <c:formatCode>General</c:formatCode>
                <c:ptCount val="2"/>
                <c:pt idx="0">
                  <c:v>3</c:v>
                </c:pt>
                <c:pt idx="1">
                  <c:v>3</c:v>
                </c:pt>
              </c:numCache>
            </c:numRef>
          </c:val>
          <c:extLst>
            <c:ext xmlns:c16="http://schemas.microsoft.com/office/drawing/2014/chart" uri="{C3380CC4-5D6E-409C-BE32-E72D297353CC}">
              <c16:uniqueId val="{00000000-2A8D-444D-B419-8664FEE16FE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Importance perçue des risques (Q16)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bar"/>
        <c:grouping val="clustered"/>
        <c:varyColors val="0"/>
        <c:ser>
          <c:idx val="0"/>
          <c:order val="0"/>
          <c:tx>
            <c:strRef>
              <c:f>SYNTHESE_5.4_COMPLEM!$B$4</c:f>
              <c:strCache>
                <c:ptCount val="1"/>
                <c:pt idx="0">
                  <c:v>Moyenne (1-5)</c:v>
                </c:pt>
              </c:strCache>
            </c:strRef>
          </c:tx>
          <c:spPr>
            <a:solidFill>
              <a:schemeClr val="accent1"/>
            </a:solidFill>
            <a:ln>
              <a:noFill/>
            </a:ln>
            <a:effectLst/>
          </c:spPr>
          <c:invertIfNegative val="0"/>
          <c:cat>
            <c:strRef>
              <c:f>SYNTHESE_5.4_COMPLEM!$A$5:$A$8</c:f>
              <c:strCache>
                <c:ptCount val="4"/>
                <c:pt idx="0">
                  <c:v>Confidentialité (Q16_2)</c:v>
                </c:pt>
                <c:pt idx="1">
                  <c:v>Hallucinations (Q16_1)</c:v>
                </c:pt>
                <c:pt idx="2">
                  <c:v>Responsabilité (Q16_4)</c:v>
                </c:pt>
                <c:pt idx="3">
                  <c:v>Boîte noire (Q16_3)</c:v>
                </c:pt>
              </c:strCache>
            </c:strRef>
          </c:cat>
          <c:val>
            <c:numRef>
              <c:f>SYNTHESE_5.4_COMPLEM!$B$5:$B$8</c:f>
              <c:numCache>
                <c:formatCode>General</c:formatCode>
                <c:ptCount val="4"/>
                <c:pt idx="0">
                  <c:v>3.8805970149253732</c:v>
                </c:pt>
                <c:pt idx="1">
                  <c:v>3.6417910447761193</c:v>
                </c:pt>
                <c:pt idx="2">
                  <c:v>4.4328358208955221</c:v>
                </c:pt>
                <c:pt idx="3">
                  <c:v>4.3432835820895521</c:v>
                </c:pt>
              </c:numCache>
            </c:numRef>
          </c:val>
          <c:extLst>
            <c:ext xmlns:c16="http://schemas.microsoft.com/office/drawing/2014/chart" uri="{C3380CC4-5D6E-409C-BE32-E72D297353CC}">
              <c16:uniqueId val="{00000000-9E2B-4BB9-8401-34E6DDB7912E}"/>
            </c:ext>
          </c:extLst>
        </c:ser>
        <c:dLbls>
          <c:showLegendKey val="0"/>
          <c:showVal val="0"/>
          <c:showCatName val="0"/>
          <c:showSerName val="0"/>
          <c:showPercent val="0"/>
          <c:showBubbleSize val="0"/>
        </c:dLbls>
        <c:gapWidth val="182"/>
        <c:axId val="1354542000"/>
        <c:axId val="1354542480"/>
      </c:barChart>
      <c:catAx>
        <c:axId val="135454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4542480"/>
        <c:crosses val="autoZero"/>
        <c:auto val="1"/>
        <c:lblAlgn val="ctr"/>
        <c:lblOffset val="100"/>
        <c:noMultiLvlLbl val="0"/>
      </c:catAx>
      <c:valAx>
        <c:axId val="1354542480"/>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5454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Comparaison des scores moyens par grade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SYNTHESE_5.4_COMPLEM!$B$54</c:f>
              <c:strCache>
                <c:ptCount val="1"/>
                <c:pt idx="0">
                  <c:v>SRP</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SYNTHESE_5.4_COMPLEM!$A$55:$A$57</c:f>
              <c:strCache>
                <c:ptCount val="3"/>
                <c:pt idx="0">
                  <c:v>Junior</c:v>
                </c:pt>
                <c:pt idx="1">
                  <c:v>Senior-Manager</c:v>
                </c:pt>
                <c:pt idx="2">
                  <c:v>Associé</c:v>
                </c:pt>
              </c:strCache>
            </c:strRef>
          </c:cat>
          <c:val>
            <c:numRef>
              <c:f>SYNTHESE_5.4_COMPLEM!$B$55:$B$57</c:f>
              <c:numCache>
                <c:formatCode>General</c:formatCode>
                <c:ptCount val="3"/>
                <c:pt idx="0">
                  <c:v>5.3520000000000003</c:v>
                </c:pt>
                <c:pt idx="1">
                  <c:v>5.5439999999999996</c:v>
                </c:pt>
                <c:pt idx="2">
                  <c:v>5.8609999999999998</c:v>
                </c:pt>
              </c:numCache>
            </c:numRef>
          </c:val>
          <c:extLst>
            <c:ext xmlns:c16="http://schemas.microsoft.com/office/drawing/2014/chart" uri="{C3380CC4-5D6E-409C-BE32-E72D297353CC}">
              <c16:uniqueId val="{00000000-86CF-4B12-A95D-CAF138780039}"/>
            </c:ext>
          </c:extLst>
        </c:ser>
        <c:ser>
          <c:idx val="1"/>
          <c:order val="1"/>
          <c:tx>
            <c:strRef>
              <c:f>SYNTHESE_5.4_COMPLEM!$C$54</c:f>
              <c:strCache>
                <c:ptCount val="1"/>
                <c:pt idx="0">
                  <c:v>SS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SYNTHESE_5.4_COMPLEM!$A$55:$A$57</c:f>
              <c:strCache>
                <c:ptCount val="3"/>
                <c:pt idx="0">
                  <c:v>Junior</c:v>
                </c:pt>
                <c:pt idx="1">
                  <c:v>Senior-Manager</c:v>
                </c:pt>
                <c:pt idx="2">
                  <c:v>Associé</c:v>
                </c:pt>
              </c:strCache>
            </c:strRef>
          </c:cat>
          <c:val>
            <c:numRef>
              <c:f>SYNTHESE_5.4_COMPLEM!$C$55:$C$57</c:f>
              <c:numCache>
                <c:formatCode>General</c:formatCode>
                <c:ptCount val="3"/>
                <c:pt idx="0">
                  <c:v>4.806</c:v>
                </c:pt>
                <c:pt idx="1">
                  <c:v>5.0819999999999999</c:v>
                </c:pt>
                <c:pt idx="2">
                  <c:v>5.1109999999999998</c:v>
                </c:pt>
              </c:numCache>
            </c:numRef>
          </c:val>
          <c:extLst>
            <c:ext xmlns:c16="http://schemas.microsoft.com/office/drawing/2014/chart" uri="{C3380CC4-5D6E-409C-BE32-E72D297353CC}">
              <c16:uniqueId val="{00000001-86CF-4B12-A95D-CAF138780039}"/>
            </c:ext>
          </c:extLst>
        </c:ser>
        <c:ser>
          <c:idx val="2"/>
          <c:order val="2"/>
          <c:tx>
            <c:strRef>
              <c:f>SYNTHESE_5.4_COMPLEM!$D$54</c:f>
              <c:strCache>
                <c:ptCount val="1"/>
                <c:pt idx="0">
                  <c:v>Q1</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SYNTHESE_5.4_COMPLEM!$A$55:$A$57</c:f>
              <c:strCache>
                <c:ptCount val="3"/>
                <c:pt idx="0">
                  <c:v>Junior</c:v>
                </c:pt>
                <c:pt idx="1">
                  <c:v>Senior-Manager</c:v>
                </c:pt>
                <c:pt idx="2">
                  <c:v>Associé</c:v>
                </c:pt>
              </c:strCache>
            </c:strRef>
          </c:cat>
          <c:val>
            <c:numRef>
              <c:f>SYNTHESE_5.4_COMPLEM!$D$55:$D$57</c:f>
              <c:numCache>
                <c:formatCode>General</c:formatCode>
                <c:ptCount val="3"/>
                <c:pt idx="0">
                  <c:v>4.9379999999999997</c:v>
                </c:pt>
                <c:pt idx="1">
                  <c:v>5.2350000000000003</c:v>
                </c:pt>
                <c:pt idx="2">
                  <c:v>4.944</c:v>
                </c:pt>
              </c:numCache>
            </c:numRef>
          </c:val>
          <c:extLst>
            <c:ext xmlns:c16="http://schemas.microsoft.com/office/drawing/2014/chart" uri="{C3380CC4-5D6E-409C-BE32-E72D297353CC}">
              <c16:uniqueId val="{00000002-86CF-4B12-A95D-CAF138780039}"/>
            </c:ext>
          </c:extLst>
        </c:ser>
        <c:dLbls>
          <c:dLblPos val="outEnd"/>
          <c:showLegendKey val="0"/>
          <c:showVal val="1"/>
          <c:showCatName val="0"/>
          <c:showSerName val="0"/>
          <c:showPercent val="0"/>
          <c:showBubbleSize val="0"/>
        </c:dLbls>
        <c:gapWidth val="444"/>
        <c:overlap val="-90"/>
        <c:axId val="1341139360"/>
        <c:axId val="1341139840"/>
      </c:barChart>
      <c:catAx>
        <c:axId val="134113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fr-FR"/>
          </a:p>
        </c:txPr>
        <c:crossAx val="1341139840"/>
        <c:crosses val="autoZero"/>
        <c:auto val="1"/>
        <c:lblAlgn val="ctr"/>
        <c:lblOffset val="100"/>
        <c:noMultiLvlLbl val="0"/>
      </c:catAx>
      <c:valAx>
        <c:axId val="1341139840"/>
        <c:scaling>
          <c:orientation val="minMax"/>
        </c:scaling>
        <c:delete val="1"/>
        <c:axPos val="l"/>
        <c:numFmt formatCode="General" sourceLinked="1"/>
        <c:majorTickMark val="none"/>
        <c:minorTickMark val="none"/>
        <c:tickLblPos val="nextTo"/>
        <c:crossAx val="1341139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Intention d'augmenter l'usage (Q27)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28-4F56-ACA9-458C31AEEA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28-4F56-ACA9-458C31AEEA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28-4F56-ACA9-458C31AEEAB5}"/>
              </c:ext>
            </c:extLst>
          </c:dPt>
          <c:cat>
            <c:strRef>
              <c:f>SYNTHESE_5.4_COMPLEM!$A$27:$A$29</c:f>
              <c:strCache>
                <c:ptCount val="3"/>
                <c:pt idx="0">
                  <c:v>Oui — Augmentation prévue</c:v>
                </c:pt>
                <c:pt idx="1">
                  <c:v>Non — Pas d'augmentation prévue</c:v>
                </c:pt>
                <c:pt idx="2">
                  <c:v>Conditionnel / Incertain</c:v>
                </c:pt>
              </c:strCache>
            </c:strRef>
          </c:cat>
          <c:val>
            <c:numRef>
              <c:f>SYNTHESE_5.4_COMPLEM!$B$27:$B$29</c:f>
              <c:numCache>
                <c:formatCode>General</c:formatCode>
                <c:ptCount val="3"/>
                <c:pt idx="0">
                  <c:v>39</c:v>
                </c:pt>
                <c:pt idx="1">
                  <c:v>24</c:v>
                </c:pt>
                <c:pt idx="2">
                  <c:v>4</c:v>
                </c:pt>
              </c:numCache>
            </c:numRef>
          </c:val>
          <c:extLst>
            <c:ext xmlns:c16="http://schemas.microsoft.com/office/drawing/2014/chart" uri="{C3380CC4-5D6E-409C-BE32-E72D297353CC}">
              <c16:uniqueId val="{00000000-7360-4345-8D27-E1EBB1D05CE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Scores moyens : Big4/International vs Autres cabinets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SYNTHESE_5.4_COMPLEM!$B$77</c:f>
              <c:strCache>
                <c:ptCount val="1"/>
                <c:pt idx="0">
                  <c:v>SRP</c:v>
                </c:pt>
              </c:strCache>
            </c:strRef>
          </c:tx>
          <c:spPr>
            <a:solidFill>
              <a:schemeClr val="accent1"/>
            </a:solidFill>
            <a:ln>
              <a:noFill/>
            </a:ln>
            <a:effectLst/>
          </c:spPr>
          <c:invertIfNegative val="0"/>
          <c:cat>
            <c:strRef>
              <c:f>SYNTHESE_5.4_COMPLEM!$A$78:$A$79</c:f>
              <c:strCache>
                <c:ptCount val="2"/>
                <c:pt idx="0">
                  <c:v>Big4/Int.</c:v>
                </c:pt>
                <c:pt idx="1">
                  <c:v>Autres</c:v>
                </c:pt>
              </c:strCache>
            </c:strRef>
          </c:cat>
          <c:val>
            <c:numRef>
              <c:f>SYNTHESE_5.4_COMPLEM!$B$78:$B$79</c:f>
              <c:numCache>
                <c:formatCode>General</c:formatCode>
                <c:ptCount val="2"/>
                <c:pt idx="0">
                  <c:v>5.3380000000000001</c:v>
                </c:pt>
                <c:pt idx="1">
                  <c:v>5.7830000000000004</c:v>
                </c:pt>
              </c:numCache>
            </c:numRef>
          </c:val>
          <c:extLst>
            <c:ext xmlns:c16="http://schemas.microsoft.com/office/drawing/2014/chart" uri="{C3380CC4-5D6E-409C-BE32-E72D297353CC}">
              <c16:uniqueId val="{00000000-9A2A-4805-B295-73B851659587}"/>
            </c:ext>
          </c:extLst>
        </c:ser>
        <c:ser>
          <c:idx val="1"/>
          <c:order val="1"/>
          <c:tx>
            <c:strRef>
              <c:f>SYNTHESE_5.4_COMPLEM!$C$77</c:f>
              <c:strCache>
                <c:ptCount val="1"/>
                <c:pt idx="0">
                  <c:v>SMF</c:v>
                </c:pt>
              </c:strCache>
            </c:strRef>
          </c:tx>
          <c:spPr>
            <a:solidFill>
              <a:schemeClr val="accent2"/>
            </a:solidFill>
            <a:ln>
              <a:noFill/>
            </a:ln>
            <a:effectLst/>
          </c:spPr>
          <c:invertIfNegative val="0"/>
          <c:cat>
            <c:strRef>
              <c:f>SYNTHESE_5.4_COMPLEM!$A$78:$A$79</c:f>
              <c:strCache>
                <c:ptCount val="2"/>
                <c:pt idx="0">
                  <c:v>Big4/Int.</c:v>
                </c:pt>
                <c:pt idx="1">
                  <c:v>Autres</c:v>
                </c:pt>
              </c:strCache>
            </c:strRef>
          </c:cat>
          <c:val>
            <c:numRef>
              <c:f>SYNTHESE_5.4_COMPLEM!$C$78:$C$79</c:f>
              <c:numCache>
                <c:formatCode>General</c:formatCode>
                <c:ptCount val="2"/>
                <c:pt idx="0">
                  <c:v>4.7210000000000001</c:v>
                </c:pt>
                <c:pt idx="1">
                  <c:v>4.8559999999999999</c:v>
                </c:pt>
              </c:numCache>
            </c:numRef>
          </c:val>
          <c:extLst>
            <c:ext xmlns:c16="http://schemas.microsoft.com/office/drawing/2014/chart" uri="{C3380CC4-5D6E-409C-BE32-E72D297353CC}">
              <c16:uniqueId val="{00000001-9A2A-4805-B295-73B851659587}"/>
            </c:ext>
          </c:extLst>
        </c:ser>
        <c:ser>
          <c:idx val="2"/>
          <c:order val="2"/>
          <c:tx>
            <c:strRef>
              <c:f>SYNTHESE_5.4_COMPLEM!$D$77</c:f>
              <c:strCache>
                <c:ptCount val="1"/>
                <c:pt idx="0">
                  <c:v>SS</c:v>
                </c:pt>
              </c:strCache>
            </c:strRef>
          </c:tx>
          <c:spPr>
            <a:solidFill>
              <a:schemeClr val="accent3"/>
            </a:solidFill>
            <a:ln>
              <a:noFill/>
            </a:ln>
            <a:effectLst/>
          </c:spPr>
          <c:invertIfNegative val="0"/>
          <c:cat>
            <c:strRef>
              <c:f>SYNTHESE_5.4_COMPLEM!$A$78:$A$79</c:f>
              <c:strCache>
                <c:ptCount val="2"/>
                <c:pt idx="0">
                  <c:v>Big4/Int.</c:v>
                </c:pt>
                <c:pt idx="1">
                  <c:v>Autres</c:v>
                </c:pt>
              </c:strCache>
            </c:strRef>
          </c:cat>
          <c:val>
            <c:numRef>
              <c:f>SYNTHESE_5.4_COMPLEM!$D$78:$D$79</c:f>
              <c:numCache>
                <c:formatCode>General</c:formatCode>
                <c:ptCount val="2"/>
                <c:pt idx="0">
                  <c:v>4.8109999999999999</c:v>
                </c:pt>
                <c:pt idx="1">
                  <c:v>5.14</c:v>
                </c:pt>
              </c:numCache>
            </c:numRef>
          </c:val>
          <c:extLst>
            <c:ext xmlns:c16="http://schemas.microsoft.com/office/drawing/2014/chart" uri="{C3380CC4-5D6E-409C-BE32-E72D297353CC}">
              <c16:uniqueId val="{00000002-9A2A-4805-B295-73B851659587}"/>
            </c:ext>
          </c:extLst>
        </c:ser>
        <c:dLbls>
          <c:showLegendKey val="0"/>
          <c:showVal val="0"/>
          <c:showCatName val="0"/>
          <c:showSerName val="0"/>
          <c:showPercent val="0"/>
          <c:showBubbleSize val="0"/>
        </c:dLbls>
        <c:gapWidth val="219"/>
        <c:overlap val="-27"/>
        <c:axId val="1335121536"/>
        <c:axId val="1296405616"/>
      </c:barChart>
      <c:catAx>
        <c:axId val="133512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96405616"/>
        <c:crosses val="autoZero"/>
        <c:auto val="1"/>
        <c:lblAlgn val="ctr"/>
        <c:lblOffset val="100"/>
        <c:noMultiLvlLbl val="0"/>
      </c:catAx>
      <c:valAx>
        <c:axId val="129640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35121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Profil comparé par grade (échelles 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tx>
            <c:strRef>
              <c:f>SYNTHESE_5.4_COMPLEM!$B$97</c:f>
              <c:strCache>
                <c:ptCount val="1"/>
                <c:pt idx="0">
                  <c:v>Junior</c:v>
                </c:pt>
              </c:strCache>
            </c:strRef>
          </c:tx>
          <c:spPr>
            <a:ln w="28575" cap="rnd">
              <a:solidFill>
                <a:schemeClr val="accent1"/>
              </a:solidFill>
              <a:round/>
            </a:ln>
            <a:effectLst/>
          </c:spPr>
          <c:marker>
            <c:symbol val="none"/>
          </c:marker>
          <c:cat>
            <c:strRef>
              <c:f>SYNTHESE_5.4_COMPLEM!$A$98:$A$100</c:f>
              <c:strCache>
                <c:ptCount val="3"/>
                <c:pt idx="0">
                  <c:v>SRP</c:v>
                </c:pt>
                <c:pt idx="1">
                  <c:v>SS</c:v>
                </c:pt>
                <c:pt idx="2">
                  <c:v>Q1 (usage)</c:v>
                </c:pt>
              </c:strCache>
            </c:strRef>
          </c:cat>
          <c:val>
            <c:numRef>
              <c:f>SYNTHESE_5.4_COMPLEM!$B$98:$B$100</c:f>
              <c:numCache>
                <c:formatCode>General</c:formatCode>
                <c:ptCount val="3"/>
                <c:pt idx="0">
                  <c:v>5.3520000000000003</c:v>
                </c:pt>
                <c:pt idx="1">
                  <c:v>4.806</c:v>
                </c:pt>
                <c:pt idx="2">
                  <c:v>4.9379999999999997</c:v>
                </c:pt>
              </c:numCache>
            </c:numRef>
          </c:val>
          <c:extLst>
            <c:ext xmlns:c16="http://schemas.microsoft.com/office/drawing/2014/chart" uri="{C3380CC4-5D6E-409C-BE32-E72D297353CC}">
              <c16:uniqueId val="{00000000-57A0-47F0-BFD8-79D06E03FFB6}"/>
            </c:ext>
          </c:extLst>
        </c:ser>
        <c:ser>
          <c:idx val="1"/>
          <c:order val="1"/>
          <c:tx>
            <c:strRef>
              <c:f>SYNTHESE_5.4_COMPLEM!$C$97</c:f>
              <c:strCache>
                <c:ptCount val="1"/>
                <c:pt idx="0">
                  <c:v>Senior-Mgr</c:v>
                </c:pt>
              </c:strCache>
            </c:strRef>
          </c:tx>
          <c:spPr>
            <a:ln w="28575" cap="rnd">
              <a:solidFill>
                <a:schemeClr val="accent2"/>
              </a:solidFill>
              <a:round/>
            </a:ln>
            <a:effectLst/>
          </c:spPr>
          <c:marker>
            <c:symbol val="none"/>
          </c:marker>
          <c:cat>
            <c:strRef>
              <c:f>SYNTHESE_5.4_COMPLEM!$A$98:$A$100</c:f>
              <c:strCache>
                <c:ptCount val="3"/>
                <c:pt idx="0">
                  <c:v>SRP</c:v>
                </c:pt>
                <c:pt idx="1">
                  <c:v>SS</c:v>
                </c:pt>
                <c:pt idx="2">
                  <c:v>Q1 (usage)</c:v>
                </c:pt>
              </c:strCache>
            </c:strRef>
          </c:cat>
          <c:val>
            <c:numRef>
              <c:f>SYNTHESE_5.4_COMPLEM!$C$98:$C$100</c:f>
              <c:numCache>
                <c:formatCode>General</c:formatCode>
                <c:ptCount val="3"/>
                <c:pt idx="0">
                  <c:v>5.5439999999999996</c:v>
                </c:pt>
                <c:pt idx="1">
                  <c:v>5.0819999999999999</c:v>
                </c:pt>
                <c:pt idx="2">
                  <c:v>5.2350000000000003</c:v>
                </c:pt>
              </c:numCache>
            </c:numRef>
          </c:val>
          <c:extLst>
            <c:ext xmlns:c16="http://schemas.microsoft.com/office/drawing/2014/chart" uri="{C3380CC4-5D6E-409C-BE32-E72D297353CC}">
              <c16:uniqueId val="{00000001-57A0-47F0-BFD8-79D06E03FFB6}"/>
            </c:ext>
          </c:extLst>
        </c:ser>
        <c:ser>
          <c:idx val="2"/>
          <c:order val="2"/>
          <c:tx>
            <c:strRef>
              <c:f>SYNTHESE_5.4_COMPLEM!$D$97</c:f>
              <c:strCache>
                <c:ptCount val="1"/>
                <c:pt idx="0">
                  <c:v>Associé</c:v>
                </c:pt>
              </c:strCache>
            </c:strRef>
          </c:tx>
          <c:spPr>
            <a:ln w="28575" cap="rnd">
              <a:solidFill>
                <a:schemeClr val="accent3"/>
              </a:solidFill>
              <a:round/>
            </a:ln>
            <a:effectLst/>
          </c:spPr>
          <c:marker>
            <c:symbol val="none"/>
          </c:marker>
          <c:cat>
            <c:strRef>
              <c:f>SYNTHESE_5.4_COMPLEM!$A$98:$A$100</c:f>
              <c:strCache>
                <c:ptCount val="3"/>
                <c:pt idx="0">
                  <c:v>SRP</c:v>
                </c:pt>
                <c:pt idx="1">
                  <c:v>SS</c:v>
                </c:pt>
                <c:pt idx="2">
                  <c:v>Q1 (usage)</c:v>
                </c:pt>
              </c:strCache>
            </c:strRef>
          </c:cat>
          <c:val>
            <c:numRef>
              <c:f>SYNTHESE_5.4_COMPLEM!$D$98:$D$100</c:f>
              <c:numCache>
                <c:formatCode>General</c:formatCode>
                <c:ptCount val="3"/>
                <c:pt idx="0">
                  <c:v>5.8609999999999998</c:v>
                </c:pt>
                <c:pt idx="1">
                  <c:v>5.1109999999999998</c:v>
                </c:pt>
                <c:pt idx="2">
                  <c:v>4.944</c:v>
                </c:pt>
              </c:numCache>
            </c:numRef>
          </c:val>
          <c:extLst>
            <c:ext xmlns:c16="http://schemas.microsoft.com/office/drawing/2014/chart" uri="{C3380CC4-5D6E-409C-BE32-E72D297353CC}">
              <c16:uniqueId val="{00000002-57A0-47F0-BFD8-79D06E03FFB6}"/>
            </c:ext>
          </c:extLst>
        </c:ser>
        <c:dLbls>
          <c:showLegendKey val="0"/>
          <c:showVal val="0"/>
          <c:showCatName val="0"/>
          <c:showSerName val="0"/>
          <c:showPercent val="0"/>
          <c:showBubbleSize val="0"/>
        </c:dLbls>
        <c:axId val="1335122016"/>
        <c:axId val="1335123936"/>
      </c:radarChart>
      <c:catAx>
        <c:axId val="133512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35123936"/>
        <c:crosses val="autoZero"/>
        <c:auto val="1"/>
        <c:lblAlgn val="ctr"/>
        <c:lblOffset val="100"/>
        <c:noMultiLvlLbl val="0"/>
      </c:catAx>
      <c:valAx>
        <c:axId val="133512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35122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Répartition SUP</cx:v>
        </cx:txData>
      </cx:tx>
      <cx:txPr>
        <a:bodyPr spcFirstLastPara="1" vertOverflow="ellipsis" horzOverflow="overflow" wrap="square" lIns="0" tIns="0" rIns="0" bIns="0" anchor="ctr" anchorCtr="1"/>
        <a:lstStyle/>
        <a:p>
          <a:pPr algn="ctr" rtl="0">
            <a:defRPr/>
          </a:pPr>
          <a:r>
            <a:rPr lang="fr-FR" sz="1400" b="0" i="0" u="none" strike="noStrike" baseline="0">
              <a:solidFill>
                <a:sysClr val="windowText" lastClr="000000">
                  <a:lumMod val="65000"/>
                  <a:lumOff val="35000"/>
                </a:sysClr>
              </a:solidFill>
              <a:latin typeface="Calibri"/>
            </a:rPr>
            <a:t>Répartition SUP</a:t>
          </a:r>
        </a:p>
      </cx:txPr>
    </cx:title>
    <cx:plotArea>
      <cx:plotAreaRegion>
        <cx:series layoutId="clusteredColumn" uniqueId="{949DFF94-A2AB-4ED9-8834-71E91680E548}">
          <cx:tx>
            <cx:txData>
              <cx:f>_xlchart.v1.0</cx:f>
              <cx:v>SUP</cx:v>
            </cx:txData>
          </cx:tx>
          <cx:dataLabels>
            <cx:visibility seriesName="0" categoryName="0" value="1"/>
          </cx:dataLabels>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chart" Target="../charts/chart23.xml"/><Relationship Id="rId1" Type="http://schemas.openxmlformats.org/officeDocument/2006/relationships/chart" Target="../charts/chart22.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9</xdr:col>
      <xdr:colOff>552450</xdr:colOff>
      <xdr:row>79</xdr:row>
      <xdr:rowOff>157162</xdr:rowOff>
    </xdr:from>
    <xdr:to>
      <xdr:col>18</xdr:col>
      <xdr:colOff>419100</xdr:colOff>
      <xdr:row>95</xdr:row>
      <xdr:rowOff>171450</xdr:rowOff>
    </xdr:to>
    <xdr:graphicFrame macro="">
      <xdr:nvGraphicFramePr>
        <xdr:cNvPr id="2" name="Graphique 1">
          <a:extLst>
            <a:ext uri="{FF2B5EF4-FFF2-40B4-BE49-F238E27FC236}">
              <a16:creationId xmlns:a16="http://schemas.microsoft.com/office/drawing/2014/main" id="{F1F53F47-CB23-9D64-53A4-02018A808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47586</xdr:colOff>
      <xdr:row>0</xdr:row>
      <xdr:rowOff>0</xdr:rowOff>
    </xdr:from>
    <xdr:to>
      <xdr:col>15</xdr:col>
      <xdr:colOff>433628</xdr:colOff>
      <xdr:row>11</xdr:row>
      <xdr:rowOff>15875</xdr:rowOff>
    </xdr:to>
    <xdr:graphicFrame macro="">
      <xdr:nvGraphicFramePr>
        <xdr:cNvPr id="2" name="Graphique 1">
          <a:extLst>
            <a:ext uri="{FF2B5EF4-FFF2-40B4-BE49-F238E27FC236}">
              <a16:creationId xmlns:a16="http://schemas.microsoft.com/office/drawing/2014/main" id="{D0884528-5053-8909-11D1-2CF7353726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511175</xdr:colOff>
      <xdr:row>12</xdr:row>
      <xdr:rowOff>15875</xdr:rowOff>
    </xdr:from>
    <xdr:to>
      <xdr:col>9</xdr:col>
      <xdr:colOff>101600</xdr:colOff>
      <xdr:row>13</xdr:row>
      <xdr:rowOff>142875</xdr:rowOff>
    </xdr:to>
    <xdr:sp macro="" textlink="">
      <xdr:nvSpPr>
        <xdr:cNvPr id="3" name="ZoneTexte 2">
          <a:extLst>
            <a:ext uri="{FF2B5EF4-FFF2-40B4-BE49-F238E27FC236}">
              <a16:creationId xmlns:a16="http://schemas.microsoft.com/office/drawing/2014/main" id="{9D6C5318-A7B2-384E-9535-20809F52FFFE}"/>
            </a:ext>
          </a:extLst>
        </xdr:cNvPr>
        <xdr:cNvSpPr txBox="1"/>
      </xdr:nvSpPr>
      <xdr:spPr>
        <a:xfrm>
          <a:off x="6350000" y="3149600"/>
          <a:ext cx="4953000" cy="3175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fr-FR" sz="800" i="1"/>
            <a:t>Vert = sig. positif  |  Rouge = sig. négatif  |  Gris = non sig.  (seuil p&lt;0,05)</a:t>
          </a:r>
        </a:p>
      </xdr:txBody>
    </xdr:sp>
    <xdr:clientData/>
  </xdr:twoCellAnchor>
  <xdr:twoCellAnchor>
    <xdr:from>
      <xdr:col>9</xdr:col>
      <xdr:colOff>265447</xdr:colOff>
      <xdr:row>11</xdr:row>
      <xdr:rowOff>151417</xdr:rowOff>
    </xdr:from>
    <xdr:to>
      <xdr:col>15</xdr:col>
      <xdr:colOff>651489</xdr:colOff>
      <xdr:row>21</xdr:row>
      <xdr:rowOff>29516</xdr:rowOff>
    </xdr:to>
    <xdr:graphicFrame macro="">
      <xdr:nvGraphicFramePr>
        <xdr:cNvPr id="4" name="Graphique 3">
          <a:extLst>
            <a:ext uri="{FF2B5EF4-FFF2-40B4-BE49-F238E27FC236}">
              <a16:creationId xmlns:a16="http://schemas.microsoft.com/office/drawing/2014/main" id="{4E389402-A3C4-C99E-5FDD-7C260AF5E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522382</xdr:colOff>
      <xdr:row>36</xdr:row>
      <xdr:rowOff>18864</xdr:rowOff>
    </xdr:from>
    <xdr:to>
      <xdr:col>14</xdr:col>
      <xdr:colOff>269502</xdr:colOff>
      <xdr:row>50</xdr:row>
      <xdr:rowOff>79002</xdr:rowOff>
    </xdr:to>
    <xdr:graphicFrame macro="">
      <xdr:nvGraphicFramePr>
        <xdr:cNvPr id="5" name="Graphique 4">
          <a:extLst>
            <a:ext uri="{FF2B5EF4-FFF2-40B4-BE49-F238E27FC236}">
              <a16:creationId xmlns:a16="http://schemas.microsoft.com/office/drawing/2014/main" id="{6235E17B-00E2-FF44-4312-04C4F1BF41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635778</xdr:colOff>
      <xdr:row>21</xdr:row>
      <xdr:rowOff>182368</xdr:rowOff>
    </xdr:from>
    <xdr:to>
      <xdr:col>14</xdr:col>
      <xdr:colOff>385700</xdr:colOff>
      <xdr:row>34</xdr:row>
      <xdr:rowOff>96102</xdr:rowOff>
    </xdr:to>
    <xdr:graphicFrame macro="">
      <xdr:nvGraphicFramePr>
        <xdr:cNvPr id="6" name="Graphique 5">
          <a:extLst>
            <a:ext uri="{FF2B5EF4-FFF2-40B4-BE49-F238E27FC236}">
              <a16:creationId xmlns:a16="http://schemas.microsoft.com/office/drawing/2014/main" id="{939D8950-96D6-056A-47E6-462A799E30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522382</xdr:colOff>
      <xdr:row>52</xdr:row>
      <xdr:rowOff>560</xdr:rowOff>
    </xdr:from>
    <xdr:to>
      <xdr:col>14</xdr:col>
      <xdr:colOff>269502</xdr:colOff>
      <xdr:row>66</xdr:row>
      <xdr:rowOff>64060</xdr:rowOff>
    </xdr:to>
    <xdr:graphicFrame macro="">
      <xdr:nvGraphicFramePr>
        <xdr:cNvPr id="7" name="Graphique 6">
          <a:extLst>
            <a:ext uri="{FF2B5EF4-FFF2-40B4-BE49-F238E27FC236}">
              <a16:creationId xmlns:a16="http://schemas.microsoft.com/office/drawing/2014/main" id="{86F5755D-1C87-3793-F4CE-34E289F47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89</xdr:row>
      <xdr:rowOff>0</xdr:rowOff>
    </xdr:from>
    <xdr:to>
      <xdr:col>3</xdr:col>
      <xdr:colOff>323022</xdr:colOff>
      <xdr:row>103</xdr:row>
      <xdr:rowOff>74002</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48920315-1CDF-4745-B728-0D14FE08EF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7687925"/>
              <a:ext cx="4390197" cy="2741002"/>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434069</xdr:colOff>
      <xdr:row>23</xdr:row>
      <xdr:rowOff>150566</xdr:rowOff>
    </xdr:from>
    <xdr:to>
      <xdr:col>20</xdr:col>
      <xdr:colOff>472169</xdr:colOff>
      <xdr:row>36</xdr:row>
      <xdr:rowOff>138792</xdr:rowOff>
    </xdr:to>
    <xdr:graphicFrame macro="">
      <xdr:nvGraphicFramePr>
        <xdr:cNvPr id="5" name="Graphique 4">
          <a:extLst>
            <a:ext uri="{FF2B5EF4-FFF2-40B4-BE49-F238E27FC236}">
              <a16:creationId xmlns:a16="http://schemas.microsoft.com/office/drawing/2014/main" id="{693FF814-3754-69B7-A2DA-AD042A7BF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561975</xdr:colOff>
      <xdr:row>64</xdr:row>
      <xdr:rowOff>276225</xdr:rowOff>
    </xdr:from>
    <xdr:ext cx="5760000" cy="3960000"/>
    <xdr:graphicFrame macro="">
      <xdr:nvGraphicFramePr>
        <xdr:cNvPr id="3" name="Chart 2">
          <a:extLst>
            <a:ext uri="{FF2B5EF4-FFF2-40B4-BE49-F238E27FC236}">
              <a16:creationId xmlns:a16="http://schemas.microsoft.com/office/drawing/2014/main" id="{1585D0BA-F4DF-4187-950B-038835247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twoCellAnchor>
    <xdr:from>
      <xdr:col>6</xdr:col>
      <xdr:colOff>190500</xdr:colOff>
      <xdr:row>33</xdr:row>
      <xdr:rowOff>242887</xdr:rowOff>
    </xdr:from>
    <xdr:to>
      <xdr:col>12</xdr:col>
      <xdr:colOff>190500</xdr:colOff>
      <xdr:row>49</xdr:row>
      <xdr:rowOff>180975</xdr:rowOff>
    </xdr:to>
    <xdr:graphicFrame macro="">
      <xdr:nvGraphicFramePr>
        <xdr:cNvPr id="4" name="Graphique 3">
          <a:extLst>
            <a:ext uri="{FF2B5EF4-FFF2-40B4-BE49-F238E27FC236}">
              <a16:creationId xmlns:a16="http://schemas.microsoft.com/office/drawing/2014/main" id="{DD83164E-91F0-72B6-5935-B02E525610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10</xdr:row>
      <xdr:rowOff>0</xdr:rowOff>
    </xdr:from>
    <xdr:to>
      <xdr:col>10</xdr:col>
      <xdr:colOff>0</xdr:colOff>
      <xdr:row>22</xdr:row>
      <xdr:rowOff>0</xdr:rowOff>
    </xdr:to>
    <xdr:graphicFrame macro="">
      <xdr:nvGraphicFramePr>
        <xdr:cNvPr id="2" name="Graphique 1">
          <a:extLst>
            <a:ext uri="{FF2B5EF4-FFF2-40B4-BE49-F238E27FC236}">
              <a16:creationId xmlns:a16="http://schemas.microsoft.com/office/drawing/2014/main" id="{BBD59760-6759-5580-3718-798EE5793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22</xdr:row>
      <xdr:rowOff>0</xdr:rowOff>
    </xdr:from>
    <xdr:to>
      <xdr:col>10</xdr:col>
      <xdr:colOff>0</xdr:colOff>
      <xdr:row>33</xdr:row>
      <xdr:rowOff>0</xdr:rowOff>
    </xdr:to>
    <xdr:graphicFrame macro="">
      <xdr:nvGraphicFramePr>
        <xdr:cNvPr id="3" name="Graphique 2">
          <a:extLst>
            <a:ext uri="{FF2B5EF4-FFF2-40B4-BE49-F238E27FC236}">
              <a16:creationId xmlns:a16="http://schemas.microsoft.com/office/drawing/2014/main" id="{D6D7C6ED-2BAF-376F-6E00-F667026E13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33</xdr:row>
      <xdr:rowOff>0</xdr:rowOff>
    </xdr:from>
    <xdr:to>
      <xdr:col>10</xdr:col>
      <xdr:colOff>0</xdr:colOff>
      <xdr:row>44</xdr:row>
      <xdr:rowOff>0</xdr:rowOff>
    </xdr:to>
    <xdr:graphicFrame macro="">
      <xdr:nvGraphicFramePr>
        <xdr:cNvPr id="4" name="Graphique 3">
          <a:extLst>
            <a:ext uri="{FF2B5EF4-FFF2-40B4-BE49-F238E27FC236}">
              <a16:creationId xmlns:a16="http://schemas.microsoft.com/office/drawing/2014/main" id="{809ABF90-B937-7874-4503-B87920941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44</xdr:row>
      <xdr:rowOff>0</xdr:rowOff>
    </xdr:from>
    <xdr:to>
      <xdr:col>10</xdr:col>
      <xdr:colOff>0</xdr:colOff>
      <xdr:row>55</xdr:row>
      <xdr:rowOff>0</xdr:rowOff>
    </xdr:to>
    <xdr:graphicFrame macro="">
      <xdr:nvGraphicFramePr>
        <xdr:cNvPr id="5" name="Graphique 4">
          <a:extLst>
            <a:ext uri="{FF2B5EF4-FFF2-40B4-BE49-F238E27FC236}">
              <a16:creationId xmlns:a16="http://schemas.microsoft.com/office/drawing/2014/main" id="{4D0107D1-0246-D034-718E-DA3AD3799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2</xdr:row>
      <xdr:rowOff>0</xdr:rowOff>
    </xdr:from>
    <xdr:to>
      <xdr:col>16</xdr:col>
      <xdr:colOff>0</xdr:colOff>
      <xdr:row>15</xdr:row>
      <xdr:rowOff>0</xdr:rowOff>
    </xdr:to>
    <xdr:graphicFrame macro="">
      <xdr:nvGraphicFramePr>
        <xdr:cNvPr id="6" name="Graphique 5">
          <a:extLst>
            <a:ext uri="{FF2B5EF4-FFF2-40B4-BE49-F238E27FC236}">
              <a16:creationId xmlns:a16="http://schemas.microsoft.com/office/drawing/2014/main" id="{64EE94C5-7F86-C64C-DBD0-27B87DB74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26</xdr:row>
      <xdr:rowOff>0</xdr:rowOff>
    </xdr:from>
    <xdr:to>
      <xdr:col>6</xdr:col>
      <xdr:colOff>0</xdr:colOff>
      <xdr:row>42</xdr:row>
      <xdr:rowOff>0</xdr:rowOff>
    </xdr:to>
    <xdr:graphicFrame macro="">
      <xdr:nvGraphicFramePr>
        <xdr:cNvPr id="2" name="Graphique 1">
          <a:extLst>
            <a:ext uri="{FF2B5EF4-FFF2-40B4-BE49-F238E27FC236}">
              <a16:creationId xmlns:a16="http://schemas.microsoft.com/office/drawing/2014/main" id="{78579469-3B55-F9DA-1688-449539CE4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0</xdr:rowOff>
    </xdr:from>
    <xdr:to>
      <xdr:col>12</xdr:col>
      <xdr:colOff>0</xdr:colOff>
      <xdr:row>40</xdr:row>
      <xdr:rowOff>0</xdr:rowOff>
    </xdr:to>
    <xdr:graphicFrame macro="">
      <xdr:nvGraphicFramePr>
        <xdr:cNvPr id="3" name="Graphique 2">
          <a:extLst>
            <a:ext uri="{FF2B5EF4-FFF2-40B4-BE49-F238E27FC236}">
              <a16:creationId xmlns:a16="http://schemas.microsoft.com/office/drawing/2014/main" id="{26BC21CB-3AD9-7B0B-5AC5-FE24BBFDC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0</xdr:rowOff>
    </xdr:from>
    <xdr:to>
      <xdr:col>6</xdr:col>
      <xdr:colOff>0</xdr:colOff>
      <xdr:row>55</xdr:row>
      <xdr:rowOff>0</xdr:rowOff>
    </xdr:to>
    <xdr:graphicFrame macro="">
      <xdr:nvGraphicFramePr>
        <xdr:cNvPr id="4" name="Graphique 3">
          <a:extLst>
            <a:ext uri="{FF2B5EF4-FFF2-40B4-BE49-F238E27FC236}">
              <a16:creationId xmlns:a16="http://schemas.microsoft.com/office/drawing/2014/main" id="{5053B6CA-2D0D-7EA1-CC24-6754B1B65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43</xdr:row>
      <xdr:rowOff>0</xdr:rowOff>
    </xdr:from>
    <xdr:to>
      <xdr:col>12</xdr:col>
      <xdr:colOff>0</xdr:colOff>
      <xdr:row>55</xdr:row>
      <xdr:rowOff>0</xdr:rowOff>
    </xdr:to>
    <xdr:graphicFrame macro="">
      <xdr:nvGraphicFramePr>
        <xdr:cNvPr id="5" name="Graphique 4">
          <a:extLst>
            <a:ext uri="{FF2B5EF4-FFF2-40B4-BE49-F238E27FC236}">
              <a16:creationId xmlns:a16="http://schemas.microsoft.com/office/drawing/2014/main" id="{558B9701-4C9F-7F55-2E38-9F41CE122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62</xdr:row>
      <xdr:rowOff>0</xdr:rowOff>
    </xdr:from>
    <xdr:to>
      <xdr:col>7</xdr:col>
      <xdr:colOff>0</xdr:colOff>
      <xdr:row>80</xdr:row>
      <xdr:rowOff>0</xdr:rowOff>
    </xdr:to>
    <xdr:graphicFrame macro="">
      <xdr:nvGraphicFramePr>
        <xdr:cNvPr id="2" name="Graphique 1">
          <a:extLst>
            <a:ext uri="{FF2B5EF4-FFF2-40B4-BE49-F238E27FC236}">
              <a16:creationId xmlns:a16="http://schemas.microsoft.com/office/drawing/2014/main" id="{081BD00B-ADB5-64C3-CFD9-6ACF4AB6B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88</xdr:row>
      <xdr:rowOff>0</xdr:rowOff>
    </xdr:from>
    <xdr:to>
      <xdr:col>7</xdr:col>
      <xdr:colOff>0</xdr:colOff>
      <xdr:row>103</xdr:row>
      <xdr:rowOff>0</xdr:rowOff>
    </xdr:to>
    <xdr:graphicFrame macro="">
      <xdr:nvGraphicFramePr>
        <xdr:cNvPr id="3" name="Graphique 2">
          <a:extLst>
            <a:ext uri="{FF2B5EF4-FFF2-40B4-BE49-F238E27FC236}">
              <a16:creationId xmlns:a16="http://schemas.microsoft.com/office/drawing/2014/main" id="{FE3AAFFC-D595-A238-6A83-9E98BB603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110</xdr:row>
      <xdr:rowOff>0</xdr:rowOff>
    </xdr:from>
    <xdr:to>
      <xdr:col>6</xdr:col>
      <xdr:colOff>0</xdr:colOff>
      <xdr:row>122</xdr:row>
      <xdr:rowOff>0</xdr:rowOff>
    </xdr:to>
    <xdr:graphicFrame macro="">
      <xdr:nvGraphicFramePr>
        <xdr:cNvPr id="4" name="Graphique 3">
          <a:extLst>
            <a:ext uri="{FF2B5EF4-FFF2-40B4-BE49-F238E27FC236}">
              <a16:creationId xmlns:a16="http://schemas.microsoft.com/office/drawing/2014/main" id="{9B32DC7C-C91C-0C3C-2DD4-C47529445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37</xdr:row>
      <xdr:rowOff>0</xdr:rowOff>
    </xdr:from>
    <xdr:to>
      <xdr:col>6</xdr:col>
      <xdr:colOff>0</xdr:colOff>
      <xdr:row>50</xdr:row>
      <xdr:rowOff>0</xdr:rowOff>
    </xdr:to>
    <xdr:graphicFrame macro="">
      <xdr:nvGraphicFramePr>
        <xdr:cNvPr id="2" name="Graphique 1">
          <a:extLst>
            <a:ext uri="{FF2B5EF4-FFF2-40B4-BE49-F238E27FC236}">
              <a16:creationId xmlns:a16="http://schemas.microsoft.com/office/drawing/2014/main" id="{D705902C-5554-7933-4897-50B4012E1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58</xdr:row>
      <xdr:rowOff>0</xdr:rowOff>
    </xdr:from>
    <xdr:to>
      <xdr:col>7</xdr:col>
      <xdr:colOff>0</xdr:colOff>
      <xdr:row>73</xdr:row>
      <xdr:rowOff>0</xdr:rowOff>
    </xdr:to>
    <xdr:graphicFrame macro="">
      <xdr:nvGraphicFramePr>
        <xdr:cNvPr id="3" name="Graphique 2">
          <a:extLst>
            <a:ext uri="{FF2B5EF4-FFF2-40B4-BE49-F238E27FC236}">
              <a16:creationId xmlns:a16="http://schemas.microsoft.com/office/drawing/2014/main" id="{795E8D6C-731E-6111-C7F3-E6DB0DCCB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37</xdr:row>
      <xdr:rowOff>0</xdr:rowOff>
    </xdr:from>
    <xdr:to>
      <xdr:col>12</xdr:col>
      <xdr:colOff>0</xdr:colOff>
      <xdr:row>50</xdr:row>
      <xdr:rowOff>0</xdr:rowOff>
    </xdr:to>
    <xdr:graphicFrame macro="">
      <xdr:nvGraphicFramePr>
        <xdr:cNvPr id="4" name="Graphique 3">
          <a:extLst>
            <a:ext uri="{FF2B5EF4-FFF2-40B4-BE49-F238E27FC236}">
              <a16:creationId xmlns:a16="http://schemas.microsoft.com/office/drawing/2014/main" id="{6D4BB7B8-459A-2500-23D2-CE8C49B943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80</xdr:row>
      <xdr:rowOff>0</xdr:rowOff>
    </xdr:from>
    <xdr:to>
      <xdr:col>7</xdr:col>
      <xdr:colOff>0</xdr:colOff>
      <xdr:row>93</xdr:row>
      <xdr:rowOff>0</xdr:rowOff>
    </xdr:to>
    <xdr:graphicFrame macro="">
      <xdr:nvGraphicFramePr>
        <xdr:cNvPr id="5" name="Graphique 4">
          <a:extLst>
            <a:ext uri="{FF2B5EF4-FFF2-40B4-BE49-F238E27FC236}">
              <a16:creationId xmlns:a16="http://schemas.microsoft.com/office/drawing/2014/main" id="{E0C2E194-AE3D-2B2D-DFF6-3FEEA953D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101</xdr:row>
      <xdr:rowOff>0</xdr:rowOff>
    </xdr:from>
    <xdr:to>
      <xdr:col>7</xdr:col>
      <xdr:colOff>0</xdr:colOff>
      <xdr:row>116</xdr:row>
      <xdr:rowOff>0</xdr:rowOff>
    </xdr:to>
    <xdr:graphicFrame macro="">
      <xdr:nvGraphicFramePr>
        <xdr:cNvPr id="6" name="Graphique 5">
          <a:extLst>
            <a:ext uri="{FF2B5EF4-FFF2-40B4-BE49-F238E27FC236}">
              <a16:creationId xmlns:a16="http://schemas.microsoft.com/office/drawing/2014/main" id="{D6456D6C-93D5-7A33-A7CB-AF04F45FB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O86">
  <autoFilter ref="A1:BO86" xr:uid="{00000000-0009-0000-0100-000001000000}"/>
  <tableColumns count="67">
    <tableColumn id="1" xr3:uid="{00000000-0010-0000-0000-000001000000}" name="Horodateur" dataDxfId="7"/>
    <tableColumn id="2" xr3:uid="{00000000-0010-0000-0000-000002000000}" name="Q1. À quelle fréquence utilisez-vous l'IA générative dans le cadre de votre travail en audit ? "/>
    <tableColumn id="3" xr3:uid="{00000000-0010-0000-0000-000003000000}" name="Q2. Quel type d'IAG utilisez-vous principalement ?"/>
    <tableColumn id="4" xr3:uid="{00000000-0010-0000-0000-000004000000}" name="Q3. Quelles IAG utilisez vous dans le cadre de vos missions d'audit ? [Mistral]"/>
    <tableColumn id="5" xr3:uid="{00000000-0010-0000-0000-000005000000}" name="Q3. Quelles IAG utilisez vous dans le cadre de vos missions d'audit ? [Copilot]"/>
    <tableColumn id="6" xr3:uid="{00000000-0010-0000-0000-000006000000}" name="Q3. Quelles IAG utilisez vous dans le cadre de vos missions d'audit ? [ChatGPT]"/>
    <tableColumn id="7" xr3:uid="{00000000-0010-0000-0000-000007000000}" name="Q3. Quelles IAG utilisez vous dans le cadre de vos missions d'audit ? [Gemini]"/>
    <tableColumn id="8" xr3:uid="{00000000-0010-0000-0000-000008000000}" name="Q3. Quelles IAG utilisez vous dans le cadre de vos missions d'audit ? [Perplexity]"/>
    <tableColumn id="9" xr3:uid="{00000000-0010-0000-0000-000009000000}" name="Q3. Quelles IAG utilisez vous dans le cadre de vos missions d'audit ? [Grok]"/>
    <tableColumn id="10" xr3:uid="{00000000-0010-0000-0000-00000A000000}" name="Q3. Quelles IAG utilisez vous dans le cadre de vos missions d'audit ? [Claude]"/>
    <tableColumn id="11" xr3:uid="{00000000-0010-0000-0000-00000B000000}" name="Q3. Quelles IAG utilisez vous dans le cadre de vos missions d'audit ? [Outils IAG spécifiques cabinet]"/>
    <tableColumn id="12" xr3:uid="{00000000-0010-0000-0000-00000C000000}" name="Q3. Quelles IAG utilisez vous dans le cadre de vos missions d'audit ? [Autres]"/>
    <tableColumn id="13" xr3:uid="{00000000-0010-0000-0000-00000D000000}" name="Q4. Parmi ces tâches, cochez celles que vous avez déjà effectuées à l’aide de l’IA générative."/>
    <tableColumn id="14" xr3:uid="{00000000-0010-0000-0000-00000E000000}" name="Q5. Vous utilisez l'IA générative..."/>
    <tableColumn id="15" xr3:uid="{00000000-0010-0000-0000-00000F000000}" name="Q6. Dans quelle mesure jugez-vous utile l’IA générative, pour améliorer la productivité, pour les activités suivantes ? [Extraction données (financières, juridiques, ...)]"/>
    <tableColumn id="16" xr3:uid="{00000000-0010-0000-0000-000010000000}" name="Q6. Dans quelle mesure jugez-vous utile l’IA générative, pour améliorer la productivité, pour les activités suivantes ? [Résumé données  (financières, juridiques, ...)]"/>
    <tableColumn id="17" xr3:uid="{00000000-0010-0000-0000-000011000000}" name="Q6. Dans quelle mesure jugez-vous utile l’IA générative, pour améliorer la productivité, pour les activités suivantes ? [Rédaction (rapports, synthèses, notes, mails)]"/>
    <tableColumn id="18" xr3:uid="{00000000-0010-0000-0000-000012000000}" name="Q6. Dans quelle mesure jugez-vous utile l’IA générative, pour améliorer la productivité, pour les activités suivantes ? [Rapprochement/Comparaison de documents]"/>
    <tableColumn id="19" xr3:uid="{00000000-0010-0000-0000-000013000000}" name="Q6. Dans quelle mesure jugez-vous utile l’IA générative, pour améliorer la productivité, pour les activités suivantes ? [Développement (scripts SQL, VBA)]"/>
    <tableColumn id="20" xr3:uid="{00000000-0010-0000-0000-000014000000}" name="Q6. Dans quelle mesure jugez-vous utile l’IA générative, pour améliorer la productivité, pour les activités suivantes ? [Détection de fraude]"/>
    <tableColumn id="21" xr3:uid="{00000000-0010-0000-0000-000015000000}" name="Q6. Dans quelle mesure jugez-vous utile l’IA générative, pour améliorer la productivité, pour les activités suivantes ? [Calcul du seuil de signification]"/>
    <tableColumn id="22" xr3:uid="{00000000-0010-0000-0000-000016000000}" name="Q6. Dans quelle mesure jugez-vous utile l’IA générative, pour améliorer la productivité, pour les activités suivantes ? [Revue d'estimations (provisions)]"/>
    <tableColumn id="23" xr3:uid="{00000000-0010-0000-0000-000017000000}" name="Q6. Dans quelle mesure jugez-vous utile l’IA générative, pour améliorer la productivité, pour les activités suivantes ? [Aide à la décision]"/>
    <tableColumn id="24" xr3:uid="{00000000-0010-0000-0000-000018000000}" name="Q6. Dans quelle mesure jugez-vous utile l’IA générative, pour améliorer la productivité, pour les activités suivantes ? [Préparation de données (format, structuration, harmonisation des valeurs)]"/>
    <tableColumn id="25" xr3:uid="{00000000-0010-0000-0000-000019000000}" name="Q7. Dans quelle mesure jugez-vous utile l’IA générative, pour améliorer la qualité, pour les activités suivantes ?  [Extraction données (financières, juridiques, ...)]"/>
    <tableColumn id="26" xr3:uid="{00000000-0010-0000-0000-00001A000000}" name="Q7. Dans quelle mesure jugez-vous utile l’IA générative, pour améliorer la qualité, pour les activités suivantes ?  [Résumé données  (financières, juridiques, ...)]"/>
    <tableColumn id="27" xr3:uid="{00000000-0010-0000-0000-00001B000000}" name="Q7. Dans quelle mesure jugez-vous utile l’IA générative, pour améliorer la qualité, pour les activités suivantes ?  [Rédaction (rapports, synthèses, notes, mails)]"/>
    <tableColumn id="28" xr3:uid="{00000000-0010-0000-0000-00001C000000}" name="Q7. Dans quelle mesure jugez-vous utile l’IA générative, pour améliorer la qualité, pour les activités suivantes ?  [Rapprochement/Comparaison de documents]"/>
    <tableColumn id="29" xr3:uid="{00000000-0010-0000-0000-00001D000000}" name="Q7. Dans quelle mesure jugez-vous utile l’IA générative, pour améliorer la qualité, pour les activités suivantes ?  [Développement (scripts SQL, VBA)]"/>
    <tableColumn id="30" xr3:uid="{00000000-0010-0000-0000-00001E000000}" name="Q7. Dans quelle mesure jugez-vous utile l’IA générative, pour améliorer la qualité, pour les activités suivantes ?  [Détection de fraude]"/>
    <tableColumn id="31" xr3:uid="{00000000-0010-0000-0000-00001F000000}" name="Q7. Dans quelle mesure jugez-vous utile l’IA générative, pour améliorer la qualité, pour les activités suivantes ?  [Calcul du seuil de signification]"/>
    <tableColumn id="32" xr3:uid="{00000000-0010-0000-0000-000020000000}" name="Q7. Dans quelle mesure jugez-vous utile l’IA générative, pour améliorer la qualité, pour les activités suivantes ?  [Revue d'estimations (provisions)]"/>
    <tableColumn id="33" xr3:uid="{00000000-0010-0000-0000-000021000000}" name="Q7. Dans quelle mesure jugez-vous utile l’IA générative, pour améliorer la qualité, pour les activités suivantes ?  [Aide à la décision]"/>
    <tableColumn id="34" xr3:uid="{00000000-0010-0000-0000-000022000000}" name="Q7. Dans quelle mesure jugez-vous utile l’IA générative, pour améliorer la qualité, pour les activités suivantes ?  [Préparation de données (format, structuration, harmonisation des valeurs)]"/>
    <tableColumn id="35" xr3:uid="{00000000-0010-0000-0000-000023000000}" name="Q8. &quot;L'utilisation de l'IA générative me fait gagner du temps&quot;"/>
    <tableColumn id="36" xr3:uid="{00000000-0010-0000-0000-000024000000}" name="Q9. Comment jugez-vous la prise en main des outils d'IA générative ?"/>
    <tableColumn id="37" xr3:uid="{00000000-0010-0000-0000-000025000000}" name="Q10. &quot;L'intégration de l'IA générative dans mon flux de travail quotidien se fait naturellement.&quot;"/>
    <tableColumn id="38" xr3:uid="{00000000-0010-0000-0000-000026000000}" name="Q11. &quot;Apprendre à utiliser l'IA générative efficacement requiert une formation&quot;"/>
    <tableColumn id="39" xr3:uid="{00000000-0010-0000-0000-000027000000}" name="Q12.  L'IA générative peut produire des informations inexactes ou trompeuses dans le contexte de l'audit."/>
    <tableColumn id="40" xr3:uid="{00000000-0010-0000-0000-000028000000}" name="Q13.   Partager des données avec l'IA générative présente des risques pour la confidentialité."/>
    <tableColumn id="41" xr3:uid="{00000000-0010-0000-0000-000029000000}" name="Q14.   La nature opaque des modèles d'IA générative (« boîte noire ») rend difficile de comprendre et de justifier comment les résultats ont été produits en audit."/>
    <tableColumn id="42" xr3:uid="{00000000-0010-0000-0000-00002A000000}" name="Q15. Je m'inquiète d'être tenu pour responsable si l'IAG fait une erreur dans mon travail."/>
    <tableColumn id="43" xr3:uid="{00000000-0010-0000-0000-00002B000000}" name="Q16 . Quel est le niveau d'importance de ce risque pour votre travail? [Hallucinations : Production d'informations fausses mais crédibles.]"/>
    <tableColumn id="44" xr3:uid="{00000000-0010-0000-0000-00002C000000}" name="Q16 . Quel est le niveau d'importance de ce risque pour votre travail? [Confidentialité : Risque de fuite ou d'usage illicite de données clients.]"/>
    <tableColumn id="45" xr3:uid="{00000000-0010-0000-0000-00002D000000}" name="Q16 . Quel est le niveau d'importance de ce risque pour votre travail? [Boîte noire : Opacité des algorithmes et difficulté à justifier un résultat.]"/>
    <tableColumn id="46" xr3:uid="{00000000-0010-0000-0000-00002E000000}" name="Q16 . Quel est le niveau d'importance de ce risque pour votre travail? [Responsabilité : Risque d'assumer seul les erreurs commises par l'IA.]"/>
    <tableColumn id="47" xr3:uid="{00000000-0010-0000-0000-00002F000000}" name="Q17.  Ces risques m'empêchent d'augmenter mon usage de l'IAG"/>
    <tableColumn id="48" xr3:uid="{00000000-0010-0000-0000-000030000000}" name="Q18.  Si les risques étaient éliminés, j'utiliserais davantage l'IAG"/>
    <tableColumn id="49" xr3:uid="{00000000-0010-0000-0000-000031000000}" name="Q19. Votre niveau global de formation (interne ou auto-apprentissage) ?"/>
    <tableColumn id="50" xr3:uid="{00000000-0010-0000-0000-000032000000}" name="Q20. &quot;Je me sens capable d'orienter les réponses de l'IAG pour limiter les risques d'imprécisions ou d'erreurs.&quot;"/>
    <tableColumn id="51" xr3:uid="{00000000-0010-0000-0000-000033000000}" name="Q21. &quot;Je me sens capable d'identifier les erreurs générées par l'IAG.&quot;"/>
    <tableColumn id="52" xr3:uid="{00000000-0010-0000-0000-000034000000}" name="Q22.   Lorsque l’IAG vous propose un résultat, il vous arrive de vous y fier sans vérifier en détail par vous‑même."/>
    <tableColumn id="53" xr3:uid="{00000000-0010-0000-0000-000035000000}" name="Q23. À quelle fréquence vérifiez vous la source d'origine face à une réponse de l'IAG ?"/>
    <tableColumn id="54" xr3:uid="{00000000-0010-0000-0000-000036000000}" name="Q24. Estimez-vous que votre jugement professionnel en audit reste fort malgré l'utilisation régulière de l'IAG?"/>
    <tableColumn id="55" xr3:uid="{00000000-0010-0000-0000-000037000000}" name="Q25.  &quot;Il m'arrive de remettre en question mon jugement professionnel quand l'IAG me propose une conclusion différente de la mienne&quot;"/>
    <tableColumn id="56" xr3:uid="{00000000-0010-0000-0000-000038000000}" name="Q26.  &quot;En pratique, il m'arrive de conclure avant d'avoir réuni toutes les preuves que je jugerais idéalement nécessaires&quot;"/>
    <tableColumn id="57" xr3:uid="{00000000-0010-0000-0000-000039000000}" name="Q27. Prévoyez vous d'augmenter votre usage de l'IAG dans les 6 prochains mois ?"/>
    <tableColumn id="58" xr3:uid="{00000000-0010-0000-0000-00003A000000}" name="Q28. Probabilité d'augmenter votre usage de l'IAG si vous receviez une formation à l'avenir ?"/>
    <tableColumn id="59" xr3:uid="{00000000-0010-0000-0000-00003B000000}" name="Q29. Pour garantir la précision statistique des résultats, merci de sélectionner la réponse 'Neutre' ici.  "/>
    <tableColumn id="60" xr3:uid="{00000000-0010-0000-0000-00003C000000}" name="Q30. Quelle est votre perception sur l'équilibre bénéfices-risques de l'IAG en audit ?"/>
    <tableColumn id="61" xr3:uid="{00000000-0010-0000-0000-00003D000000}" name="Q31. Tranche d'âge"/>
    <tableColumn id="62" xr3:uid="{00000000-0010-0000-0000-00003E000000}" name="Q32. Genre"/>
    <tableColumn id="63" xr3:uid="{00000000-0010-0000-0000-00003F000000}" name="Q33. Votre niveau hiérarchique"/>
    <tableColumn id="64" xr3:uid="{00000000-0010-0000-0000-000040000000}" name="Q34. Votre nombre d'années d'expérience  "/>
    <tableColumn id="65" xr3:uid="{00000000-0010-0000-0000-000041000000}" name="Q35. Votre cœur de métier"/>
    <tableColumn id="66" xr3:uid="{00000000-0010-0000-0000-000042000000}" name="Q36. Taille de votre cabinet"/>
    <tableColumn id="67" xr3:uid="{00000000-0010-0000-0000-000043000000}" name="Avant de terminer, souhaitez-vous partager votre opinion ou vos impressions sur l’IA générative ? (facultatif)"/>
  </tableColumns>
  <tableStyleInfo name="Réponses au formulaire 1-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H69"/>
  <sheetViews>
    <sheetView topLeftCell="B1" workbookViewId="0">
      <selection activeCell="B66" sqref="B66"/>
    </sheetView>
  </sheetViews>
  <sheetFormatPr baseColWidth="10" defaultColWidth="9.140625" defaultRowHeight="15" x14ac:dyDescent="0.25"/>
  <cols>
    <col min="1" max="1" width="26" bestFit="1" customWidth="1"/>
    <col min="2" max="2" width="78.140625" bestFit="1" customWidth="1"/>
    <col min="3" max="3" width="24.140625" bestFit="1" customWidth="1"/>
    <col min="4" max="4" width="44.5703125" bestFit="1" customWidth="1"/>
    <col min="5" max="5" width="37.140625" bestFit="1" customWidth="1"/>
  </cols>
  <sheetData>
    <row r="1" spans="1:8" ht="27.95" customHeight="1" x14ac:dyDescent="0.25">
      <c r="A1" s="255" t="s">
        <v>0</v>
      </c>
      <c r="B1" s="254"/>
      <c r="C1" s="254"/>
      <c r="D1" s="254"/>
      <c r="E1" s="254"/>
      <c r="F1" s="254"/>
      <c r="G1" s="254"/>
      <c r="H1" s="254"/>
    </row>
    <row r="3" spans="1:8" ht="30" customHeight="1" x14ac:dyDescent="0.25">
      <c r="A3" s="1" t="s">
        <v>1</v>
      </c>
      <c r="B3" s="1" t="s">
        <v>2</v>
      </c>
      <c r="C3" s="1" t="s">
        <v>3</v>
      </c>
      <c r="D3" s="1" t="s">
        <v>4</v>
      </c>
      <c r="E3" s="1" t="s">
        <v>5</v>
      </c>
      <c r="F3" s="1"/>
      <c r="G3" s="1"/>
      <c r="H3" s="1"/>
    </row>
    <row r="4" spans="1:8" ht="30" customHeight="1" x14ac:dyDescent="0.25">
      <c r="A4" s="2">
        <v>1</v>
      </c>
      <c r="B4" s="3" t="s">
        <v>6</v>
      </c>
      <c r="C4" s="48" t="s">
        <v>7</v>
      </c>
      <c r="D4" s="4" t="s">
        <v>8</v>
      </c>
      <c r="E4" s="256" t="s">
        <v>9</v>
      </c>
      <c r="F4" s="257"/>
      <c r="G4" s="257"/>
      <c r="H4" s="258"/>
    </row>
    <row r="5" spans="1:8" ht="24.75" customHeight="1" x14ac:dyDescent="0.25">
      <c r="A5" s="2">
        <v>2</v>
      </c>
      <c r="B5" s="3" t="s">
        <v>10</v>
      </c>
      <c r="C5" s="49" t="s">
        <v>11</v>
      </c>
      <c r="D5" s="4" t="s">
        <v>12</v>
      </c>
      <c r="E5" s="256" t="s">
        <v>9</v>
      </c>
      <c r="F5" s="257"/>
      <c r="G5" s="257"/>
      <c r="H5" s="258"/>
    </row>
    <row r="6" spans="1:8" ht="24.75" customHeight="1" x14ac:dyDescent="0.25">
      <c r="A6" s="2">
        <v>3</v>
      </c>
      <c r="B6" s="3" t="s">
        <v>13</v>
      </c>
      <c r="C6" s="4" t="s">
        <v>14</v>
      </c>
      <c r="D6" s="4" t="s">
        <v>15</v>
      </c>
      <c r="E6" s="256" t="s">
        <v>16</v>
      </c>
      <c r="F6" s="257"/>
      <c r="G6" s="257"/>
      <c r="H6" s="258"/>
    </row>
    <row r="7" spans="1:8" ht="20.100000000000001" customHeight="1" x14ac:dyDescent="0.25">
      <c r="A7" s="2">
        <v>4</v>
      </c>
      <c r="B7" s="3" t="s">
        <v>17</v>
      </c>
      <c r="C7" s="4" t="s">
        <v>14</v>
      </c>
      <c r="D7" s="4" t="s">
        <v>15</v>
      </c>
      <c r="E7" s="256" t="s">
        <v>16</v>
      </c>
      <c r="F7" s="257"/>
      <c r="G7" s="257"/>
      <c r="H7" s="258"/>
    </row>
    <row r="8" spans="1:8" ht="20.100000000000001" customHeight="1" x14ac:dyDescent="0.25">
      <c r="A8" s="2">
        <v>5</v>
      </c>
      <c r="B8" s="3" t="s">
        <v>18</v>
      </c>
      <c r="C8" s="4" t="s">
        <v>14</v>
      </c>
      <c r="D8" s="4" t="s">
        <v>19</v>
      </c>
      <c r="E8" s="256" t="s">
        <v>16</v>
      </c>
      <c r="F8" s="257"/>
      <c r="G8" s="257"/>
      <c r="H8" s="258"/>
    </row>
    <row r="9" spans="1:8" ht="20.100000000000001" customHeight="1" x14ac:dyDescent="0.25">
      <c r="A9" s="2">
        <v>6</v>
      </c>
      <c r="B9" s="3" t="s">
        <v>20</v>
      </c>
      <c r="C9" s="4" t="s">
        <v>21</v>
      </c>
      <c r="D9" s="4" t="s">
        <v>19</v>
      </c>
      <c r="E9" s="256" t="s">
        <v>16</v>
      </c>
      <c r="F9" s="257"/>
      <c r="G9" s="257"/>
      <c r="H9" s="258"/>
    </row>
    <row r="10" spans="1:8" ht="24.75" customHeight="1" x14ac:dyDescent="0.25">
      <c r="A10" s="2">
        <v>7</v>
      </c>
      <c r="B10" s="3" t="s">
        <v>22</v>
      </c>
      <c r="C10" s="4" t="s">
        <v>23</v>
      </c>
      <c r="D10" s="4" t="s">
        <v>24</v>
      </c>
      <c r="E10" s="256" t="s">
        <v>16</v>
      </c>
      <c r="F10" s="257"/>
      <c r="G10" s="257"/>
      <c r="H10" s="258"/>
    </row>
    <row r="11" spans="1:8" ht="24.75" customHeight="1" x14ac:dyDescent="0.25">
      <c r="A11" s="2">
        <v>8</v>
      </c>
      <c r="B11" s="3" t="s">
        <v>25</v>
      </c>
      <c r="C11" s="4" t="s">
        <v>23</v>
      </c>
      <c r="D11" s="4" t="s">
        <v>24</v>
      </c>
      <c r="E11" s="256" t="s">
        <v>16</v>
      </c>
      <c r="F11" s="257"/>
      <c r="G11" s="257"/>
      <c r="H11" s="258"/>
    </row>
    <row r="12" spans="1:8" ht="20.100000000000001" customHeight="1" x14ac:dyDescent="0.25">
      <c r="A12" s="2">
        <v>9</v>
      </c>
      <c r="B12" s="3" t="s">
        <v>26</v>
      </c>
      <c r="C12" s="4" t="s">
        <v>27</v>
      </c>
      <c r="D12" s="4" t="s">
        <v>28</v>
      </c>
      <c r="E12" s="256" t="s">
        <v>16</v>
      </c>
      <c r="F12" s="257"/>
      <c r="G12" s="257"/>
      <c r="H12" s="258"/>
    </row>
    <row r="13" spans="1:8" x14ac:dyDescent="0.25">
      <c r="A13" s="2">
        <v>10</v>
      </c>
      <c r="B13" s="3" t="s">
        <v>29</v>
      </c>
      <c r="C13" s="4" t="s">
        <v>27</v>
      </c>
      <c r="D13" s="4" t="s">
        <v>28</v>
      </c>
      <c r="E13" s="256" t="s">
        <v>16</v>
      </c>
      <c r="F13" s="257"/>
      <c r="G13" s="257"/>
      <c r="H13" s="258"/>
    </row>
    <row r="14" spans="1:8" ht="24.75" customHeight="1" x14ac:dyDescent="0.25">
      <c r="A14" s="2">
        <v>11</v>
      </c>
      <c r="B14" s="3" t="s">
        <v>30</v>
      </c>
      <c r="C14" s="4" t="s">
        <v>27</v>
      </c>
      <c r="D14" s="4" t="s">
        <v>28</v>
      </c>
      <c r="E14" s="256" t="s">
        <v>16</v>
      </c>
      <c r="F14" s="257"/>
      <c r="G14" s="257"/>
      <c r="H14" s="258"/>
    </row>
    <row r="15" spans="1:8" x14ac:dyDescent="0.25">
      <c r="A15" s="2">
        <v>12</v>
      </c>
      <c r="B15" s="3" t="s">
        <v>31</v>
      </c>
      <c r="C15" s="4" t="s">
        <v>32</v>
      </c>
      <c r="D15" s="4" t="s">
        <v>33</v>
      </c>
      <c r="E15" s="256" t="s">
        <v>16</v>
      </c>
      <c r="F15" s="257"/>
      <c r="G15" s="257"/>
      <c r="H15" s="258"/>
    </row>
    <row r="16" spans="1:8" x14ac:dyDescent="0.25">
      <c r="A16" s="2">
        <v>13</v>
      </c>
      <c r="B16" s="3" t="s">
        <v>34</v>
      </c>
      <c r="C16" s="4" t="s">
        <v>32</v>
      </c>
      <c r="D16" s="4" t="s">
        <v>33</v>
      </c>
      <c r="E16" s="256" t="s">
        <v>16</v>
      </c>
      <c r="F16" s="257"/>
      <c r="G16" s="257"/>
      <c r="H16" s="258"/>
    </row>
    <row r="17" spans="1:8" x14ac:dyDescent="0.25">
      <c r="A17" s="5">
        <v>14</v>
      </c>
      <c r="B17" s="6" t="s">
        <v>35</v>
      </c>
      <c r="C17" s="7" t="s">
        <v>36</v>
      </c>
      <c r="D17" s="7" t="s">
        <v>37</v>
      </c>
      <c r="E17" s="259" t="s">
        <v>38</v>
      </c>
      <c r="F17" s="257"/>
      <c r="G17" s="257"/>
      <c r="H17" s="258"/>
    </row>
    <row r="20" spans="1:8" x14ac:dyDescent="0.25">
      <c r="A20" s="228"/>
      <c r="B20" s="228" t="s">
        <v>931</v>
      </c>
      <c r="C20" s="228"/>
      <c r="D20" s="228"/>
      <c r="E20" s="228"/>
    </row>
    <row r="21" spans="1:8" x14ac:dyDescent="0.25">
      <c r="A21" s="229" t="s">
        <v>1</v>
      </c>
      <c r="B21" s="229" t="s">
        <v>2</v>
      </c>
      <c r="C21" s="229" t="s">
        <v>3</v>
      </c>
      <c r="D21" s="229" t="s">
        <v>4</v>
      </c>
      <c r="E21" s="229" t="s">
        <v>5</v>
      </c>
    </row>
    <row r="22" spans="1:8" x14ac:dyDescent="0.25">
      <c r="A22">
        <v>15</v>
      </c>
      <c r="B22" t="s">
        <v>932</v>
      </c>
      <c r="C22" t="s">
        <v>933</v>
      </c>
      <c r="D22">
        <v>5.3</v>
      </c>
      <c r="E22" t="s">
        <v>16</v>
      </c>
    </row>
    <row r="23" spans="1:8" x14ac:dyDescent="0.25">
      <c r="A23">
        <v>16</v>
      </c>
      <c r="B23" t="s">
        <v>934</v>
      </c>
      <c r="C23" t="s">
        <v>935</v>
      </c>
      <c r="D23">
        <v>5.3</v>
      </c>
      <c r="E23" t="s">
        <v>16</v>
      </c>
    </row>
    <row r="24" spans="1:8" x14ac:dyDescent="0.25">
      <c r="A24">
        <v>17</v>
      </c>
      <c r="B24" t="s">
        <v>936</v>
      </c>
      <c r="C24" t="s">
        <v>937</v>
      </c>
      <c r="D24">
        <v>5.3</v>
      </c>
      <c r="E24" t="s">
        <v>16</v>
      </c>
    </row>
    <row r="25" spans="1:8" x14ac:dyDescent="0.25">
      <c r="A25">
        <v>18</v>
      </c>
      <c r="B25" t="s">
        <v>938</v>
      </c>
      <c r="C25" t="s">
        <v>939</v>
      </c>
      <c r="D25">
        <v>5.3</v>
      </c>
      <c r="E25" t="s">
        <v>16</v>
      </c>
    </row>
    <row r="26" spans="1:8" x14ac:dyDescent="0.25">
      <c r="A26">
        <v>19</v>
      </c>
      <c r="B26" t="s">
        <v>940</v>
      </c>
      <c r="C26" t="s">
        <v>941</v>
      </c>
      <c r="D26">
        <v>5.3</v>
      </c>
      <c r="E26" t="s">
        <v>16</v>
      </c>
    </row>
    <row r="28" spans="1:8" x14ac:dyDescent="0.25">
      <c r="A28" s="228"/>
      <c r="B28" s="228" t="s">
        <v>942</v>
      </c>
      <c r="C28" s="228"/>
      <c r="D28" s="228"/>
      <c r="E28" s="228"/>
    </row>
    <row r="29" spans="1:8" x14ac:dyDescent="0.25">
      <c r="A29" s="229" t="s">
        <v>625</v>
      </c>
      <c r="B29" s="229" t="s">
        <v>546</v>
      </c>
      <c r="C29" s="229" t="s">
        <v>696</v>
      </c>
      <c r="D29" s="229" t="s">
        <v>548</v>
      </c>
      <c r="E29" s="229" t="s">
        <v>551</v>
      </c>
    </row>
    <row r="30" spans="1:8" x14ac:dyDescent="0.25">
      <c r="A30" t="s">
        <v>630</v>
      </c>
      <c r="B30" t="s">
        <v>554</v>
      </c>
      <c r="C30" s="190">
        <f>'5.3_HYPOTHESES'!C21</f>
        <v>0.16799573079388649</v>
      </c>
      <c r="D30" s="200">
        <f>'5.3_HYPOTHESES'!D21</f>
        <v>0.17417627109125927</v>
      </c>
      <c r="E30" s="230" t="s">
        <v>943</v>
      </c>
    </row>
    <row r="31" spans="1:8" x14ac:dyDescent="0.25">
      <c r="A31" t="s">
        <v>633</v>
      </c>
      <c r="B31" t="s">
        <v>554</v>
      </c>
      <c r="C31" s="190">
        <f>H2_SFU_Q1!C29</f>
        <v>0.3249278719182116</v>
      </c>
      <c r="D31" s="200">
        <f>H2_SFU_Q1!F29</f>
        <v>7.3005317475038451E-3</v>
      </c>
      <c r="E31" s="226" t="s">
        <v>944</v>
      </c>
    </row>
    <row r="32" spans="1:8" x14ac:dyDescent="0.25">
      <c r="A32" t="s">
        <v>635</v>
      </c>
      <c r="B32" t="s">
        <v>554</v>
      </c>
      <c r="C32" s="190">
        <f>H3_SRP!C32</f>
        <v>0.30950561196222048</v>
      </c>
      <c r="D32" s="200">
        <f>H3_SRP!F32</f>
        <v>1.0814038085717938E-2</v>
      </c>
      <c r="E32" s="226" t="s">
        <v>944</v>
      </c>
    </row>
    <row r="33" spans="1:5" x14ac:dyDescent="0.25">
      <c r="A33" t="s">
        <v>945</v>
      </c>
      <c r="B33" t="s">
        <v>554</v>
      </c>
      <c r="C33" s="190">
        <f>H3_SRP!C33</f>
        <v>-0.23098831616581353</v>
      </c>
      <c r="D33" s="200">
        <f>H3_SRP!F33</f>
        <v>6.0018256687192705E-2</v>
      </c>
      <c r="E33" s="226" t="s">
        <v>944</v>
      </c>
    </row>
    <row r="34" spans="1:5" x14ac:dyDescent="0.25">
      <c r="A34" t="s">
        <v>946</v>
      </c>
      <c r="B34" t="s">
        <v>947</v>
      </c>
      <c r="C34" s="190" t="str">
        <f>CONCATENATE(ROUND(H4a_MODERATION!D25,2)," → ",ROUND(H4a_MODERATION!D26,2)," → ",ROUND(H4a_MODERATION!D27,2))</f>
        <v>-0,42 → -0,27 → 0,03</v>
      </c>
      <c r="D34" s="200" t="s">
        <v>948</v>
      </c>
      <c r="E34" s="226" t="s">
        <v>949</v>
      </c>
    </row>
    <row r="35" spans="1:5" x14ac:dyDescent="0.25">
      <c r="A35" t="s">
        <v>638</v>
      </c>
      <c r="B35" t="s">
        <v>554</v>
      </c>
      <c r="C35" s="190">
        <f>H4b_SCEPTICISME!E19</f>
        <v>0.18957620665689032</v>
      </c>
      <c r="D35" s="200">
        <f>H4b_SCEPTICISME!H19</f>
        <v>0.12441185721232748</v>
      </c>
      <c r="E35" s="230" t="s">
        <v>950</v>
      </c>
    </row>
    <row r="36" spans="1:5" x14ac:dyDescent="0.25">
      <c r="A36" t="s">
        <v>641</v>
      </c>
      <c r="B36" t="s">
        <v>554</v>
      </c>
      <c r="C36" s="190">
        <f>H4b_SCEPTICISME!E20</f>
        <v>0.11261127342095291</v>
      </c>
      <c r="D36" s="200">
        <f>H4b_SCEPTICISME!H20</f>
        <v>0.36424451291437565</v>
      </c>
      <c r="E36" s="230" t="s">
        <v>950</v>
      </c>
    </row>
    <row r="38" spans="1:5" x14ac:dyDescent="0.25">
      <c r="A38" s="228"/>
      <c r="B38" s="228" t="s">
        <v>951</v>
      </c>
      <c r="C38" s="228"/>
      <c r="D38" s="228"/>
      <c r="E38" s="228"/>
    </row>
    <row r="39" spans="1:5" x14ac:dyDescent="0.25">
      <c r="A39" s="229" t="s">
        <v>546</v>
      </c>
      <c r="B39" s="229" t="s">
        <v>952</v>
      </c>
      <c r="C39" s="229" t="s">
        <v>548</v>
      </c>
      <c r="D39" s="229" t="s">
        <v>698</v>
      </c>
      <c r="E39" s="229" t="s">
        <v>435</v>
      </c>
    </row>
    <row r="40" spans="1:5" x14ac:dyDescent="0.25">
      <c r="A40" t="s">
        <v>705</v>
      </c>
      <c r="B40" s="190">
        <f>H1_SUP_Q1!E51</f>
        <v>0.32557696659379498</v>
      </c>
      <c r="C40" s="227">
        <f>H1_SUP_Q1!H51</f>
        <v>7.1776758539115531E-3</v>
      </c>
      <c r="D40" t="s">
        <v>953</v>
      </c>
      <c r="E40" t="s">
        <v>954</v>
      </c>
    </row>
    <row r="41" spans="1:5" x14ac:dyDescent="0.25">
      <c r="A41" t="s">
        <v>750</v>
      </c>
      <c r="B41" s="190">
        <f>H2_SFU_Q1!C31</f>
        <v>0.49220463736035647</v>
      </c>
      <c r="C41" s="227">
        <f>H2_SFU_Q1!F31</f>
        <v>2.3313128937962319E-5</v>
      </c>
      <c r="D41" t="s">
        <v>955</v>
      </c>
      <c r="E41" t="s">
        <v>956</v>
      </c>
    </row>
    <row r="42" spans="1:5" x14ac:dyDescent="0.25">
      <c r="A42" t="s">
        <v>802</v>
      </c>
      <c r="B42" s="190">
        <f>H3_SRP!C37</f>
        <v>0.30449357513131797</v>
      </c>
      <c r="C42" s="227">
        <f>H3_SRP!F37</f>
        <v>1.223535658005076E-2</v>
      </c>
      <c r="D42" t="s">
        <v>957</v>
      </c>
      <c r="E42" t="s">
        <v>958</v>
      </c>
    </row>
    <row r="43" spans="1:5" x14ac:dyDescent="0.25">
      <c r="A43" t="s">
        <v>959</v>
      </c>
      <c r="B43" s="190">
        <f>H4a_MODERATION!E34</f>
        <v>0.3785462982610463</v>
      </c>
      <c r="C43" s="227">
        <f>H4a_MODERATION!H34</f>
        <v>1.5849523517458026E-3</v>
      </c>
      <c r="D43" t="s">
        <v>953</v>
      </c>
      <c r="E43" t="s">
        <v>960</v>
      </c>
    </row>
    <row r="44" spans="1:5" x14ac:dyDescent="0.25">
      <c r="A44" t="s">
        <v>961</v>
      </c>
      <c r="B44" s="190">
        <f>H4a_MODERATION!E35</f>
        <v>0.24221211444726268</v>
      </c>
      <c r="C44" s="227">
        <f>H4a_MODERATION!H35</f>
        <v>4.8291531959082055E-2</v>
      </c>
      <c r="D44" t="s">
        <v>957</v>
      </c>
      <c r="E44" t="s">
        <v>962</v>
      </c>
    </row>
    <row r="46" spans="1:5" x14ac:dyDescent="0.25">
      <c r="A46" s="228"/>
      <c r="B46" s="228" t="s">
        <v>963</v>
      </c>
      <c r="C46" s="228"/>
      <c r="D46" s="228"/>
      <c r="E46" s="228"/>
    </row>
    <row r="47" spans="1:5" x14ac:dyDescent="0.25">
      <c r="A47" s="229" t="s">
        <v>964</v>
      </c>
      <c r="B47" s="229" t="s">
        <v>952</v>
      </c>
      <c r="C47" s="229" t="s">
        <v>548</v>
      </c>
      <c r="D47" s="229" t="s">
        <v>698</v>
      </c>
      <c r="E47" s="229" t="s">
        <v>965</v>
      </c>
    </row>
    <row r="48" spans="1:5" x14ac:dyDescent="0.25">
      <c r="A48" t="s">
        <v>966</v>
      </c>
      <c r="B48" s="190">
        <f>H4b_SCEPTICISME!E27</f>
        <v>0.27752373486238968</v>
      </c>
      <c r="C48" s="190">
        <f>H4b_SCEPTICISME!H27</f>
        <v>2.2981405248366914E-2</v>
      </c>
      <c r="D48" t="s">
        <v>957</v>
      </c>
      <c r="E48" t="s">
        <v>967</v>
      </c>
    </row>
    <row r="49" spans="1:5" x14ac:dyDescent="0.25">
      <c r="A49" t="s">
        <v>968</v>
      </c>
      <c r="B49" s="190">
        <f>H4b_SCEPTICISME!E28</f>
        <v>0.31197679547387774</v>
      </c>
      <c r="C49" s="190">
        <f>H4b_SCEPTICISME!H28</f>
        <v>1.0167638677630889E-2</v>
      </c>
      <c r="D49" t="s">
        <v>957</v>
      </c>
      <c r="E49" t="s">
        <v>969</v>
      </c>
    </row>
    <row r="50" spans="1:5" x14ac:dyDescent="0.25">
      <c r="A50" t="s">
        <v>970</v>
      </c>
      <c r="B50" s="190">
        <f>H4b_SCEPTICISME!E29</f>
        <v>0.28200723119044341</v>
      </c>
      <c r="C50" s="190">
        <f>H4b_SCEPTICISME!H29</f>
        <v>2.0776025637154156E-2</v>
      </c>
      <c r="D50" t="s">
        <v>957</v>
      </c>
      <c r="E50" t="s">
        <v>971</v>
      </c>
    </row>
    <row r="51" spans="1:5" x14ac:dyDescent="0.25">
      <c r="A51" t="s">
        <v>972</v>
      </c>
      <c r="B51" s="190">
        <f>H4b_SCEPTICISME!E30</f>
        <v>-0.27105278881799683</v>
      </c>
      <c r="C51" s="190">
        <f>H4b_SCEPTICISME!H30</f>
        <v>2.6512434964490749E-2</v>
      </c>
      <c r="D51" t="s">
        <v>957</v>
      </c>
      <c r="E51" t="s">
        <v>973</v>
      </c>
    </row>
    <row r="53" spans="1:5" x14ac:dyDescent="0.25">
      <c r="A53" s="228"/>
      <c r="B53" s="228" t="s">
        <v>974</v>
      </c>
      <c r="C53" s="228"/>
      <c r="D53" s="228"/>
      <c r="E53" s="228"/>
    </row>
    <row r="54" spans="1:5" x14ac:dyDescent="0.25">
      <c r="A54" s="229" t="s">
        <v>975</v>
      </c>
      <c r="B54" s="229" t="s">
        <v>379</v>
      </c>
      <c r="C54" s="229" t="s">
        <v>976</v>
      </c>
      <c r="D54" s="229" t="s">
        <v>548</v>
      </c>
      <c r="E54" s="229" t="s">
        <v>435</v>
      </c>
    </row>
    <row r="55" spans="1:5" x14ac:dyDescent="0.25">
      <c r="A55" t="s">
        <v>977</v>
      </c>
      <c r="B55">
        <f>H4a_MODERATION!C25</f>
        <v>21</v>
      </c>
      <c r="C55" s="190">
        <f>H4a_MODERATION!D25</f>
        <v>-0.41561294300239771</v>
      </c>
      <c r="D55" s="190">
        <f>H4a_MODERATION!G25</f>
        <v>6.0965841252800579E-2</v>
      </c>
      <c r="E55" t="s">
        <v>978</v>
      </c>
    </row>
    <row r="56" spans="1:5" x14ac:dyDescent="0.25">
      <c r="A56" t="s">
        <v>866</v>
      </c>
      <c r="B56">
        <f>H4a_MODERATION!C26</f>
        <v>24</v>
      </c>
      <c r="C56" s="190">
        <f>H4a_MODERATION!D26</f>
        <v>-0.27407502882115659</v>
      </c>
      <c r="D56" s="190">
        <f>H4a_MODERATION!G26</f>
        <v>0.19497723747050349</v>
      </c>
      <c r="E56" t="s">
        <v>979</v>
      </c>
    </row>
    <row r="57" spans="1:5" x14ac:dyDescent="0.25">
      <c r="A57" t="s">
        <v>980</v>
      </c>
      <c r="B57">
        <f>H4a_MODERATION!C27</f>
        <v>22</v>
      </c>
      <c r="C57" s="190">
        <f>H4a_MODERATION!D27</f>
        <v>3.0447407905009619E-2</v>
      </c>
      <c r="D57" s="190">
        <f>H4a_MODERATION!G27</f>
        <v>0.89300286823578801</v>
      </c>
      <c r="E57" t="s">
        <v>981</v>
      </c>
    </row>
    <row r="60" spans="1:5" x14ac:dyDescent="0.25">
      <c r="A60" s="254"/>
      <c r="B60" s="254"/>
      <c r="C60" s="254"/>
      <c r="D60" s="254"/>
      <c r="E60" s="254"/>
    </row>
    <row r="61" spans="1:5" x14ac:dyDescent="0.25">
      <c r="A61" s="229" t="s">
        <v>982</v>
      </c>
      <c r="B61" s="229" t="s">
        <v>983</v>
      </c>
      <c r="C61" s="229" t="s">
        <v>984</v>
      </c>
      <c r="D61" s="229" t="s">
        <v>985</v>
      </c>
      <c r="E61" s="229"/>
    </row>
    <row r="62" spans="1:5" x14ac:dyDescent="0.25">
      <c r="A62" s="193" t="s">
        <v>986</v>
      </c>
      <c r="B62" s="193" t="s">
        <v>987</v>
      </c>
      <c r="C62" s="193" t="s">
        <v>988</v>
      </c>
      <c r="D62" s="193" t="s">
        <v>989</v>
      </c>
      <c r="E62" s="193"/>
    </row>
    <row r="63" spans="1:5" x14ac:dyDescent="0.25">
      <c r="A63" s="193" t="s">
        <v>990</v>
      </c>
      <c r="B63" s="193" t="s">
        <v>991</v>
      </c>
      <c r="C63" s="193" t="s">
        <v>933</v>
      </c>
      <c r="D63" s="193" t="s">
        <v>992</v>
      </c>
      <c r="E63" s="193"/>
    </row>
    <row r="64" spans="1:5" x14ac:dyDescent="0.25">
      <c r="A64" s="193" t="s">
        <v>993</v>
      </c>
      <c r="B64" s="193" t="s">
        <v>994</v>
      </c>
      <c r="C64" s="193" t="s">
        <v>933</v>
      </c>
      <c r="D64" s="193" t="s">
        <v>995</v>
      </c>
      <c r="E64" s="193"/>
    </row>
    <row r="65" spans="1:5" x14ac:dyDescent="0.25">
      <c r="A65" s="193" t="s">
        <v>996</v>
      </c>
      <c r="B65" s="193" t="s">
        <v>997</v>
      </c>
      <c r="C65" s="193" t="s">
        <v>933</v>
      </c>
      <c r="D65" s="193" t="s">
        <v>998</v>
      </c>
      <c r="E65" s="193"/>
    </row>
    <row r="66" spans="1:5" x14ac:dyDescent="0.25">
      <c r="A66" s="193" t="s">
        <v>999</v>
      </c>
      <c r="B66" s="193" t="s">
        <v>1000</v>
      </c>
      <c r="C66" s="193" t="s">
        <v>937</v>
      </c>
      <c r="D66" s="193" t="s">
        <v>1001</v>
      </c>
      <c r="E66" s="193"/>
    </row>
    <row r="67" spans="1:5" x14ac:dyDescent="0.25">
      <c r="A67" s="193" t="s">
        <v>1002</v>
      </c>
      <c r="B67" s="193" t="s">
        <v>1003</v>
      </c>
      <c r="C67" s="193" t="s">
        <v>939</v>
      </c>
      <c r="D67" s="193" t="s">
        <v>1004</v>
      </c>
      <c r="E67" s="193"/>
    </row>
    <row r="68" spans="1:5" x14ac:dyDescent="0.25">
      <c r="A68" s="193" t="s">
        <v>1005</v>
      </c>
      <c r="B68" s="193" t="s">
        <v>1006</v>
      </c>
      <c r="C68" s="193" t="s">
        <v>941</v>
      </c>
      <c r="D68" s="193" t="s">
        <v>1007</v>
      </c>
      <c r="E68" s="193"/>
    </row>
    <row r="69" spans="1:5" x14ac:dyDescent="0.25">
      <c r="A69" s="193" t="s">
        <v>1008</v>
      </c>
      <c r="B69" s="193" t="s">
        <v>1009</v>
      </c>
      <c r="C69" s="193" t="s">
        <v>941</v>
      </c>
      <c r="D69" s="193" t="s">
        <v>1010</v>
      </c>
      <c r="E69" s="193"/>
    </row>
  </sheetData>
  <mergeCells count="16">
    <mergeCell ref="A60:E60"/>
    <mergeCell ref="A1:H1"/>
    <mergeCell ref="E11:H11"/>
    <mergeCell ref="E10:H10"/>
    <mergeCell ref="E5:H5"/>
    <mergeCell ref="E13:H13"/>
    <mergeCell ref="E4:H4"/>
    <mergeCell ref="E6:H6"/>
    <mergeCell ref="E16:H16"/>
    <mergeCell ref="E15:H15"/>
    <mergeCell ref="E7:H7"/>
    <mergeCell ref="E14:H14"/>
    <mergeCell ref="E17:H17"/>
    <mergeCell ref="E9:H9"/>
    <mergeCell ref="E8:H8"/>
    <mergeCell ref="E12:H1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9">
    <tabColor rgb="FFFFFF00"/>
  </sheetPr>
  <dimension ref="A1:BO86"/>
  <sheetViews>
    <sheetView topLeftCell="BF7" workbookViewId="0">
      <selection activeCell="BH11" sqref="BH11"/>
    </sheetView>
  </sheetViews>
  <sheetFormatPr baseColWidth="10" defaultRowHeight="15" x14ac:dyDescent="0.25"/>
  <cols>
    <col min="1" max="1" width="18.85546875" style="43" customWidth="1"/>
    <col min="2" max="13" width="37.5703125" customWidth="1"/>
    <col min="14" max="14" width="29.28515625" customWidth="1"/>
    <col min="15" max="60" width="37.5703125" customWidth="1"/>
    <col min="61" max="61" width="19.28515625" customWidth="1"/>
    <col min="62" max="62" width="18.85546875" customWidth="1"/>
    <col min="63" max="63" width="27.42578125" customWidth="1"/>
    <col min="64" max="64" width="36" customWidth="1"/>
    <col min="65" max="65" width="24.42578125" customWidth="1"/>
    <col min="66" max="66" width="24.85546875" customWidth="1"/>
    <col min="67" max="67" width="37.5703125" customWidth="1"/>
  </cols>
  <sheetData>
    <row r="1" spans="1:67" x14ac:dyDescent="0.25">
      <c r="A1" s="46" t="s">
        <v>39</v>
      </c>
      <c r="B1" s="44" t="s">
        <v>40</v>
      </c>
      <c r="C1" s="44" t="s">
        <v>41</v>
      </c>
      <c r="D1" s="44" t="s">
        <v>42</v>
      </c>
      <c r="E1" s="44" t="s">
        <v>43</v>
      </c>
      <c r="F1" s="44" t="s">
        <v>44</v>
      </c>
      <c r="G1" s="44" t="s">
        <v>45</v>
      </c>
      <c r="H1" s="44" t="s">
        <v>46</v>
      </c>
      <c r="I1" s="44" t="s">
        <v>47</v>
      </c>
      <c r="J1" s="44" t="s">
        <v>48</v>
      </c>
      <c r="K1" s="44" t="s">
        <v>49</v>
      </c>
      <c r="L1" s="44" t="s">
        <v>50</v>
      </c>
      <c r="M1" s="44" t="s">
        <v>51</v>
      </c>
      <c r="N1" s="44" t="s">
        <v>52</v>
      </c>
      <c r="O1" s="44" t="s">
        <v>53</v>
      </c>
      <c r="P1" s="44" t="s">
        <v>54</v>
      </c>
      <c r="Q1" s="44" t="s">
        <v>55</v>
      </c>
      <c r="R1" s="44" t="s">
        <v>56</v>
      </c>
      <c r="S1" s="44" t="s">
        <v>57</v>
      </c>
      <c r="T1" s="44" t="s">
        <v>58</v>
      </c>
      <c r="U1" s="44" t="s">
        <v>59</v>
      </c>
      <c r="V1" s="44" t="s">
        <v>60</v>
      </c>
      <c r="W1" s="44" t="s">
        <v>61</v>
      </c>
      <c r="X1" s="44" t="s">
        <v>62</v>
      </c>
      <c r="Y1" s="44" t="s">
        <v>63</v>
      </c>
      <c r="Z1" s="44" t="s">
        <v>64</v>
      </c>
      <c r="AA1" s="44" t="s">
        <v>65</v>
      </c>
      <c r="AB1" s="44" t="s">
        <v>66</v>
      </c>
      <c r="AC1" s="44" t="s">
        <v>67</v>
      </c>
      <c r="AD1" s="44" t="s">
        <v>68</v>
      </c>
      <c r="AE1" s="44" t="s">
        <v>69</v>
      </c>
      <c r="AF1" s="44" t="s">
        <v>70</v>
      </c>
      <c r="AG1" s="44" t="s">
        <v>71</v>
      </c>
      <c r="AH1" s="44" t="s">
        <v>72</v>
      </c>
      <c r="AI1" s="44" t="s">
        <v>73</v>
      </c>
      <c r="AJ1" s="44" t="s">
        <v>74</v>
      </c>
      <c r="AK1" s="44" t="s">
        <v>75</v>
      </c>
      <c r="AL1" s="44" t="s">
        <v>76</v>
      </c>
      <c r="AM1" s="44" t="s">
        <v>77</v>
      </c>
      <c r="AN1" s="44" t="s">
        <v>78</v>
      </c>
      <c r="AO1" s="44" t="s">
        <v>79</v>
      </c>
      <c r="AP1" s="44" t="s">
        <v>80</v>
      </c>
      <c r="AQ1" s="44" t="s">
        <v>81</v>
      </c>
      <c r="AR1" s="44" t="s">
        <v>82</v>
      </c>
      <c r="AS1" s="44" t="s">
        <v>83</v>
      </c>
      <c r="AT1" s="44" t="s">
        <v>84</v>
      </c>
      <c r="AU1" s="44" t="s">
        <v>85</v>
      </c>
      <c r="AV1" s="44" t="s">
        <v>86</v>
      </c>
      <c r="AW1" s="44" t="s">
        <v>87</v>
      </c>
      <c r="AX1" s="44" t="s">
        <v>88</v>
      </c>
      <c r="AY1" s="44" t="s">
        <v>89</v>
      </c>
      <c r="AZ1" s="44" t="s">
        <v>90</v>
      </c>
      <c r="BA1" s="44" t="s">
        <v>91</v>
      </c>
      <c r="BB1" s="44" t="s">
        <v>92</v>
      </c>
      <c r="BC1" s="44" t="s">
        <v>93</v>
      </c>
      <c r="BD1" s="44" t="s">
        <v>94</v>
      </c>
      <c r="BE1" s="44" t="s">
        <v>95</v>
      </c>
      <c r="BF1" s="44" t="s">
        <v>96</v>
      </c>
      <c r="BG1" s="44" t="s">
        <v>97</v>
      </c>
      <c r="BH1" s="44" t="s">
        <v>98</v>
      </c>
      <c r="BI1" s="44" t="s">
        <v>99</v>
      </c>
      <c r="BJ1" s="44" t="s">
        <v>100</v>
      </c>
      <c r="BK1" s="44" t="s">
        <v>101</v>
      </c>
      <c r="BL1" s="44" t="s">
        <v>102</v>
      </c>
      <c r="BM1" s="44" t="s">
        <v>103</v>
      </c>
      <c r="BN1" s="44" t="s">
        <v>104</v>
      </c>
      <c r="BO1" s="44" t="s">
        <v>105</v>
      </c>
    </row>
    <row r="2" spans="1:67" x14ac:dyDescent="0.25">
      <c r="A2" s="47">
        <v>46035.408825578706</v>
      </c>
      <c r="B2" s="45" t="s">
        <v>106</v>
      </c>
      <c r="C2" s="45" t="s">
        <v>107</v>
      </c>
      <c r="D2" s="45"/>
      <c r="E2" s="45" t="s">
        <v>108</v>
      </c>
      <c r="F2" s="45" t="s">
        <v>108</v>
      </c>
      <c r="G2" s="45" t="s">
        <v>108</v>
      </c>
      <c r="H2" s="45"/>
      <c r="I2" s="45"/>
      <c r="J2" s="45" t="s">
        <v>109</v>
      </c>
      <c r="K2" s="45"/>
      <c r="L2" s="45"/>
      <c r="M2" s="45" t="s">
        <v>110</v>
      </c>
      <c r="N2" s="45" t="s">
        <v>111</v>
      </c>
      <c r="O2" s="45" t="s">
        <v>112</v>
      </c>
      <c r="P2" s="45" t="s">
        <v>113</v>
      </c>
      <c r="Q2" s="45" t="s">
        <v>113</v>
      </c>
      <c r="R2" s="45" t="s">
        <v>112</v>
      </c>
      <c r="S2" s="45" t="s">
        <v>113</v>
      </c>
      <c r="T2" s="45" t="s">
        <v>112</v>
      </c>
      <c r="U2" s="45" t="s">
        <v>112</v>
      </c>
      <c r="V2" s="45" t="s">
        <v>112</v>
      </c>
      <c r="W2" s="45" t="s">
        <v>113</v>
      </c>
      <c r="X2" s="45" t="s">
        <v>113</v>
      </c>
      <c r="Y2" s="45" t="s">
        <v>112</v>
      </c>
      <c r="Z2" s="45" t="s">
        <v>112</v>
      </c>
      <c r="AA2" s="45" t="s">
        <v>113</v>
      </c>
      <c r="AB2" s="45" t="s">
        <v>112</v>
      </c>
      <c r="AC2" s="45" t="s">
        <v>112</v>
      </c>
      <c r="AD2" s="45" t="s">
        <v>112</v>
      </c>
      <c r="AE2" s="45" t="s">
        <v>112</v>
      </c>
      <c r="AF2" s="45" t="s">
        <v>113</v>
      </c>
      <c r="AG2" s="45" t="s">
        <v>113</v>
      </c>
      <c r="AH2" s="45" t="s">
        <v>112</v>
      </c>
      <c r="AI2" s="45">
        <v>2</v>
      </c>
      <c r="AJ2" s="45" t="s">
        <v>114</v>
      </c>
      <c r="AK2" s="45" t="s">
        <v>115</v>
      </c>
      <c r="AL2" s="45">
        <v>2</v>
      </c>
      <c r="AM2" s="45">
        <v>7</v>
      </c>
      <c r="AN2" s="45">
        <v>7</v>
      </c>
      <c r="AO2" s="45">
        <v>4</v>
      </c>
      <c r="AP2" s="45">
        <v>7</v>
      </c>
      <c r="AQ2" s="45" t="s">
        <v>116</v>
      </c>
      <c r="AR2" s="45" t="s">
        <v>116</v>
      </c>
      <c r="AS2" s="45" t="s">
        <v>117</v>
      </c>
      <c r="AT2" s="45" t="s">
        <v>116</v>
      </c>
      <c r="AU2" s="45">
        <v>4</v>
      </c>
      <c r="AV2" s="45">
        <v>5</v>
      </c>
      <c r="AW2" s="45" t="s">
        <v>118</v>
      </c>
      <c r="AX2" s="45">
        <v>7</v>
      </c>
      <c r="AY2" s="45">
        <v>7</v>
      </c>
      <c r="AZ2" s="45" t="s">
        <v>119</v>
      </c>
      <c r="BA2" s="45">
        <v>6</v>
      </c>
      <c r="BB2" s="45">
        <v>7</v>
      </c>
      <c r="BC2" s="45">
        <v>1</v>
      </c>
      <c r="BD2" s="45">
        <v>1</v>
      </c>
      <c r="BE2" s="45" t="s">
        <v>120</v>
      </c>
      <c r="BF2" s="45">
        <v>1</v>
      </c>
      <c r="BG2" s="45" t="s">
        <v>121</v>
      </c>
      <c r="BH2" s="45">
        <v>1</v>
      </c>
      <c r="BI2" s="45" t="s">
        <v>122</v>
      </c>
      <c r="BJ2" s="45" t="s">
        <v>123</v>
      </c>
      <c r="BK2" s="45" t="s">
        <v>124</v>
      </c>
      <c r="BL2" s="45" t="s">
        <v>125</v>
      </c>
      <c r="BM2" s="45" t="s">
        <v>126</v>
      </c>
      <c r="BN2" s="45" t="s">
        <v>127</v>
      </c>
      <c r="BO2" s="45" t="s">
        <v>128</v>
      </c>
    </row>
    <row r="3" spans="1:67" x14ac:dyDescent="0.25">
      <c r="A3" s="47">
        <v>46036.706273900461</v>
      </c>
      <c r="B3" s="45" t="s">
        <v>129</v>
      </c>
      <c r="C3" s="45" t="s">
        <v>130</v>
      </c>
      <c r="E3" s="45" t="s">
        <v>108</v>
      </c>
      <c r="M3" s="45" t="s">
        <v>131</v>
      </c>
      <c r="N3" s="45" t="s">
        <v>111</v>
      </c>
      <c r="O3" s="45" t="s">
        <v>112</v>
      </c>
      <c r="P3" s="45" t="s">
        <v>113</v>
      </c>
      <c r="Q3" s="45" t="s">
        <v>132</v>
      </c>
      <c r="R3" s="45" t="s">
        <v>113</v>
      </c>
      <c r="S3" s="45" t="s">
        <v>113</v>
      </c>
      <c r="T3" s="45" t="s">
        <v>112</v>
      </c>
      <c r="U3" s="45" t="s">
        <v>112</v>
      </c>
      <c r="V3" s="45" t="s">
        <v>112</v>
      </c>
      <c r="W3" s="45" t="s">
        <v>112</v>
      </c>
      <c r="X3" s="45" t="s">
        <v>133</v>
      </c>
      <c r="Y3" s="45" t="s">
        <v>112</v>
      </c>
      <c r="Z3" s="45" t="s">
        <v>113</v>
      </c>
      <c r="AA3" s="45" t="s">
        <v>132</v>
      </c>
      <c r="AB3" s="45" t="s">
        <v>113</v>
      </c>
      <c r="AC3" s="45" t="s">
        <v>113</v>
      </c>
      <c r="AD3" s="45" t="s">
        <v>112</v>
      </c>
      <c r="AE3" s="45" t="s">
        <v>112</v>
      </c>
      <c r="AF3" s="45" t="s">
        <v>112</v>
      </c>
      <c r="AG3" s="45" t="s">
        <v>112</v>
      </c>
      <c r="AH3" s="45" t="s">
        <v>133</v>
      </c>
      <c r="AI3" s="45">
        <v>6</v>
      </c>
      <c r="AJ3" s="45" t="s">
        <v>114</v>
      </c>
      <c r="AK3" s="45" t="s">
        <v>134</v>
      </c>
      <c r="AL3" s="45">
        <v>4</v>
      </c>
      <c r="AM3" s="45">
        <v>7</v>
      </c>
      <c r="AN3" s="45">
        <v>4</v>
      </c>
      <c r="AO3" s="45">
        <v>7</v>
      </c>
      <c r="AP3" s="45">
        <v>7</v>
      </c>
      <c r="AQ3" s="45" t="s">
        <v>116</v>
      </c>
      <c r="AR3" s="45" t="s">
        <v>117</v>
      </c>
      <c r="AS3" s="45" t="s">
        <v>117</v>
      </c>
      <c r="AT3" s="45" t="s">
        <v>116</v>
      </c>
      <c r="AU3" s="45">
        <v>4</v>
      </c>
      <c r="AV3" s="45">
        <v>4</v>
      </c>
      <c r="AW3" s="45" t="s">
        <v>135</v>
      </c>
      <c r="AX3" s="45">
        <v>5</v>
      </c>
      <c r="AY3" s="45">
        <v>5</v>
      </c>
      <c r="AZ3" s="45" t="s">
        <v>136</v>
      </c>
      <c r="BA3" s="45">
        <v>5</v>
      </c>
      <c r="BB3" s="45">
        <v>6</v>
      </c>
      <c r="BC3" s="45">
        <v>5</v>
      </c>
      <c r="BD3" s="45">
        <v>3</v>
      </c>
      <c r="BE3" s="45" t="s">
        <v>137</v>
      </c>
      <c r="BF3" s="45">
        <v>5</v>
      </c>
      <c r="BG3" s="45" t="s">
        <v>121</v>
      </c>
      <c r="BH3" s="45">
        <v>6</v>
      </c>
      <c r="BI3" s="45" t="s">
        <v>138</v>
      </c>
      <c r="BJ3" s="45" t="s">
        <v>139</v>
      </c>
      <c r="BK3" s="45" t="s">
        <v>140</v>
      </c>
      <c r="BL3" s="45" t="s">
        <v>141</v>
      </c>
      <c r="BM3" s="45" t="s">
        <v>126</v>
      </c>
      <c r="BN3" s="45" t="s">
        <v>127</v>
      </c>
    </row>
    <row r="4" spans="1:67" x14ac:dyDescent="0.25">
      <c r="A4" s="47">
        <v>46036.707386817128</v>
      </c>
      <c r="B4" s="45" t="s">
        <v>129</v>
      </c>
      <c r="C4" s="45" t="s">
        <v>130</v>
      </c>
      <c r="E4" s="45" t="s">
        <v>109</v>
      </c>
      <c r="F4" s="45" t="s">
        <v>108</v>
      </c>
      <c r="K4" s="45" t="s">
        <v>109</v>
      </c>
      <c r="M4" s="45" t="s">
        <v>142</v>
      </c>
      <c r="N4" s="45" t="s">
        <v>111</v>
      </c>
      <c r="O4" s="45" t="s">
        <v>143</v>
      </c>
      <c r="P4" s="45" t="s">
        <v>143</v>
      </c>
      <c r="Q4" s="45" t="s">
        <v>132</v>
      </c>
      <c r="R4" s="45" t="s">
        <v>113</v>
      </c>
      <c r="S4" s="45" t="s">
        <v>113</v>
      </c>
      <c r="T4" s="45" t="s">
        <v>133</v>
      </c>
      <c r="U4" s="45" t="s">
        <v>133</v>
      </c>
      <c r="V4" s="45" t="s">
        <v>133</v>
      </c>
      <c r="W4" s="45" t="s">
        <v>133</v>
      </c>
      <c r="X4" s="45" t="s">
        <v>143</v>
      </c>
      <c r="Y4" s="45" t="s">
        <v>143</v>
      </c>
      <c r="Z4" s="45" t="s">
        <v>143</v>
      </c>
      <c r="AA4" s="45" t="s">
        <v>143</v>
      </c>
      <c r="AB4" s="45" t="s">
        <v>143</v>
      </c>
      <c r="AC4" s="45" t="s">
        <v>113</v>
      </c>
      <c r="AD4" s="45" t="s">
        <v>113</v>
      </c>
      <c r="AE4" s="45" t="s">
        <v>113</v>
      </c>
      <c r="AF4" s="45" t="s">
        <v>113</v>
      </c>
      <c r="AG4" s="45" t="s">
        <v>143</v>
      </c>
      <c r="AH4" s="45" t="s">
        <v>143</v>
      </c>
      <c r="AI4" s="45">
        <v>7</v>
      </c>
      <c r="AJ4" s="45" t="s">
        <v>114</v>
      </c>
      <c r="AK4" s="45" t="s">
        <v>144</v>
      </c>
      <c r="AL4" s="45">
        <v>5</v>
      </c>
      <c r="AM4" s="45">
        <v>1</v>
      </c>
      <c r="AN4" s="45">
        <v>4</v>
      </c>
      <c r="AO4" s="45">
        <v>4</v>
      </c>
      <c r="AP4" s="45">
        <v>6</v>
      </c>
      <c r="AQ4" s="45" t="s">
        <v>117</v>
      </c>
      <c r="AR4" s="45" t="s">
        <v>117</v>
      </c>
      <c r="AS4" s="45" t="s">
        <v>117</v>
      </c>
      <c r="AT4" s="45" t="s">
        <v>117</v>
      </c>
      <c r="AU4" s="45">
        <v>5</v>
      </c>
      <c r="AV4" s="45">
        <v>5</v>
      </c>
      <c r="AW4" s="45" t="s">
        <v>145</v>
      </c>
      <c r="AX4" s="45">
        <v>6</v>
      </c>
      <c r="AY4" s="45">
        <v>5</v>
      </c>
      <c r="AZ4" s="45" t="s">
        <v>146</v>
      </c>
      <c r="BA4" s="45">
        <v>5</v>
      </c>
      <c r="BB4" s="45">
        <v>4</v>
      </c>
      <c r="BC4" s="45">
        <v>6</v>
      </c>
      <c r="BD4" s="45">
        <v>4</v>
      </c>
      <c r="BE4" s="45" t="s">
        <v>137</v>
      </c>
      <c r="BF4" s="45">
        <v>7</v>
      </c>
      <c r="BG4" s="45" t="s">
        <v>121</v>
      </c>
      <c r="BH4" s="45">
        <v>3</v>
      </c>
      <c r="BI4" s="45" t="s">
        <v>138</v>
      </c>
      <c r="BJ4" s="45" t="s">
        <v>123</v>
      </c>
      <c r="BK4" s="45" t="s">
        <v>140</v>
      </c>
      <c r="BL4" s="45" t="s">
        <v>141</v>
      </c>
      <c r="BM4" s="45" t="s">
        <v>126</v>
      </c>
      <c r="BN4" s="45" t="s">
        <v>127</v>
      </c>
    </row>
    <row r="5" spans="1:67" x14ac:dyDescent="0.25">
      <c r="A5" s="47">
        <v>46036.712242337962</v>
      </c>
      <c r="B5" s="45" t="s">
        <v>147</v>
      </c>
      <c r="C5" s="45" t="s">
        <v>148</v>
      </c>
      <c r="E5" s="45" t="s">
        <v>109</v>
      </c>
      <c r="F5" s="45" t="s">
        <v>108</v>
      </c>
      <c r="G5" s="45" t="s">
        <v>108</v>
      </c>
      <c r="K5" s="45" t="s">
        <v>109</v>
      </c>
      <c r="M5" s="45" t="s">
        <v>149</v>
      </c>
      <c r="N5" s="45" t="s">
        <v>111</v>
      </c>
      <c r="O5" s="45" t="s">
        <v>132</v>
      </c>
      <c r="P5" s="45" t="s">
        <v>132</v>
      </c>
      <c r="Q5" s="45" t="s">
        <v>132</v>
      </c>
      <c r="R5" s="45" t="s">
        <v>133</v>
      </c>
      <c r="S5" s="45" t="s">
        <v>132</v>
      </c>
      <c r="T5" s="45" t="s">
        <v>133</v>
      </c>
      <c r="U5" s="45" t="s">
        <v>133</v>
      </c>
      <c r="V5" s="45" t="s">
        <v>133</v>
      </c>
      <c r="W5" s="45" t="s">
        <v>143</v>
      </c>
      <c r="X5" s="45" t="s">
        <v>132</v>
      </c>
      <c r="Y5" s="45" t="s">
        <v>132</v>
      </c>
      <c r="Z5" s="45" t="s">
        <v>143</v>
      </c>
      <c r="AA5" s="45" t="s">
        <v>132</v>
      </c>
      <c r="AB5" s="45" t="s">
        <v>143</v>
      </c>
      <c r="AC5" s="45" t="s">
        <v>132</v>
      </c>
      <c r="AD5" s="45" t="s">
        <v>133</v>
      </c>
      <c r="AE5" s="45" t="s">
        <v>133</v>
      </c>
      <c r="AF5" s="45" t="s">
        <v>133</v>
      </c>
      <c r="AG5" s="45" t="s">
        <v>133</v>
      </c>
      <c r="AH5" s="45" t="s">
        <v>132</v>
      </c>
      <c r="AI5" s="45">
        <v>7</v>
      </c>
      <c r="AJ5" s="45" t="s">
        <v>150</v>
      </c>
      <c r="AK5" s="45" t="s">
        <v>134</v>
      </c>
      <c r="AL5" s="45">
        <v>4</v>
      </c>
      <c r="AM5" s="45">
        <v>4</v>
      </c>
      <c r="AN5" s="45">
        <v>7</v>
      </c>
      <c r="AO5" s="45">
        <v>5</v>
      </c>
      <c r="AP5" s="45">
        <v>6</v>
      </c>
      <c r="AQ5" s="45" t="s">
        <v>151</v>
      </c>
      <c r="AR5" s="45" t="s">
        <v>116</v>
      </c>
      <c r="AS5" s="45" t="s">
        <v>117</v>
      </c>
      <c r="AT5" s="45" t="s">
        <v>117</v>
      </c>
      <c r="AU5" s="45">
        <v>4</v>
      </c>
      <c r="AV5" s="45">
        <v>6</v>
      </c>
      <c r="AW5" s="45" t="s">
        <v>135</v>
      </c>
      <c r="AX5" s="45">
        <v>5</v>
      </c>
      <c r="AY5" s="45">
        <v>4</v>
      </c>
      <c r="AZ5" s="45" t="s">
        <v>146</v>
      </c>
      <c r="BA5" s="45">
        <v>4</v>
      </c>
      <c r="BB5" s="45">
        <v>6</v>
      </c>
      <c r="BC5" s="45">
        <v>6</v>
      </c>
      <c r="BD5" s="45">
        <v>4</v>
      </c>
      <c r="BE5" s="45" t="s">
        <v>137</v>
      </c>
      <c r="BF5" s="45">
        <v>6</v>
      </c>
      <c r="BG5" s="45" t="s">
        <v>121</v>
      </c>
      <c r="BH5" s="45">
        <v>5</v>
      </c>
      <c r="BI5" s="45" t="s">
        <v>138</v>
      </c>
      <c r="BJ5" s="45" t="s">
        <v>139</v>
      </c>
      <c r="BK5" s="45" t="s">
        <v>140</v>
      </c>
      <c r="BL5" s="45" t="s">
        <v>141</v>
      </c>
      <c r="BM5" s="45" t="s">
        <v>152</v>
      </c>
      <c r="BN5" s="45" t="s">
        <v>127</v>
      </c>
    </row>
    <row r="6" spans="1:67" x14ac:dyDescent="0.25">
      <c r="A6" s="47">
        <v>46036.712948518521</v>
      </c>
      <c r="B6" s="45" t="s">
        <v>129</v>
      </c>
      <c r="C6" s="45" t="s">
        <v>130</v>
      </c>
      <c r="E6" s="45" t="s">
        <v>109</v>
      </c>
      <c r="M6" s="45" t="s">
        <v>153</v>
      </c>
      <c r="N6" s="45" t="s">
        <v>111</v>
      </c>
      <c r="O6" s="45" t="s">
        <v>132</v>
      </c>
      <c r="P6" s="45" t="s">
        <v>132</v>
      </c>
      <c r="Q6" s="45" t="s">
        <v>143</v>
      </c>
      <c r="R6" s="45" t="s">
        <v>132</v>
      </c>
      <c r="S6" s="45" t="s">
        <v>132</v>
      </c>
      <c r="T6" s="45" t="s">
        <v>143</v>
      </c>
      <c r="U6" s="45" t="s">
        <v>112</v>
      </c>
      <c r="V6" s="45" t="s">
        <v>143</v>
      </c>
      <c r="W6" s="45" t="s">
        <v>143</v>
      </c>
      <c r="X6" s="45" t="s">
        <v>132</v>
      </c>
      <c r="Y6" s="45" t="s">
        <v>132</v>
      </c>
      <c r="Z6" s="45" t="s">
        <v>132</v>
      </c>
      <c r="AA6" s="45" t="s">
        <v>132</v>
      </c>
      <c r="AB6" s="45" t="s">
        <v>132</v>
      </c>
      <c r="AC6" s="45" t="s">
        <v>132</v>
      </c>
      <c r="AD6" s="45" t="s">
        <v>132</v>
      </c>
      <c r="AE6" s="45" t="s">
        <v>132</v>
      </c>
      <c r="AF6" s="45" t="s">
        <v>132</v>
      </c>
      <c r="AG6" s="45" t="s">
        <v>132</v>
      </c>
      <c r="AH6" s="45" t="s">
        <v>132</v>
      </c>
      <c r="AI6" s="45">
        <v>6</v>
      </c>
      <c r="AJ6" s="45" t="s">
        <v>150</v>
      </c>
      <c r="AK6" s="45" t="s">
        <v>134</v>
      </c>
      <c r="AL6" s="45">
        <v>3</v>
      </c>
      <c r="AM6" s="45">
        <v>6</v>
      </c>
      <c r="AN6" s="45">
        <v>6</v>
      </c>
      <c r="AO6" s="45">
        <v>6</v>
      </c>
      <c r="AP6" s="45">
        <v>4</v>
      </c>
      <c r="AQ6" s="45" t="s">
        <v>116</v>
      </c>
      <c r="AR6" s="45" t="s">
        <v>116</v>
      </c>
      <c r="AS6" s="45" t="s">
        <v>116</v>
      </c>
      <c r="AT6" s="45" t="s">
        <v>116</v>
      </c>
      <c r="AU6" s="45">
        <v>6</v>
      </c>
      <c r="AV6" s="45">
        <v>7</v>
      </c>
      <c r="AW6" s="45" t="s">
        <v>154</v>
      </c>
      <c r="AX6" s="45">
        <v>5</v>
      </c>
      <c r="AY6" s="45">
        <v>6</v>
      </c>
      <c r="AZ6" s="45" t="s">
        <v>155</v>
      </c>
      <c r="BA6" s="45">
        <v>4</v>
      </c>
      <c r="BB6" s="45">
        <v>6</v>
      </c>
      <c r="BC6" s="45">
        <v>5</v>
      </c>
      <c r="BD6" s="45">
        <v>2</v>
      </c>
      <c r="BE6" s="45" t="s">
        <v>156</v>
      </c>
      <c r="BF6" s="45">
        <v>4</v>
      </c>
      <c r="BG6" s="45" t="s">
        <v>121</v>
      </c>
      <c r="BH6" s="45">
        <v>5</v>
      </c>
      <c r="BI6" s="45" t="s">
        <v>138</v>
      </c>
      <c r="BJ6" s="45" t="s">
        <v>139</v>
      </c>
      <c r="BK6" s="45" t="s">
        <v>157</v>
      </c>
      <c r="BL6" s="45" t="s">
        <v>141</v>
      </c>
      <c r="BM6" s="45" t="s">
        <v>126</v>
      </c>
      <c r="BN6" s="45" t="s">
        <v>127</v>
      </c>
    </row>
    <row r="7" spans="1:67" x14ac:dyDescent="0.25">
      <c r="A7" s="47">
        <v>46036.71583533565</v>
      </c>
      <c r="B7" s="45" t="s">
        <v>129</v>
      </c>
      <c r="C7" s="45" t="s">
        <v>130</v>
      </c>
      <c r="E7" s="45" t="s">
        <v>109</v>
      </c>
      <c r="M7" s="45" t="s">
        <v>158</v>
      </c>
      <c r="N7" s="45" t="s">
        <v>111</v>
      </c>
      <c r="O7" s="45" t="s">
        <v>133</v>
      </c>
      <c r="P7" s="45" t="s">
        <v>132</v>
      </c>
      <c r="Q7" s="45" t="s">
        <v>132</v>
      </c>
      <c r="R7" s="45" t="s">
        <v>133</v>
      </c>
      <c r="S7" s="45" t="s">
        <v>112</v>
      </c>
      <c r="T7" s="45" t="s">
        <v>112</v>
      </c>
      <c r="U7" s="45" t="s">
        <v>112</v>
      </c>
      <c r="V7" s="45" t="s">
        <v>112</v>
      </c>
      <c r="W7" s="45" t="s">
        <v>112</v>
      </c>
      <c r="X7" s="45" t="s">
        <v>143</v>
      </c>
      <c r="Y7" s="45" t="s">
        <v>143</v>
      </c>
      <c r="Z7" s="45" t="s">
        <v>132</v>
      </c>
      <c r="AA7" s="45" t="s">
        <v>132</v>
      </c>
      <c r="AB7" s="45" t="s">
        <v>133</v>
      </c>
      <c r="AC7" s="45" t="s">
        <v>112</v>
      </c>
      <c r="AD7" s="45" t="s">
        <v>112</v>
      </c>
      <c r="AE7" s="45" t="s">
        <v>112</v>
      </c>
      <c r="AF7" s="45" t="s">
        <v>112</v>
      </c>
      <c r="AG7" s="45" t="s">
        <v>112</v>
      </c>
      <c r="AH7" s="45" t="s">
        <v>112</v>
      </c>
      <c r="AI7" s="45">
        <v>5</v>
      </c>
      <c r="AJ7" s="45" t="s">
        <v>114</v>
      </c>
      <c r="AK7" s="45" t="s">
        <v>115</v>
      </c>
      <c r="AL7" s="45">
        <v>5</v>
      </c>
      <c r="AM7" s="45">
        <v>5</v>
      </c>
      <c r="AN7" s="45">
        <v>5</v>
      </c>
      <c r="AO7" s="45">
        <v>4</v>
      </c>
      <c r="AP7" s="45">
        <v>2</v>
      </c>
      <c r="AQ7" s="45" t="s">
        <v>116</v>
      </c>
      <c r="AR7" s="45" t="s">
        <v>116</v>
      </c>
      <c r="AS7" s="45" t="s">
        <v>116</v>
      </c>
      <c r="AT7" s="45" t="s">
        <v>116</v>
      </c>
      <c r="AU7" s="45">
        <v>4</v>
      </c>
      <c r="AV7" s="45">
        <v>5</v>
      </c>
      <c r="AW7" s="45" t="s">
        <v>118</v>
      </c>
      <c r="AX7" s="45">
        <v>6</v>
      </c>
      <c r="AY7" s="45">
        <v>6</v>
      </c>
      <c r="AZ7" s="45" t="s">
        <v>119</v>
      </c>
      <c r="BA7" s="45">
        <v>6</v>
      </c>
      <c r="BB7" s="45">
        <v>6</v>
      </c>
      <c r="BC7" s="45">
        <v>5</v>
      </c>
      <c r="BD7" s="45">
        <v>2</v>
      </c>
      <c r="BE7" s="45" t="s">
        <v>159</v>
      </c>
      <c r="BF7" s="45">
        <v>4</v>
      </c>
      <c r="BG7" s="45" t="s">
        <v>121</v>
      </c>
      <c r="BH7" s="45">
        <v>4</v>
      </c>
      <c r="BI7" s="45" t="s">
        <v>138</v>
      </c>
      <c r="BJ7" s="45" t="s">
        <v>123</v>
      </c>
      <c r="BK7" s="45" t="s">
        <v>140</v>
      </c>
      <c r="BL7" s="45" t="s">
        <v>141</v>
      </c>
      <c r="BM7" s="45" t="s">
        <v>126</v>
      </c>
      <c r="BN7" s="45" t="s">
        <v>127</v>
      </c>
    </row>
    <row r="8" spans="1:67" x14ac:dyDescent="0.25">
      <c r="A8" s="47">
        <v>46036.721204953697</v>
      </c>
      <c r="B8" s="45" t="s">
        <v>106</v>
      </c>
      <c r="C8" s="45" t="s">
        <v>130</v>
      </c>
      <c r="E8" s="45" t="s">
        <v>109</v>
      </c>
      <c r="M8" s="45" t="s">
        <v>160</v>
      </c>
      <c r="N8" s="45" t="s">
        <v>161</v>
      </c>
      <c r="O8" s="45" t="s">
        <v>133</v>
      </c>
      <c r="P8" s="45" t="s">
        <v>132</v>
      </c>
      <c r="Q8" s="45" t="s">
        <v>143</v>
      </c>
      <c r="R8" s="45" t="s">
        <v>143</v>
      </c>
      <c r="S8" s="45" t="s">
        <v>133</v>
      </c>
      <c r="T8" s="45" t="s">
        <v>112</v>
      </c>
      <c r="U8" s="45" t="s">
        <v>112</v>
      </c>
      <c r="V8" s="45" t="s">
        <v>112</v>
      </c>
      <c r="W8" s="45" t="s">
        <v>133</v>
      </c>
      <c r="X8" s="45" t="s">
        <v>143</v>
      </c>
      <c r="Y8" s="45" t="s">
        <v>133</v>
      </c>
      <c r="Z8" s="45" t="s">
        <v>143</v>
      </c>
      <c r="AA8" s="45" t="s">
        <v>143</v>
      </c>
      <c r="AB8" s="45" t="s">
        <v>143</v>
      </c>
      <c r="AC8" s="45" t="s">
        <v>133</v>
      </c>
      <c r="AD8" s="45" t="s">
        <v>112</v>
      </c>
      <c r="AE8" s="45" t="s">
        <v>112</v>
      </c>
      <c r="AF8" s="45" t="s">
        <v>112</v>
      </c>
      <c r="AG8" s="45" t="s">
        <v>133</v>
      </c>
      <c r="AH8" s="45" t="s">
        <v>143</v>
      </c>
      <c r="AI8" s="45">
        <v>5</v>
      </c>
      <c r="AJ8" s="45" t="s">
        <v>150</v>
      </c>
      <c r="AK8" s="45" t="s">
        <v>162</v>
      </c>
      <c r="AL8" s="45">
        <v>6</v>
      </c>
      <c r="AM8" s="45">
        <v>7</v>
      </c>
      <c r="AN8" s="45">
        <v>6</v>
      </c>
      <c r="AO8" s="45">
        <v>6</v>
      </c>
      <c r="AP8" s="45">
        <v>2</v>
      </c>
      <c r="AQ8" s="45" t="s">
        <v>116</v>
      </c>
      <c r="AR8" s="45" t="s">
        <v>116</v>
      </c>
      <c r="AS8" s="45" t="s">
        <v>117</v>
      </c>
      <c r="AT8" s="45" t="s">
        <v>151</v>
      </c>
      <c r="AU8" s="45">
        <v>6</v>
      </c>
      <c r="AV8" s="45">
        <v>7</v>
      </c>
      <c r="AW8" s="45" t="s">
        <v>118</v>
      </c>
      <c r="AX8" s="45">
        <v>4</v>
      </c>
      <c r="AY8" s="45">
        <v>4</v>
      </c>
      <c r="AZ8" s="45" t="s">
        <v>119</v>
      </c>
      <c r="BA8" s="45">
        <v>7</v>
      </c>
      <c r="BB8" s="45">
        <v>5</v>
      </c>
      <c r="BC8" s="45">
        <v>5</v>
      </c>
      <c r="BD8" s="45">
        <v>2</v>
      </c>
      <c r="BE8" s="45" t="s">
        <v>137</v>
      </c>
      <c r="BF8" s="45">
        <v>6</v>
      </c>
      <c r="BG8" s="45" t="s">
        <v>121</v>
      </c>
      <c r="BH8" s="45">
        <v>4</v>
      </c>
      <c r="BI8" s="45" t="s">
        <v>122</v>
      </c>
      <c r="BJ8" s="45" t="s">
        <v>123</v>
      </c>
      <c r="BK8" s="45" t="s">
        <v>140</v>
      </c>
      <c r="BL8" s="45" t="s">
        <v>141</v>
      </c>
      <c r="BM8" s="45" t="s">
        <v>126</v>
      </c>
      <c r="BN8" s="45" t="s">
        <v>127</v>
      </c>
    </row>
    <row r="9" spans="1:67" x14ac:dyDescent="0.25">
      <c r="A9" s="47">
        <v>46036.725362488432</v>
      </c>
      <c r="B9" s="45" t="s">
        <v>106</v>
      </c>
      <c r="C9" s="45" t="s">
        <v>130</v>
      </c>
      <c r="E9" s="45" t="s">
        <v>109</v>
      </c>
      <c r="M9" s="45" t="s">
        <v>163</v>
      </c>
      <c r="N9" s="45" t="s">
        <v>161</v>
      </c>
      <c r="O9" s="45" t="s">
        <v>143</v>
      </c>
      <c r="P9" s="45" t="s">
        <v>143</v>
      </c>
      <c r="Q9" s="45" t="s">
        <v>113</v>
      </c>
      <c r="R9" s="45" t="s">
        <v>113</v>
      </c>
      <c r="S9" s="45" t="s">
        <v>133</v>
      </c>
      <c r="T9" s="45" t="s">
        <v>112</v>
      </c>
      <c r="U9" s="45" t="s">
        <v>112</v>
      </c>
      <c r="V9" s="45" t="s">
        <v>112</v>
      </c>
      <c r="W9" s="45" t="s">
        <v>113</v>
      </c>
      <c r="X9" s="45" t="s">
        <v>143</v>
      </c>
      <c r="Y9" s="45" t="s">
        <v>143</v>
      </c>
      <c r="Z9" s="45" t="s">
        <v>133</v>
      </c>
      <c r="AA9" s="45" t="s">
        <v>113</v>
      </c>
      <c r="AB9" s="45" t="s">
        <v>113</v>
      </c>
      <c r="AC9" s="45" t="s">
        <v>113</v>
      </c>
      <c r="AD9" s="45" t="s">
        <v>113</v>
      </c>
      <c r="AE9" s="45" t="s">
        <v>112</v>
      </c>
      <c r="AF9" s="45" t="s">
        <v>113</v>
      </c>
      <c r="AG9" s="45" t="s">
        <v>113</v>
      </c>
      <c r="AH9" s="45" t="s">
        <v>143</v>
      </c>
      <c r="AI9" s="45">
        <v>4</v>
      </c>
      <c r="AJ9" s="45" t="s">
        <v>150</v>
      </c>
      <c r="AK9" s="45" t="s">
        <v>115</v>
      </c>
      <c r="AL9" s="45">
        <v>3</v>
      </c>
      <c r="AM9" s="45">
        <v>7</v>
      </c>
      <c r="AN9" s="45">
        <v>3</v>
      </c>
      <c r="AO9" s="45">
        <v>7</v>
      </c>
      <c r="AP9" s="45">
        <v>7</v>
      </c>
      <c r="AQ9" s="45" t="s">
        <v>116</v>
      </c>
      <c r="AR9" s="45" t="s">
        <v>116</v>
      </c>
      <c r="AS9" s="45" t="s">
        <v>117</v>
      </c>
      <c r="AT9" s="45" t="s">
        <v>151</v>
      </c>
      <c r="AU9" s="45">
        <v>6</v>
      </c>
      <c r="AV9" s="45">
        <v>5</v>
      </c>
      <c r="AW9" s="45" t="s">
        <v>135</v>
      </c>
      <c r="AX9" s="45">
        <v>5</v>
      </c>
      <c r="AY9" s="45">
        <v>5</v>
      </c>
      <c r="AZ9" s="45" t="s">
        <v>146</v>
      </c>
      <c r="BA9" s="45">
        <v>5</v>
      </c>
      <c r="BB9" s="45">
        <v>4</v>
      </c>
      <c r="BC9" s="45">
        <v>5</v>
      </c>
      <c r="BD9" s="45">
        <v>2</v>
      </c>
      <c r="BE9" s="45" t="s">
        <v>159</v>
      </c>
      <c r="BF9" s="45">
        <v>3</v>
      </c>
      <c r="BG9" s="45" t="s">
        <v>121</v>
      </c>
      <c r="BH9" s="45">
        <v>5</v>
      </c>
      <c r="BI9" s="45" t="s">
        <v>138</v>
      </c>
      <c r="BJ9" s="45" t="s">
        <v>139</v>
      </c>
      <c r="BK9" s="45" t="s">
        <v>164</v>
      </c>
      <c r="BL9" s="45" t="s">
        <v>141</v>
      </c>
      <c r="BM9" s="45" t="s">
        <v>126</v>
      </c>
      <c r="BN9" s="45" t="s">
        <v>127</v>
      </c>
    </row>
    <row r="10" spans="1:67" x14ac:dyDescent="0.25">
      <c r="A10" s="47">
        <v>46036.86744347222</v>
      </c>
      <c r="B10" s="45" t="s">
        <v>165</v>
      </c>
      <c r="C10" s="45" t="s">
        <v>148</v>
      </c>
      <c r="E10" s="45" t="s">
        <v>109</v>
      </c>
      <c r="F10" s="45" t="s">
        <v>108</v>
      </c>
      <c r="M10" s="45" t="s">
        <v>166</v>
      </c>
      <c r="N10" s="45" t="s">
        <v>111</v>
      </c>
      <c r="O10" s="45" t="s">
        <v>113</v>
      </c>
      <c r="P10" s="45" t="s">
        <v>143</v>
      </c>
      <c r="Q10" s="45" t="s">
        <v>132</v>
      </c>
      <c r="R10" s="45" t="s">
        <v>133</v>
      </c>
      <c r="S10" s="45" t="s">
        <v>143</v>
      </c>
      <c r="T10" s="45" t="s">
        <v>133</v>
      </c>
      <c r="U10" s="45" t="s">
        <v>133</v>
      </c>
      <c r="V10" s="45" t="s">
        <v>143</v>
      </c>
      <c r="W10" s="45" t="s">
        <v>143</v>
      </c>
      <c r="X10" s="45" t="s">
        <v>133</v>
      </c>
      <c r="Y10" s="45" t="s">
        <v>112</v>
      </c>
      <c r="Z10" s="45" t="s">
        <v>112</v>
      </c>
      <c r="AA10" s="45" t="s">
        <v>112</v>
      </c>
      <c r="AB10" s="45" t="s">
        <v>112</v>
      </c>
      <c r="AC10" s="45" t="s">
        <v>112</v>
      </c>
      <c r="AD10" s="45" t="s">
        <v>112</v>
      </c>
      <c r="AE10" s="45" t="s">
        <v>112</v>
      </c>
      <c r="AF10" s="45" t="s">
        <v>112</v>
      </c>
      <c r="AG10" s="45" t="s">
        <v>112</v>
      </c>
      <c r="AH10" s="45" t="s">
        <v>112</v>
      </c>
      <c r="AI10" s="45">
        <v>7</v>
      </c>
      <c r="AJ10" s="45" t="s">
        <v>167</v>
      </c>
      <c r="AK10" s="45" t="s">
        <v>134</v>
      </c>
      <c r="AL10" s="45">
        <v>3</v>
      </c>
      <c r="AM10" s="45">
        <v>5</v>
      </c>
      <c r="AN10" s="45">
        <v>7</v>
      </c>
      <c r="AO10" s="45">
        <v>7</v>
      </c>
      <c r="AP10" s="45">
        <v>7</v>
      </c>
      <c r="AQ10" s="45" t="s">
        <v>117</v>
      </c>
      <c r="AR10" s="45" t="s">
        <v>117</v>
      </c>
      <c r="AS10" s="45" t="s">
        <v>117</v>
      </c>
      <c r="AT10" s="45" t="s">
        <v>117</v>
      </c>
      <c r="AU10" s="45">
        <v>5</v>
      </c>
      <c r="AV10" s="45">
        <v>7</v>
      </c>
      <c r="AW10" s="45" t="s">
        <v>168</v>
      </c>
      <c r="AX10" s="45">
        <v>4</v>
      </c>
      <c r="AY10" s="45">
        <v>4</v>
      </c>
      <c r="AZ10" s="45" t="s">
        <v>169</v>
      </c>
      <c r="BA10" s="45">
        <v>6</v>
      </c>
      <c r="BB10" s="45">
        <v>5</v>
      </c>
      <c r="BC10" s="45">
        <v>5</v>
      </c>
      <c r="BD10" s="45">
        <v>6</v>
      </c>
      <c r="BE10" s="45" t="s">
        <v>137</v>
      </c>
      <c r="BF10" s="45">
        <v>7</v>
      </c>
      <c r="BG10" s="45" t="s">
        <v>121</v>
      </c>
      <c r="BH10" t="s">
        <v>1445</v>
      </c>
      <c r="BI10" s="45" t="s">
        <v>138</v>
      </c>
      <c r="BJ10" s="45" t="s">
        <v>123</v>
      </c>
      <c r="BK10" s="45" t="s">
        <v>140</v>
      </c>
      <c r="BL10" s="45" t="s">
        <v>141</v>
      </c>
      <c r="BM10" s="45" t="s">
        <v>126</v>
      </c>
      <c r="BN10" s="45" t="s">
        <v>127</v>
      </c>
    </row>
    <row r="11" spans="1:67" x14ac:dyDescent="0.25">
      <c r="A11" s="47">
        <v>46036.891154849538</v>
      </c>
      <c r="B11" s="45" t="s">
        <v>165</v>
      </c>
      <c r="C11" s="45" t="s">
        <v>130</v>
      </c>
      <c r="E11" s="45" t="s">
        <v>109</v>
      </c>
      <c r="M11" s="45" t="s">
        <v>170</v>
      </c>
      <c r="N11" s="45" t="s">
        <v>111</v>
      </c>
      <c r="O11" s="45" t="s">
        <v>132</v>
      </c>
      <c r="P11" s="45" t="s">
        <v>143</v>
      </c>
      <c r="Q11" s="45" t="s">
        <v>132</v>
      </c>
      <c r="R11" s="45" t="s">
        <v>133</v>
      </c>
      <c r="S11" s="45" t="s">
        <v>143</v>
      </c>
      <c r="T11" s="45" t="s">
        <v>113</v>
      </c>
      <c r="U11" s="45" t="s">
        <v>113</v>
      </c>
      <c r="V11" s="45" t="s">
        <v>133</v>
      </c>
      <c r="W11" s="45" t="s">
        <v>133</v>
      </c>
      <c r="X11" s="45" t="s">
        <v>133</v>
      </c>
      <c r="Y11" s="45" t="s">
        <v>143</v>
      </c>
      <c r="Z11" s="45" t="s">
        <v>132</v>
      </c>
      <c r="AA11" s="45" t="s">
        <v>132</v>
      </c>
      <c r="AB11" s="45" t="s">
        <v>133</v>
      </c>
      <c r="AC11" s="45" t="s">
        <v>143</v>
      </c>
      <c r="AD11" s="45" t="s">
        <v>113</v>
      </c>
      <c r="AE11" s="45" t="s">
        <v>113</v>
      </c>
      <c r="AF11" s="45" t="s">
        <v>133</v>
      </c>
      <c r="AG11" s="45" t="s">
        <v>143</v>
      </c>
      <c r="AH11" s="45" t="s">
        <v>133</v>
      </c>
      <c r="AI11" s="45">
        <v>7</v>
      </c>
      <c r="AJ11" s="45" t="s">
        <v>167</v>
      </c>
      <c r="AK11" s="45" t="s">
        <v>115</v>
      </c>
      <c r="AL11" s="45">
        <v>3</v>
      </c>
      <c r="AM11" s="45">
        <v>7</v>
      </c>
      <c r="AN11" s="45">
        <v>7</v>
      </c>
      <c r="AO11" s="45">
        <v>1</v>
      </c>
      <c r="AP11" s="45">
        <v>7</v>
      </c>
      <c r="AQ11" s="45" t="s">
        <v>151</v>
      </c>
      <c r="AR11" s="45" t="s">
        <v>116</v>
      </c>
      <c r="AS11" s="45" t="s">
        <v>171</v>
      </c>
      <c r="AT11" s="45" t="s">
        <v>117</v>
      </c>
      <c r="AU11" s="45">
        <v>6</v>
      </c>
      <c r="AV11" s="45">
        <v>7</v>
      </c>
      <c r="AW11" s="45" t="s">
        <v>135</v>
      </c>
      <c r="AX11" s="45">
        <v>5</v>
      </c>
      <c r="AY11" s="45">
        <v>6</v>
      </c>
      <c r="AZ11" s="45" t="s">
        <v>146</v>
      </c>
      <c r="BA11" s="45">
        <v>5</v>
      </c>
      <c r="BB11" s="45">
        <v>6</v>
      </c>
      <c r="BC11" s="45">
        <v>2</v>
      </c>
      <c r="BD11" s="45">
        <v>2</v>
      </c>
      <c r="BE11" s="45" t="s">
        <v>137</v>
      </c>
      <c r="BF11" s="45">
        <v>7</v>
      </c>
      <c r="BG11" s="45" t="s">
        <v>121</v>
      </c>
      <c r="BH11" s="45">
        <v>5</v>
      </c>
      <c r="BI11" s="45" t="s">
        <v>138</v>
      </c>
      <c r="BJ11" s="45" t="s">
        <v>139</v>
      </c>
      <c r="BK11" s="45" t="s">
        <v>140</v>
      </c>
      <c r="BL11" s="45" t="s">
        <v>141</v>
      </c>
      <c r="BM11" s="45" t="s">
        <v>126</v>
      </c>
      <c r="BN11" s="45" t="s">
        <v>172</v>
      </c>
    </row>
    <row r="12" spans="1:67" x14ac:dyDescent="0.25">
      <c r="A12" s="47">
        <v>46037.405089444437</v>
      </c>
      <c r="B12" s="45" t="s">
        <v>147</v>
      </c>
      <c r="C12" s="45" t="s">
        <v>107</v>
      </c>
      <c r="F12" s="45" t="s">
        <v>108</v>
      </c>
      <c r="M12" s="45" t="s">
        <v>173</v>
      </c>
      <c r="N12" s="45" t="s">
        <v>111</v>
      </c>
      <c r="O12" s="45" t="s">
        <v>143</v>
      </c>
      <c r="P12" s="45" t="s">
        <v>143</v>
      </c>
      <c r="Q12" s="45" t="s">
        <v>132</v>
      </c>
      <c r="R12" s="45" t="s">
        <v>132</v>
      </c>
      <c r="S12" s="45" t="s">
        <v>133</v>
      </c>
      <c r="T12" s="45" t="s">
        <v>133</v>
      </c>
      <c r="U12" s="45" t="s">
        <v>133</v>
      </c>
      <c r="V12" s="45" t="s">
        <v>133</v>
      </c>
      <c r="W12" s="45" t="s">
        <v>143</v>
      </c>
      <c r="X12" s="45" t="s">
        <v>132</v>
      </c>
      <c r="Y12" s="45" t="s">
        <v>143</v>
      </c>
      <c r="Z12" s="45" t="s">
        <v>143</v>
      </c>
      <c r="AA12" s="45" t="s">
        <v>132</v>
      </c>
      <c r="AB12" s="45" t="s">
        <v>132</v>
      </c>
      <c r="AC12" s="45" t="s">
        <v>133</v>
      </c>
      <c r="AD12" s="45" t="s">
        <v>133</v>
      </c>
      <c r="AE12" s="45" t="s">
        <v>133</v>
      </c>
      <c r="AF12" s="45" t="s">
        <v>133</v>
      </c>
      <c r="AG12" s="45" t="s">
        <v>143</v>
      </c>
      <c r="AH12" s="45" t="s">
        <v>132</v>
      </c>
      <c r="AI12" s="45">
        <v>7</v>
      </c>
      <c r="AJ12" s="45" t="s">
        <v>167</v>
      </c>
      <c r="AK12" s="45" t="s">
        <v>174</v>
      </c>
      <c r="AL12" s="45">
        <v>4</v>
      </c>
      <c r="AM12" s="45">
        <v>6</v>
      </c>
      <c r="AN12" s="45">
        <v>4</v>
      </c>
      <c r="AO12" s="45">
        <v>4</v>
      </c>
      <c r="AP12" s="45">
        <v>1</v>
      </c>
      <c r="AQ12" s="45" t="s">
        <v>117</v>
      </c>
      <c r="AR12" s="45" t="s">
        <v>151</v>
      </c>
      <c r="AS12" s="45" t="s">
        <v>151</v>
      </c>
      <c r="AT12" s="45" t="s">
        <v>151</v>
      </c>
      <c r="AU12" s="45">
        <v>1</v>
      </c>
      <c r="AV12" s="45">
        <v>2</v>
      </c>
      <c r="AW12" s="45" t="s">
        <v>135</v>
      </c>
      <c r="AX12" s="45">
        <v>7</v>
      </c>
      <c r="AY12" s="45">
        <v>6</v>
      </c>
      <c r="AZ12" s="45" t="s">
        <v>136</v>
      </c>
      <c r="BA12" s="45">
        <v>1</v>
      </c>
      <c r="BB12" s="45">
        <v>4</v>
      </c>
      <c r="BC12" s="45">
        <v>4</v>
      </c>
      <c r="BD12" s="45">
        <v>4</v>
      </c>
      <c r="BE12" s="45" t="s">
        <v>137</v>
      </c>
      <c r="BF12" s="45">
        <v>7</v>
      </c>
      <c r="BG12" s="45" t="s">
        <v>121</v>
      </c>
      <c r="BH12" s="45">
        <v>4</v>
      </c>
      <c r="BI12" s="45" t="s">
        <v>175</v>
      </c>
      <c r="BJ12" s="45" t="s">
        <v>139</v>
      </c>
      <c r="BK12" s="45" t="s">
        <v>176</v>
      </c>
      <c r="BL12" s="45" t="s">
        <v>177</v>
      </c>
      <c r="BM12" s="45" t="s">
        <v>178</v>
      </c>
      <c r="BN12" s="45" t="s">
        <v>172</v>
      </c>
    </row>
    <row r="13" spans="1:67" x14ac:dyDescent="0.25">
      <c r="A13" s="47">
        <v>46037.416446180563</v>
      </c>
      <c r="B13" s="45" t="s">
        <v>147</v>
      </c>
      <c r="C13" s="45" t="s">
        <v>148</v>
      </c>
      <c r="E13" s="45" t="s">
        <v>109</v>
      </c>
      <c r="F13" s="45" t="s">
        <v>108</v>
      </c>
      <c r="G13" s="45" t="s">
        <v>108</v>
      </c>
      <c r="J13" s="45" t="s">
        <v>109</v>
      </c>
      <c r="K13" s="45" t="s">
        <v>109</v>
      </c>
      <c r="M13" s="45" t="s">
        <v>179</v>
      </c>
      <c r="N13" s="45" t="s">
        <v>111</v>
      </c>
      <c r="O13" s="45" t="s">
        <v>112</v>
      </c>
      <c r="P13" s="45" t="s">
        <v>133</v>
      </c>
      <c r="Q13" s="45" t="s">
        <v>132</v>
      </c>
      <c r="R13" s="45" t="s">
        <v>132</v>
      </c>
      <c r="S13" s="45" t="s">
        <v>132</v>
      </c>
      <c r="T13" s="45" t="s">
        <v>133</v>
      </c>
      <c r="U13" s="45" t="s">
        <v>113</v>
      </c>
      <c r="V13" s="45" t="s">
        <v>113</v>
      </c>
      <c r="W13" s="45" t="s">
        <v>112</v>
      </c>
      <c r="X13" s="45" t="s">
        <v>133</v>
      </c>
      <c r="Y13" s="45" t="s">
        <v>143</v>
      </c>
      <c r="Z13" s="45" t="s">
        <v>143</v>
      </c>
      <c r="AA13" s="45" t="s">
        <v>143</v>
      </c>
      <c r="AB13" s="45" t="s">
        <v>143</v>
      </c>
      <c r="AC13" s="45" t="s">
        <v>132</v>
      </c>
      <c r="AD13" s="45" t="s">
        <v>113</v>
      </c>
      <c r="AE13" s="45" t="s">
        <v>113</v>
      </c>
      <c r="AF13" s="45" t="s">
        <v>143</v>
      </c>
      <c r="AG13" s="45" t="s">
        <v>133</v>
      </c>
      <c r="AH13" s="45" t="s">
        <v>143</v>
      </c>
      <c r="AI13" s="45">
        <v>5</v>
      </c>
      <c r="AJ13" s="45" t="s">
        <v>167</v>
      </c>
      <c r="AK13" s="45" t="s">
        <v>134</v>
      </c>
      <c r="AL13" s="45">
        <v>5</v>
      </c>
      <c r="AM13" s="45">
        <v>7</v>
      </c>
      <c r="AN13" s="45">
        <v>7</v>
      </c>
      <c r="AO13" s="45">
        <v>7</v>
      </c>
      <c r="AP13" s="45">
        <v>7</v>
      </c>
      <c r="AQ13" s="45" t="s">
        <v>116</v>
      </c>
      <c r="AR13" s="45" t="s">
        <v>116</v>
      </c>
      <c r="AS13" s="45" t="s">
        <v>116</v>
      </c>
      <c r="AT13" s="45" t="s">
        <v>116</v>
      </c>
      <c r="AU13" s="45">
        <v>4</v>
      </c>
      <c r="AV13" s="45">
        <v>6</v>
      </c>
      <c r="AW13" s="45" t="s">
        <v>135</v>
      </c>
      <c r="AX13" s="45">
        <v>6</v>
      </c>
      <c r="AY13" s="45">
        <v>6</v>
      </c>
      <c r="AZ13" s="45" t="s">
        <v>146</v>
      </c>
      <c r="BA13" s="45">
        <v>7</v>
      </c>
      <c r="BB13" s="45">
        <v>7</v>
      </c>
      <c r="BC13" s="45">
        <v>7</v>
      </c>
      <c r="BD13" s="45">
        <v>2</v>
      </c>
      <c r="BE13" s="45" t="s">
        <v>137</v>
      </c>
      <c r="BF13" s="45">
        <v>7</v>
      </c>
      <c r="BG13" s="45" t="s">
        <v>121</v>
      </c>
      <c r="BH13" s="45">
        <v>7</v>
      </c>
      <c r="BI13" s="45" t="s">
        <v>138</v>
      </c>
      <c r="BJ13" s="45" t="s">
        <v>139</v>
      </c>
      <c r="BK13" s="45" t="s">
        <v>140</v>
      </c>
      <c r="BL13" s="45" t="s">
        <v>125</v>
      </c>
      <c r="BM13" s="45" t="s">
        <v>126</v>
      </c>
      <c r="BN13" s="45" t="s">
        <v>172</v>
      </c>
    </row>
    <row r="14" spans="1:67" x14ac:dyDescent="0.25">
      <c r="A14" s="47">
        <v>46037.658125555557</v>
      </c>
      <c r="B14" s="45" t="s">
        <v>147</v>
      </c>
      <c r="C14" s="45" t="s">
        <v>148</v>
      </c>
      <c r="D14" s="45" t="s">
        <v>108</v>
      </c>
      <c r="E14" s="45" t="s">
        <v>109</v>
      </c>
      <c r="F14" s="45" t="s">
        <v>180</v>
      </c>
      <c r="G14" s="45" t="s">
        <v>109</v>
      </c>
      <c r="I14" s="45" t="s">
        <v>108</v>
      </c>
      <c r="J14" s="45" t="s">
        <v>109</v>
      </c>
      <c r="M14" s="45" t="s">
        <v>181</v>
      </c>
      <c r="N14" s="45" t="s">
        <v>161</v>
      </c>
      <c r="O14" s="45" t="s">
        <v>112</v>
      </c>
      <c r="P14" s="45" t="s">
        <v>143</v>
      </c>
      <c r="Q14" s="45" t="s">
        <v>132</v>
      </c>
      <c r="R14" s="45" t="s">
        <v>132</v>
      </c>
      <c r="S14" s="45" t="s">
        <v>132</v>
      </c>
      <c r="T14" s="45" t="s">
        <v>133</v>
      </c>
      <c r="U14" s="45" t="s">
        <v>133</v>
      </c>
      <c r="V14" s="45" t="s">
        <v>133</v>
      </c>
      <c r="W14" s="45" t="s">
        <v>143</v>
      </c>
      <c r="X14" s="45" t="s">
        <v>133</v>
      </c>
      <c r="Y14" s="45" t="s">
        <v>133</v>
      </c>
      <c r="Z14" s="45" t="s">
        <v>143</v>
      </c>
      <c r="AA14" s="45" t="s">
        <v>132</v>
      </c>
      <c r="AB14" s="45" t="s">
        <v>143</v>
      </c>
      <c r="AC14" s="45" t="s">
        <v>143</v>
      </c>
      <c r="AD14" s="45" t="s">
        <v>133</v>
      </c>
      <c r="AE14" s="45" t="s">
        <v>133</v>
      </c>
      <c r="AF14" s="45" t="s">
        <v>133</v>
      </c>
      <c r="AG14" s="45" t="s">
        <v>133</v>
      </c>
      <c r="AH14" s="45" t="s">
        <v>133</v>
      </c>
      <c r="AI14" s="45">
        <v>7</v>
      </c>
      <c r="AJ14" s="45" t="s">
        <v>167</v>
      </c>
      <c r="AK14" s="45" t="s">
        <v>174</v>
      </c>
      <c r="AL14" s="45">
        <v>2</v>
      </c>
      <c r="AM14" s="45">
        <v>7</v>
      </c>
      <c r="AN14" s="45">
        <v>7</v>
      </c>
      <c r="AO14" s="45">
        <v>5</v>
      </c>
      <c r="AP14" s="45">
        <v>6</v>
      </c>
      <c r="AQ14" s="45" t="s">
        <v>116</v>
      </c>
      <c r="AR14" s="45" t="s">
        <v>116</v>
      </c>
      <c r="AS14" s="45" t="s">
        <v>117</v>
      </c>
      <c r="AT14" s="45" t="s">
        <v>117</v>
      </c>
      <c r="AU14" s="45">
        <v>1</v>
      </c>
      <c r="AV14" s="45">
        <v>4</v>
      </c>
      <c r="AW14" s="45" t="s">
        <v>168</v>
      </c>
      <c r="AX14" s="45">
        <v>7</v>
      </c>
      <c r="AY14" s="45">
        <v>7</v>
      </c>
      <c r="AZ14" s="45" t="s">
        <v>169</v>
      </c>
      <c r="BA14" s="45">
        <v>6</v>
      </c>
      <c r="BB14" s="45">
        <v>6</v>
      </c>
      <c r="BC14" s="45">
        <v>7</v>
      </c>
      <c r="BD14" s="45">
        <v>1</v>
      </c>
      <c r="BE14" s="45" t="s">
        <v>137</v>
      </c>
      <c r="BF14" s="45">
        <v>7</v>
      </c>
      <c r="BG14" s="45" t="s">
        <v>121</v>
      </c>
      <c r="BH14" s="45">
        <v>7</v>
      </c>
      <c r="BI14" s="45" t="s">
        <v>122</v>
      </c>
      <c r="BJ14" s="45" t="s">
        <v>139</v>
      </c>
      <c r="BK14" s="45" t="s">
        <v>182</v>
      </c>
      <c r="BL14" s="45" t="s">
        <v>177</v>
      </c>
      <c r="BM14" s="45" t="s">
        <v>152</v>
      </c>
      <c r="BN14" s="45" t="s">
        <v>127</v>
      </c>
      <c r="BO14" s="45" t="s">
        <v>183</v>
      </c>
    </row>
    <row r="15" spans="1:67" x14ac:dyDescent="0.25">
      <c r="A15" s="47">
        <v>46038.387719513892</v>
      </c>
      <c r="B15" s="45" t="s">
        <v>184</v>
      </c>
      <c r="C15" s="45" t="s">
        <v>130</v>
      </c>
      <c r="E15" s="45" t="s">
        <v>109</v>
      </c>
      <c r="M15" s="45" t="s">
        <v>185</v>
      </c>
      <c r="N15" s="45" t="s">
        <v>161</v>
      </c>
      <c r="O15" s="45" t="s">
        <v>132</v>
      </c>
      <c r="P15" s="45" t="s">
        <v>132</v>
      </c>
      <c r="Q15" s="45" t="s">
        <v>132</v>
      </c>
      <c r="R15" s="45" t="s">
        <v>133</v>
      </c>
      <c r="S15" s="45" t="s">
        <v>132</v>
      </c>
      <c r="T15" s="45" t="s">
        <v>113</v>
      </c>
      <c r="U15" s="45" t="s">
        <v>113</v>
      </c>
      <c r="V15" s="45" t="s">
        <v>113</v>
      </c>
      <c r="W15" s="45" t="s">
        <v>133</v>
      </c>
      <c r="X15" s="45" t="s">
        <v>143</v>
      </c>
      <c r="Y15" s="45" t="s">
        <v>133</v>
      </c>
      <c r="Z15" s="45" t="s">
        <v>132</v>
      </c>
      <c r="AA15" s="45" t="s">
        <v>132</v>
      </c>
      <c r="AB15" s="45" t="s">
        <v>143</v>
      </c>
      <c r="AC15" s="45" t="s">
        <v>132</v>
      </c>
      <c r="AD15" s="45" t="s">
        <v>133</v>
      </c>
      <c r="AE15" s="45" t="s">
        <v>112</v>
      </c>
      <c r="AF15" s="45" t="s">
        <v>113</v>
      </c>
      <c r="AG15" s="45" t="s">
        <v>133</v>
      </c>
      <c r="AH15" s="45" t="s">
        <v>143</v>
      </c>
      <c r="AI15" s="45">
        <v>6</v>
      </c>
      <c r="AJ15" s="45" t="s">
        <v>167</v>
      </c>
      <c r="AK15" s="45" t="s">
        <v>134</v>
      </c>
      <c r="AL15" s="45">
        <v>2</v>
      </c>
      <c r="AM15" s="45">
        <v>7</v>
      </c>
      <c r="AN15" s="45">
        <v>4</v>
      </c>
      <c r="AO15" s="45">
        <v>7</v>
      </c>
      <c r="AP15" s="45">
        <v>6</v>
      </c>
      <c r="AQ15" s="45" t="s">
        <v>117</v>
      </c>
      <c r="AR15" s="45" t="s">
        <v>116</v>
      </c>
      <c r="AS15" s="45" t="s">
        <v>151</v>
      </c>
      <c r="AT15" s="45" t="s">
        <v>116</v>
      </c>
      <c r="AU15" s="45">
        <v>4</v>
      </c>
      <c r="AV15" s="45">
        <v>7</v>
      </c>
      <c r="AW15" s="45" t="s">
        <v>168</v>
      </c>
      <c r="AX15" s="45">
        <v>5</v>
      </c>
      <c r="AY15" s="45">
        <v>3</v>
      </c>
      <c r="AZ15" s="45" t="s">
        <v>146</v>
      </c>
      <c r="BA15" s="45">
        <v>5</v>
      </c>
      <c r="BB15" s="45">
        <v>4</v>
      </c>
      <c r="BC15" s="45">
        <v>6</v>
      </c>
      <c r="BD15" s="45">
        <v>3</v>
      </c>
      <c r="BE15" s="45" t="s">
        <v>159</v>
      </c>
      <c r="BF15" s="45">
        <v>2</v>
      </c>
      <c r="BG15" s="45" t="s">
        <v>121</v>
      </c>
      <c r="BH15" s="45">
        <v>6</v>
      </c>
      <c r="BI15" s="45" t="s">
        <v>138</v>
      </c>
      <c r="BJ15" s="45" t="s">
        <v>139</v>
      </c>
      <c r="BK15" s="45" t="s">
        <v>140</v>
      </c>
      <c r="BL15" s="45" t="s">
        <v>186</v>
      </c>
      <c r="BM15" s="45" t="s">
        <v>126</v>
      </c>
      <c r="BN15" s="45" t="s">
        <v>187</v>
      </c>
    </row>
    <row r="16" spans="1:67" x14ac:dyDescent="0.25">
      <c r="A16" s="47">
        <v>46038.53139329861</v>
      </c>
      <c r="B16" s="45" t="s">
        <v>129</v>
      </c>
      <c r="C16" s="45" t="s">
        <v>148</v>
      </c>
      <c r="E16" s="45" t="s">
        <v>108</v>
      </c>
      <c r="M16" s="45" t="s">
        <v>188</v>
      </c>
      <c r="N16" s="45" t="s">
        <v>161</v>
      </c>
      <c r="O16" s="45" t="s">
        <v>112</v>
      </c>
      <c r="P16" s="45" t="s">
        <v>132</v>
      </c>
      <c r="Q16" s="45" t="s">
        <v>132</v>
      </c>
      <c r="R16" s="45" t="s">
        <v>112</v>
      </c>
      <c r="S16" s="45" t="s">
        <v>112</v>
      </c>
      <c r="T16" s="45" t="s">
        <v>112</v>
      </c>
      <c r="U16" s="45" t="s">
        <v>112</v>
      </c>
      <c r="V16" s="45" t="s">
        <v>112</v>
      </c>
      <c r="W16" s="45" t="s">
        <v>132</v>
      </c>
      <c r="X16" s="45" t="s">
        <v>133</v>
      </c>
      <c r="Y16" s="45" t="s">
        <v>112</v>
      </c>
      <c r="Z16" s="45" t="s">
        <v>112</v>
      </c>
      <c r="AA16" s="45" t="s">
        <v>132</v>
      </c>
      <c r="AB16" s="45" t="s">
        <v>143</v>
      </c>
      <c r="AC16" s="45" t="s">
        <v>112</v>
      </c>
      <c r="AD16" s="45" t="s">
        <v>112</v>
      </c>
      <c r="AE16" s="45" t="s">
        <v>112</v>
      </c>
      <c r="AF16" s="45" t="s">
        <v>112</v>
      </c>
      <c r="AG16" s="45" t="s">
        <v>132</v>
      </c>
      <c r="AH16" s="45" t="s">
        <v>133</v>
      </c>
      <c r="AI16" s="45">
        <v>5</v>
      </c>
      <c r="AJ16" s="45" t="s">
        <v>150</v>
      </c>
      <c r="AK16" s="45" t="s">
        <v>134</v>
      </c>
      <c r="AL16" s="45">
        <v>3</v>
      </c>
      <c r="AM16" s="45">
        <v>6</v>
      </c>
      <c r="AN16" s="45">
        <v>4</v>
      </c>
      <c r="AO16" s="45">
        <v>6</v>
      </c>
      <c r="AP16" s="45">
        <v>5</v>
      </c>
      <c r="AQ16" s="45" t="s">
        <v>116</v>
      </c>
      <c r="AR16" s="45" t="s">
        <v>151</v>
      </c>
      <c r="AS16" s="45" t="s">
        <v>151</v>
      </c>
      <c r="AT16" s="45" t="s">
        <v>151</v>
      </c>
      <c r="AU16" s="45">
        <v>2</v>
      </c>
      <c r="AV16" s="45">
        <v>7</v>
      </c>
      <c r="AW16" s="45" t="s">
        <v>145</v>
      </c>
      <c r="AX16" s="45">
        <v>5</v>
      </c>
      <c r="AY16" s="45">
        <v>5</v>
      </c>
      <c r="AZ16" s="45" t="s">
        <v>155</v>
      </c>
      <c r="BA16" s="45">
        <v>5</v>
      </c>
      <c r="BB16" s="45">
        <v>5</v>
      </c>
      <c r="BC16" s="45">
        <v>4</v>
      </c>
      <c r="BD16" s="45">
        <v>6</v>
      </c>
      <c r="BE16" s="45" t="s">
        <v>137</v>
      </c>
      <c r="BF16" s="45">
        <v>6</v>
      </c>
      <c r="BG16" s="45" t="s">
        <v>189</v>
      </c>
      <c r="BH16" s="45">
        <v>5</v>
      </c>
      <c r="BI16" s="45" t="s">
        <v>138</v>
      </c>
      <c r="BJ16" s="45" t="s">
        <v>139</v>
      </c>
      <c r="BK16" s="45" t="s">
        <v>140</v>
      </c>
      <c r="BL16" s="45" t="s">
        <v>141</v>
      </c>
      <c r="BM16" s="45" t="s">
        <v>126</v>
      </c>
      <c r="BN16" s="45" t="s">
        <v>172</v>
      </c>
    </row>
    <row r="17" spans="1:67" x14ac:dyDescent="0.25">
      <c r="A17" s="47">
        <v>46038.982821990743</v>
      </c>
      <c r="B17" s="45" t="s">
        <v>106</v>
      </c>
      <c r="C17" s="45" t="s">
        <v>148</v>
      </c>
      <c r="F17" s="45" t="s">
        <v>108</v>
      </c>
      <c r="G17" s="45" t="s">
        <v>108</v>
      </c>
      <c r="H17" s="45" t="s">
        <v>108</v>
      </c>
      <c r="K17" s="45" t="s">
        <v>109</v>
      </c>
      <c r="M17" s="45" t="s">
        <v>190</v>
      </c>
      <c r="N17" s="45" t="s">
        <v>111</v>
      </c>
      <c r="O17" s="45" t="s">
        <v>133</v>
      </c>
      <c r="P17" s="45" t="s">
        <v>132</v>
      </c>
      <c r="Q17" s="45" t="s">
        <v>132</v>
      </c>
      <c r="R17" s="45" t="s">
        <v>143</v>
      </c>
      <c r="S17" s="45" t="s">
        <v>133</v>
      </c>
      <c r="T17" s="45" t="s">
        <v>113</v>
      </c>
      <c r="U17" s="45" t="s">
        <v>113</v>
      </c>
      <c r="V17" s="45" t="s">
        <v>143</v>
      </c>
      <c r="W17" s="45" t="s">
        <v>143</v>
      </c>
      <c r="X17" s="45" t="s">
        <v>133</v>
      </c>
      <c r="Y17" s="45" t="s">
        <v>113</v>
      </c>
      <c r="Z17" s="45" t="s">
        <v>143</v>
      </c>
      <c r="AA17" s="45" t="s">
        <v>132</v>
      </c>
      <c r="AB17" s="45" t="s">
        <v>132</v>
      </c>
      <c r="AC17" s="45" t="s">
        <v>143</v>
      </c>
      <c r="AD17" s="45" t="s">
        <v>133</v>
      </c>
      <c r="AE17" s="45" t="s">
        <v>133</v>
      </c>
      <c r="AF17" s="45" t="s">
        <v>133</v>
      </c>
      <c r="AG17" s="45" t="s">
        <v>143</v>
      </c>
      <c r="AH17" s="45" t="s">
        <v>133</v>
      </c>
      <c r="AI17" s="45">
        <v>4</v>
      </c>
      <c r="AJ17" s="45" t="s">
        <v>191</v>
      </c>
      <c r="AK17" s="45" t="s">
        <v>115</v>
      </c>
      <c r="AL17" s="45">
        <v>6</v>
      </c>
      <c r="AM17" s="45">
        <v>6</v>
      </c>
      <c r="AN17" s="45">
        <v>7</v>
      </c>
      <c r="AO17" s="45">
        <v>6</v>
      </c>
      <c r="AP17" s="45">
        <v>3</v>
      </c>
      <c r="AQ17" s="45" t="s">
        <v>116</v>
      </c>
      <c r="AR17" s="45" t="s">
        <v>116</v>
      </c>
      <c r="AS17" s="45" t="s">
        <v>151</v>
      </c>
      <c r="AT17" s="45" t="s">
        <v>151</v>
      </c>
      <c r="AU17" s="45">
        <v>4</v>
      </c>
      <c r="AV17" s="45">
        <v>5</v>
      </c>
      <c r="AW17" s="45" t="s">
        <v>145</v>
      </c>
      <c r="AX17" s="45">
        <v>6</v>
      </c>
      <c r="AY17" s="45">
        <v>6</v>
      </c>
      <c r="AZ17" s="45" t="s">
        <v>146</v>
      </c>
      <c r="BA17" s="45">
        <v>6</v>
      </c>
      <c r="BB17" s="45">
        <v>4</v>
      </c>
      <c r="BC17" s="45">
        <v>3</v>
      </c>
      <c r="BD17" s="45">
        <v>5</v>
      </c>
      <c r="BE17" s="45" t="s">
        <v>159</v>
      </c>
      <c r="BF17" s="45">
        <v>7</v>
      </c>
      <c r="BG17" s="45" t="s">
        <v>121</v>
      </c>
      <c r="BH17" s="45">
        <v>3</v>
      </c>
      <c r="BI17" s="45" t="s">
        <v>138</v>
      </c>
      <c r="BJ17" s="45" t="s">
        <v>123</v>
      </c>
      <c r="BK17" s="45" t="s">
        <v>140</v>
      </c>
      <c r="BL17" s="45" t="s">
        <v>125</v>
      </c>
      <c r="BM17" s="45" t="s">
        <v>126</v>
      </c>
      <c r="BN17" s="45" t="s">
        <v>127</v>
      </c>
    </row>
    <row r="18" spans="1:67" x14ac:dyDescent="0.25">
      <c r="A18" s="47">
        <v>46039.41068497685</v>
      </c>
      <c r="B18" s="45" t="s">
        <v>147</v>
      </c>
      <c r="C18" s="45" t="s">
        <v>130</v>
      </c>
      <c r="E18" s="45" t="s">
        <v>109</v>
      </c>
      <c r="K18" s="45" t="s">
        <v>109</v>
      </c>
      <c r="M18" s="45" t="s">
        <v>185</v>
      </c>
      <c r="N18" s="45" t="s">
        <v>111</v>
      </c>
      <c r="O18" s="45" t="s">
        <v>143</v>
      </c>
      <c r="P18" s="45" t="s">
        <v>132</v>
      </c>
      <c r="Q18" s="45" t="s">
        <v>143</v>
      </c>
      <c r="R18" s="45" t="s">
        <v>113</v>
      </c>
      <c r="S18" s="45" t="s">
        <v>132</v>
      </c>
      <c r="T18" s="45" t="s">
        <v>133</v>
      </c>
      <c r="U18" s="45" t="s">
        <v>133</v>
      </c>
      <c r="V18" s="45" t="s">
        <v>113</v>
      </c>
      <c r="W18" s="45" t="s">
        <v>133</v>
      </c>
      <c r="X18" s="45" t="s">
        <v>143</v>
      </c>
      <c r="Y18" s="45" t="s">
        <v>143</v>
      </c>
      <c r="Z18" s="45" t="s">
        <v>133</v>
      </c>
      <c r="AA18" s="45" t="s">
        <v>133</v>
      </c>
      <c r="AB18" s="45" t="s">
        <v>113</v>
      </c>
      <c r="AC18" s="45" t="s">
        <v>132</v>
      </c>
      <c r="AD18" s="45" t="s">
        <v>133</v>
      </c>
      <c r="AE18" s="45" t="s">
        <v>113</v>
      </c>
      <c r="AF18" s="45" t="s">
        <v>113</v>
      </c>
      <c r="AG18" s="45" t="s">
        <v>113</v>
      </c>
      <c r="AH18" s="45" t="s">
        <v>143</v>
      </c>
      <c r="AI18" s="45">
        <v>5</v>
      </c>
      <c r="AJ18" s="45" t="s">
        <v>150</v>
      </c>
      <c r="AK18" s="45" t="s">
        <v>134</v>
      </c>
      <c r="AL18" s="45">
        <v>3</v>
      </c>
      <c r="AM18" s="45">
        <v>7</v>
      </c>
      <c r="AN18" s="45">
        <v>7</v>
      </c>
      <c r="AO18" s="45">
        <v>3</v>
      </c>
      <c r="AP18" s="45">
        <v>7</v>
      </c>
      <c r="AQ18" s="45" t="s">
        <v>117</v>
      </c>
      <c r="AR18" s="45" t="s">
        <v>116</v>
      </c>
      <c r="AS18" s="45" t="s">
        <v>151</v>
      </c>
      <c r="AT18" s="45" t="s">
        <v>117</v>
      </c>
      <c r="AU18" s="45">
        <v>5</v>
      </c>
      <c r="AV18" s="45">
        <v>7</v>
      </c>
      <c r="AW18" s="45" t="s">
        <v>118</v>
      </c>
      <c r="AX18" s="45">
        <v>6</v>
      </c>
      <c r="AY18" s="45">
        <v>6</v>
      </c>
      <c r="AZ18" s="45" t="s">
        <v>136</v>
      </c>
      <c r="BA18" s="45">
        <v>4</v>
      </c>
      <c r="BB18" s="45">
        <v>5</v>
      </c>
      <c r="BC18" s="45">
        <v>4</v>
      </c>
      <c r="BD18" s="45">
        <v>5</v>
      </c>
      <c r="BE18" s="45" t="s">
        <v>137</v>
      </c>
      <c r="BF18" s="45">
        <v>5</v>
      </c>
      <c r="BG18" s="45" t="s">
        <v>121</v>
      </c>
      <c r="BH18" s="45">
        <v>6</v>
      </c>
      <c r="BI18" s="45" t="s">
        <v>122</v>
      </c>
      <c r="BJ18" s="45" t="s">
        <v>139</v>
      </c>
      <c r="BK18" s="45" t="s">
        <v>124</v>
      </c>
      <c r="BL18" s="45" t="s">
        <v>192</v>
      </c>
      <c r="BM18" s="45" t="s">
        <v>152</v>
      </c>
      <c r="BN18" s="45" t="s">
        <v>127</v>
      </c>
    </row>
    <row r="19" spans="1:67" x14ac:dyDescent="0.25">
      <c r="A19" s="47">
        <v>46040.715221817132</v>
      </c>
      <c r="B19" s="45" t="s">
        <v>129</v>
      </c>
      <c r="C19" s="45" t="s">
        <v>107</v>
      </c>
      <c r="D19" s="45" t="s">
        <v>108</v>
      </c>
      <c r="E19" s="45" t="s">
        <v>108</v>
      </c>
      <c r="F19" s="45" t="s">
        <v>109</v>
      </c>
      <c r="G19" s="45" t="s">
        <v>108</v>
      </c>
      <c r="H19" s="45" t="s">
        <v>108</v>
      </c>
      <c r="I19" s="45" t="s">
        <v>108</v>
      </c>
      <c r="J19" s="45" t="s">
        <v>108</v>
      </c>
      <c r="K19" s="45" t="s">
        <v>109</v>
      </c>
      <c r="L19" s="45" t="s">
        <v>108</v>
      </c>
      <c r="M19" s="45" t="s">
        <v>193</v>
      </c>
      <c r="N19" s="45" t="s">
        <v>111</v>
      </c>
      <c r="O19" s="45" t="s">
        <v>143</v>
      </c>
      <c r="P19" s="45" t="s">
        <v>132</v>
      </c>
      <c r="Q19" s="45" t="s">
        <v>143</v>
      </c>
      <c r="R19" s="45" t="s">
        <v>132</v>
      </c>
      <c r="S19" s="45" t="s">
        <v>133</v>
      </c>
      <c r="T19" s="45" t="s">
        <v>143</v>
      </c>
      <c r="U19" s="45" t="s">
        <v>112</v>
      </c>
      <c r="V19" s="45" t="s">
        <v>133</v>
      </c>
      <c r="W19" s="45" t="s">
        <v>132</v>
      </c>
      <c r="X19" s="45" t="s">
        <v>132</v>
      </c>
      <c r="Y19" s="45" t="s">
        <v>132</v>
      </c>
      <c r="Z19" s="45" t="s">
        <v>132</v>
      </c>
      <c r="AA19" s="45" t="s">
        <v>143</v>
      </c>
      <c r="AB19" s="45" t="s">
        <v>132</v>
      </c>
      <c r="AC19" s="45" t="s">
        <v>133</v>
      </c>
      <c r="AD19" s="45" t="s">
        <v>133</v>
      </c>
      <c r="AE19" s="45" t="s">
        <v>112</v>
      </c>
      <c r="AF19" s="45" t="s">
        <v>113</v>
      </c>
      <c r="AG19" s="45" t="s">
        <v>143</v>
      </c>
      <c r="AH19" s="45" t="s">
        <v>143</v>
      </c>
      <c r="AI19" s="45">
        <v>6</v>
      </c>
      <c r="AJ19" s="45" t="s">
        <v>114</v>
      </c>
      <c r="AK19" s="45" t="s">
        <v>115</v>
      </c>
      <c r="AL19" s="45">
        <v>6</v>
      </c>
      <c r="AM19" s="45">
        <v>5</v>
      </c>
      <c r="AN19" s="45">
        <v>4</v>
      </c>
      <c r="AO19" s="45">
        <v>3</v>
      </c>
      <c r="AP19" s="45">
        <v>2</v>
      </c>
      <c r="AQ19" s="45" t="s">
        <v>116</v>
      </c>
      <c r="AR19" s="45" t="s">
        <v>116</v>
      </c>
      <c r="AS19" s="45" t="s">
        <v>117</v>
      </c>
      <c r="AT19" s="45" t="s">
        <v>117</v>
      </c>
      <c r="AU19" s="45">
        <v>2</v>
      </c>
      <c r="AV19" s="45">
        <v>4</v>
      </c>
      <c r="AW19" s="45" t="s">
        <v>118</v>
      </c>
      <c r="AX19" s="45">
        <v>5</v>
      </c>
      <c r="AY19" s="45">
        <v>5</v>
      </c>
      <c r="AZ19" s="45" t="s">
        <v>119</v>
      </c>
      <c r="BA19" s="45">
        <v>6</v>
      </c>
      <c r="BB19" s="45">
        <v>6</v>
      </c>
      <c r="BC19" s="45">
        <v>7</v>
      </c>
      <c r="BD19" s="45">
        <v>6</v>
      </c>
      <c r="BE19" s="45" t="s">
        <v>137</v>
      </c>
      <c r="BF19" s="45">
        <v>6</v>
      </c>
      <c r="BG19" s="45" t="s">
        <v>121</v>
      </c>
      <c r="BH19" s="45">
        <v>6</v>
      </c>
      <c r="BI19" s="45" t="s">
        <v>122</v>
      </c>
      <c r="BJ19" s="45" t="s">
        <v>139</v>
      </c>
      <c r="BK19" s="45" t="s">
        <v>124</v>
      </c>
      <c r="BL19" s="45" t="s">
        <v>125</v>
      </c>
      <c r="BM19" s="45" t="s">
        <v>126</v>
      </c>
      <c r="BN19" s="45" t="s">
        <v>127</v>
      </c>
    </row>
    <row r="20" spans="1:67" x14ac:dyDescent="0.25">
      <c r="A20" s="47">
        <v>46040.792995613418</v>
      </c>
      <c r="B20" s="45" t="s">
        <v>129</v>
      </c>
      <c r="C20" s="45" t="s">
        <v>130</v>
      </c>
      <c r="K20" s="45" t="s">
        <v>109</v>
      </c>
      <c r="M20" s="45" t="s">
        <v>194</v>
      </c>
      <c r="N20" s="45" t="s">
        <v>111</v>
      </c>
      <c r="O20" s="45" t="s">
        <v>143</v>
      </c>
      <c r="P20" s="45" t="s">
        <v>143</v>
      </c>
      <c r="Q20" s="45" t="s">
        <v>133</v>
      </c>
      <c r="R20" s="45" t="s">
        <v>143</v>
      </c>
      <c r="S20" s="45" t="s">
        <v>143</v>
      </c>
      <c r="T20" s="45" t="s">
        <v>133</v>
      </c>
      <c r="U20" s="45" t="s">
        <v>133</v>
      </c>
      <c r="V20" s="45" t="s">
        <v>133</v>
      </c>
      <c r="W20" s="45" t="s">
        <v>143</v>
      </c>
      <c r="X20" s="45" t="s">
        <v>143</v>
      </c>
      <c r="Y20" s="45" t="s">
        <v>143</v>
      </c>
      <c r="Z20" s="45" t="s">
        <v>143</v>
      </c>
      <c r="AA20" s="45" t="s">
        <v>143</v>
      </c>
      <c r="AB20" s="45" t="s">
        <v>143</v>
      </c>
      <c r="AC20" s="45" t="s">
        <v>143</v>
      </c>
      <c r="AD20" s="45" t="s">
        <v>133</v>
      </c>
      <c r="AE20" s="45" t="s">
        <v>133</v>
      </c>
      <c r="AF20" s="45" t="s">
        <v>133</v>
      </c>
      <c r="AG20" s="45" t="s">
        <v>143</v>
      </c>
      <c r="AH20" s="45" t="s">
        <v>143</v>
      </c>
      <c r="AI20" s="45">
        <v>2</v>
      </c>
      <c r="AJ20" s="45" t="s">
        <v>150</v>
      </c>
      <c r="AK20" s="45" t="s">
        <v>134</v>
      </c>
      <c r="AL20" s="45">
        <v>6</v>
      </c>
      <c r="AM20" s="45">
        <v>6</v>
      </c>
      <c r="AN20" s="45">
        <v>7</v>
      </c>
      <c r="AO20" s="45">
        <v>6</v>
      </c>
      <c r="AP20" s="45">
        <v>2</v>
      </c>
      <c r="AQ20" s="45" t="s">
        <v>116</v>
      </c>
      <c r="AR20" s="45" t="s">
        <v>116</v>
      </c>
      <c r="AS20" s="45" t="s">
        <v>116</v>
      </c>
      <c r="AT20" s="45" t="s">
        <v>116</v>
      </c>
      <c r="AU20" s="45">
        <v>5</v>
      </c>
      <c r="AV20" s="45">
        <v>7</v>
      </c>
      <c r="AW20" s="45" t="s">
        <v>168</v>
      </c>
      <c r="AX20" s="45">
        <v>6</v>
      </c>
      <c r="AY20" s="45">
        <v>6</v>
      </c>
      <c r="AZ20" s="45" t="s">
        <v>136</v>
      </c>
      <c r="BA20" s="45">
        <v>6</v>
      </c>
      <c r="BB20" s="45">
        <v>6</v>
      </c>
      <c r="BC20" s="45">
        <v>6</v>
      </c>
      <c r="BD20" s="45">
        <v>6</v>
      </c>
      <c r="BE20" s="45" t="s">
        <v>137</v>
      </c>
      <c r="BF20" s="45">
        <v>6</v>
      </c>
      <c r="BG20" s="45" t="s">
        <v>189</v>
      </c>
      <c r="BH20" s="45">
        <v>6</v>
      </c>
      <c r="BI20" s="45" t="s">
        <v>195</v>
      </c>
      <c r="BJ20" s="45" t="s">
        <v>139</v>
      </c>
      <c r="BK20" s="45" t="s">
        <v>196</v>
      </c>
      <c r="BL20" s="45" t="s">
        <v>177</v>
      </c>
      <c r="BM20" s="45" t="s">
        <v>197</v>
      </c>
      <c r="BN20" s="45" t="s">
        <v>127</v>
      </c>
    </row>
    <row r="21" spans="1:67" x14ac:dyDescent="0.25">
      <c r="A21" s="47">
        <v>46041.502257731481</v>
      </c>
      <c r="B21" s="45" t="s">
        <v>129</v>
      </c>
      <c r="C21" s="45" t="s">
        <v>130</v>
      </c>
      <c r="E21" s="45" t="s">
        <v>109</v>
      </c>
      <c r="M21" s="45" t="s">
        <v>198</v>
      </c>
      <c r="N21" s="45" t="s">
        <v>161</v>
      </c>
      <c r="O21" s="45" t="s">
        <v>143</v>
      </c>
      <c r="P21" s="45" t="s">
        <v>132</v>
      </c>
      <c r="Q21" s="45" t="s">
        <v>132</v>
      </c>
      <c r="R21" s="45" t="s">
        <v>113</v>
      </c>
      <c r="S21" s="45" t="s">
        <v>143</v>
      </c>
      <c r="T21" s="45" t="s">
        <v>143</v>
      </c>
      <c r="U21" s="45" t="s">
        <v>112</v>
      </c>
      <c r="V21" s="45" t="s">
        <v>133</v>
      </c>
      <c r="W21" s="45" t="s">
        <v>143</v>
      </c>
      <c r="X21" s="45" t="s">
        <v>143</v>
      </c>
      <c r="Y21" s="45" t="s">
        <v>143</v>
      </c>
      <c r="Z21" s="45" t="s">
        <v>113</v>
      </c>
      <c r="AA21" s="45" t="s">
        <v>113</v>
      </c>
      <c r="AB21" s="45" t="s">
        <v>113</v>
      </c>
      <c r="AC21" s="45" t="s">
        <v>143</v>
      </c>
      <c r="AD21" s="45" t="s">
        <v>133</v>
      </c>
      <c r="AE21" s="45" t="s">
        <v>113</v>
      </c>
      <c r="AF21" s="45" t="s">
        <v>133</v>
      </c>
      <c r="AG21" s="45" t="s">
        <v>133</v>
      </c>
      <c r="AH21" s="45" t="s">
        <v>133</v>
      </c>
      <c r="AI21" s="45">
        <v>6</v>
      </c>
      <c r="AJ21" s="45" t="s">
        <v>150</v>
      </c>
      <c r="AK21" s="45" t="s">
        <v>134</v>
      </c>
      <c r="AL21" s="45">
        <v>6</v>
      </c>
      <c r="AM21" s="45">
        <v>5</v>
      </c>
      <c r="AN21" s="45">
        <v>7</v>
      </c>
      <c r="AO21" s="45">
        <v>6</v>
      </c>
      <c r="AP21" s="45">
        <v>6</v>
      </c>
      <c r="AQ21" s="45" t="s">
        <v>117</v>
      </c>
      <c r="AR21" s="45" t="s">
        <v>117</v>
      </c>
      <c r="AS21" s="45" t="s">
        <v>151</v>
      </c>
      <c r="AT21" s="45" t="s">
        <v>151</v>
      </c>
      <c r="AU21" s="45">
        <v>6</v>
      </c>
      <c r="AV21" s="45">
        <v>5</v>
      </c>
      <c r="AW21" s="45" t="s">
        <v>118</v>
      </c>
      <c r="AX21" s="45">
        <v>5</v>
      </c>
      <c r="AY21" s="45">
        <v>5</v>
      </c>
      <c r="AZ21" s="45" t="s">
        <v>155</v>
      </c>
      <c r="BA21" s="45">
        <v>6</v>
      </c>
      <c r="BB21" s="45">
        <v>5</v>
      </c>
      <c r="BC21" s="45">
        <v>5</v>
      </c>
      <c r="BD21" s="45">
        <v>5</v>
      </c>
      <c r="BE21" s="45" t="s">
        <v>137</v>
      </c>
      <c r="BF21" s="45">
        <v>6</v>
      </c>
      <c r="BG21" s="45" t="s">
        <v>199</v>
      </c>
      <c r="BH21" s="45">
        <v>6</v>
      </c>
      <c r="BI21" s="45" t="s">
        <v>138</v>
      </c>
      <c r="BJ21" s="45" t="s">
        <v>139</v>
      </c>
      <c r="BK21" s="45" t="s">
        <v>140</v>
      </c>
      <c r="BL21" s="45" t="s">
        <v>141</v>
      </c>
      <c r="BM21" s="45" t="s">
        <v>126</v>
      </c>
      <c r="BN21" s="45" t="s">
        <v>127</v>
      </c>
    </row>
    <row r="22" spans="1:67" x14ac:dyDescent="0.25">
      <c r="A22" s="47">
        <v>46042.408036689812</v>
      </c>
      <c r="B22" s="45" t="s">
        <v>165</v>
      </c>
      <c r="C22" s="45" t="s">
        <v>130</v>
      </c>
      <c r="E22" s="45" t="s">
        <v>109</v>
      </c>
      <c r="G22" s="45" t="s">
        <v>108</v>
      </c>
      <c r="M22" s="45" t="s">
        <v>200</v>
      </c>
      <c r="N22" s="45" t="s">
        <v>111</v>
      </c>
      <c r="O22" s="45" t="s">
        <v>143</v>
      </c>
      <c r="P22" s="45" t="s">
        <v>143</v>
      </c>
      <c r="Q22" s="45" t="s">
        <v>143</v>
      </c>
      <c r="R22" s="45" t="s">
        <v>143</v>
      </c>
      <c r="S22" s="45" t="s">
        <v>133</v>
      </c>
      <c r="T22" s="45" t="s">
        <v>143</v>
      </c>
      <c r="U22" s="45" t="s">
        <v>113</v>
      </c>
      <c r="V22" s="45" t="s">
        <v>143</v>
      </c>
      <c r="W22" s="45" t="s">
        <v>133</v>
      </c>
      <c r="X22" s="45" t="s">
        <v>133</v>
      </c>
      <c r="Y22" s="45" t="s">
        <v>143</v>
      </c>
      <c r="Z22" s="45" t="s">
        <v>143</v>
      </c>
      <c r="AA22" s="45" t="s">
        <v>143</v>
      </c>
      <c r="AB22" s="45" t="s">
        <v>143</v>
      </c>
      <c r="AC22" s="45" t="s">
        <v>133</v>
      </c>
      <c r="AD22" s="45" t="s">
        <v>143</v>
      </c>
      <c r="AE22" s="45" t="s">
        <v>113</v>
      </c>
      <c r="AF22" s="45" t="s">
        <v>143</v>
      </c>
      <c r="AG22" s="45" t="s">
        <v>133</v>
      </c>
      <c r="AH22" s="45" t="s">
        <v>133</v>
      </c>
      <c r="AI22" s="45">
        <v>4</v>
      </c>
      <c r="AJ22" s="45" t="s">
        <v>191</v>
      </c>
      <c r="AK22" s="45" t="s">
        <v>201</v>
      </c>
      <c r="AL22" s="45">
        <v>6</v>
      </c>
      <c r="AM22" s="45">
        <v>7</v>
      </c>
      <c r="AN22" s="45">
        <v>7</v>
      </c>
      <c r="AO22" s="45">
        <v>3</v>
      </c>
      <c r="AP22" s="45">
        <v>5</v>
      </c>
      <c r="AQ22" s="45" t="s">
        <v>116</v>
      </c>
      <c r="AR22" s="45" t="s">
        <v>116</v>
      </c>
      <c r="AS22" s="45" t="s">
        <v>117</v>
      </c>
      <c r="AT22" s="45" t="s">
        <v>151</v>
      </c>
      <c r="AU22" s="45">
        <v>6</v>
      </c>
      <c r="AV22" s="45">
        <v>7</v>
      </c>
      <c r="AW22" s="45" t="s">
        <v>168</v>
      </c>
      <c r="AX22" s="45">
        <v>5</v>
      </c>
      <c r="AY22" s="45">
        <v>5</v>
      </c>
      <c r="AZ22" s="45" t="s">
        <v>136</v>
      </c>
      <c r="BA22" s="45">
        <v>6</v>
      </c>
      <c r="BB22" s="45">
        <v>4</v>
      </c>
      <c r="BC22" s="45">
        <v>5</v>
      </c>
      <c r="BD22" s="45">
        <v>2</v>
      </c>
      <c r="BE22" s="45" t="s">
        <v>202</v>
      </c>
      <c r="BF22" s="45">
        <v>6</v>
      </c>
      <c r="BG22" s="45" t="s">
        <v>121</v>
      </c>
      <c r="BH22" s="45">
        <v>5</v>
      </c>
      <c r="BI22" s="45" t="s">
        <v>122</v>
      </c>
      <c r="BJ22" s="45" t="s">
        <v>139</v>
      </c>
      <c r="BK22" s="45" t="s">
        <v>203</v>
      </c>
      <c r="BL22" s="45" t="s">
        <v>186</v>
      </c>
      <c r="BM22" s="45" t="s">
        <v>126</v>
      </c>
      <c r="BN22" s="45" t="s">
        <v>204</v>
      </c>
    </row>
    <row r="23" spans="1:67" x14ac:dyDescent="0.25">
      <c r="A23" s="47">
        <v>46043.860294988423</v>
      </c>
      <c r="B23" s="45" t="s">
        <v>129</v>
      </c>
      <c r="C23" s="45" t="s">
        <v>107</v>
      </c>
      <c r="F23" s="45" t="s">
        <v>109</v>
      </c>
      <c r="M23" s="45" t="s">
        <v>205</v>
      </c>
      <c r="N23" s="45" t="s">
        <v>161</v>
      </c>
      <c r="O23" s="45" t="s">
        <v>143</v>
      </c>
      <c r="P23" s="45" t="s">
        <v>143</v>
      </c>
      <c r="Q23" s="45" t="s">
        <v>132</v>
      </c>
      <c r="R23" s="45" t="s">
        <v>113</v>
      </c>
      <c r="S23" s="45" t="s">
        <v>133</v>
      </c>
      <c r="T23" s="45" t="s">
        <v>133</v>
      </c>
      <c r="U23" s="45" t="s">
        <v>133</v>
      </c>
      <c r="V23" s="45" t="s">
        <v>113</v>
      </c>
      <c r="W23" s="45" t="s">
        <v>113</v>
      </c>
      <c r="X23" s="45" t="s">
        <v>132</v>
      </c>
      <c r="Y23" s="45" t="s">
        <v>132</v>
      </c>
      <c r="Z23" s="45" t="s">
        <v>132</v>
      </c>
      <c r="AA23" s="45" t="s">
        <v>132</v>
      </c>
      <c r="AB23" s="45" t="s">
        <v>133</v>
      </c>
      <c r="AC23" s="45" t="s">
        <v>133</v>
      </c>
      <c r="AD23" s="45" t="s">
        <v>133</v>
      </c>
      <c r="AE23" s="45" t="s">
        <v>133</v>
      </c>
      <c r="AF23" s="45" t="s">
        <v>133</v>
      </c>
      <c r="AG23" s="45" t="s">
        <v>113</v>
      </c>
      <c r="AH23" s="45" t="s">
        <v>132</v>
      </c>
      <c r="AI23" s="45">
        <v>6</v>
      </c>
      <c r="AJ23" s="45" t="s">
        <v>167</v>
      </c>
      <c r="AK23" s="45" t="s">
        <v>134</v>
      </c>
      <c r="AL23" s="45">
        <v>3</v>
      </c>
      <c r="AM23" s="45">
        <v>5</v>
      </c>
      <c r="AN23" s="45">
        <v>6</v>
      </c>
      <c r="AO23" s="45">
        <v>5</v>
      </c>
      <c r="AP23" s="45">
        <v>2</v>
      </c>
      <c r="AQ23" s="45" t="s">
        <v>117</v>
      </c>
      <c r="AR23" s="45" t="s">
        <v>116</v>
      </c>
      <c r="AS23" s="45" t="s">
        <v>151</v>
      </c>
      <c r="AT23" s="45" t="s">
        <v>171</v>
      </c>
      <c r="AU23" s="45">
        <v>1</v>
      </c>
      <c r="AV23" s="45">
        <v>7</v>
      </c>
      <c r="AW23" s="45" t="s">
        <v>168</v>
      </c>
      <c r="AX23" s="45">
        <v>5</v>
      </c>
      <c r="AY23" s="45">
        <v>4</v>
      </c>
      <c r="AZ23" s="45" t="s">
        <v>146</v>
      </c>
      <c r="BA23" s="45">
        <v>5</v>
      </c>
      <c r="BB23" s="45">
        <v>6</v>
      </c>
      <c r="BC23" s="45">
        <v>5</v>
      </c>
      <c r="BD23" s="45">
        <v>3</v>
      </c>
      <c r="BE23" s="45" t="s">
        <v>137</v>
      </c>
      <c r="BF23" s="45">
        <v>6</v>
      </c>
      <c r="BG23" s="45" t="s">
        <v>121</v>
      </c>
      <c r="BH23" s="45">
        <v>4</v>
      </c>
      <c r="BI23" s="45" t="s">
        <v>122</v>
      </c>
      <c r="BJ23" s="45" t="s">
        <v>123</v>
      </c>
      <c r="BK23" s="45" t="s">
        <v>124</v>
      </c>
      <c r="BL23" s="45" t="s">
        <v>192</v>
      </c>
      <c r="BM23" s="45" t="s">
        <v>206</v>
      </c>
      <c r="BN23" s="45" t="s">
        <v>172</v>
      </c>
    </row>
    <row r="24" spans="1:67" x14ac:dyDescent="0.25">
      <c r="A24" s="47">
        <v>46047.149033668982</v>
      </c>
      <c r="B24" s="45" t="s">
        <v>147</v>
      </c>
      <c r="C24" s="45" t="s">
        <v>148</v>
      </c>
      <c r="F24" s="45" t="s">
        <v>108</v>
      </c>
      <c r="M24" s="45" t="s">
        <v>207</v>
      </c>
      <c r="N24" s="45" t="s">
        <v>111</v>
      </c>
      <c r="O24" s="45" t="s">
        <v>133</v>
      </c>
      <c r="P24" s="45" t="s">
        <v>133</v>
      </c>
      <c r="Q24" s="45" t="s">
        <v>133</v>
      </c>
      <c r="R24" s="45" t="s">
        <v>113</v>
      </c>
      <c r="S24" s="45" t="s">
        <v>133</v>
      </c>
      <c r="T24" s="45" t="s">
        <v>133</v>
      </c>
      <c r="U24" s="45" t="s">
        <v>133</v>
      </c>
      <c r="V24" s="45" t="s">
        <v>133</v>
      </c>
      <c r="W24" s="45" t="s">
        <v>112</v>
      </c>
      <c r="X24" s="45" t="s">
        <v>133</v>
      </c>
      <c r="Y24" s="45" t="s">
        <v>133</v>
      </c>
      <c r="Z24" s="45" t="s">
        <v>133</v>
      </c>
      <c r="AA24" s="45" t="s">
        <v>133</v>
      </c>
      <c r="AB24" s="45" t="s">
        <v>112</v>
      </c>
      <c r="AC24" s="45" t="s">
        <v>133</v>
      </c>
      <c r="AD24" s="45" t="s">
        <v>133</v>
      </c>
      <c r="AE24" s="45" t="s">
        <v>133</v>
      </c>
      <c r="AF24" s="45" t="s">
        <v>112</v>
      </c>
      <c r="AG24" s="45" t="s">
        <v>112</v>
      </c>
      <c r="AH24" s="45" t="s">
        <v>133</v>
      </c>
      <c r="AI24" s="45">
        <v>7</v>
      </c>
      <c r="AJ24" s="45" t="s">
        <v>150</v>
      </c>
      <c r="AK24" s="45" t="s">
        <v>174</v>
      </c>
      <c r="AL24" s="45">
        <v>2</v>
      </c>
      <c r="AM24" s="45">
        <v>7</v>
      </c>
      <c r="AN24" s="45">
        <v>1</v>
      </c>
      <c r="AO24" s="45">
        <v>7</v>
      </c>
      <c r="AP24" s="45">
        <v>7</v>
      </c>
      <c r="AQ24" s="45" t="s">
        <v>151</v>
      </c>
      <c r="AR24" s="45" t="s">
        <v>151</v>
      </c>
      <c r="AS24" s="45" t="s">
        <v>171</v>
      </c>
      <c r="AT24" s="45" t="s">
        <v>171</v>
      </c>
      <c r="AU24" s="45">
        <v>7</v>
      </c>
      <c r="AV24" s="45">
        <v>7</v>
      </c>
      <c r="AW24" s="45" t="s">
        <v>118</v>
      </c>
      <c r="AX24" s="45">
        <v>7</v>
      </c>
      <c r="AY24" s="45">
        <v>7</v>
      </c>
      <c r="AZ24" s="45" t="s">
        <v>146</v>
      </c>
      <c r="BA24" s="45">
        <v>4</v>
      </c>
      <c r="BB24" s="45">
        <v>7</v>
      </c>
      <c r="BC24" s="45">
        <v>7</v>
      </c>
      <c r="BD24" s="45">
        <v>1</v>
      </c>
      <c r="BE24" s="45" t="s">
        <v>159</v>
      </c>
      <c r="BF24" s="45">
        <v>7</v>
      </c>
      <c r="BG24" s="45" t="s">
        <v>121</v>
      </c>
      <c r="BH24" s="45">
        <v>7</v>
      </c>
      <c r="BI24" s="45" t="s">
        <v>195</v>
      </c>
      <c r="BJ24" s="45" t="s">
        <v>139</v>
      </c>
      <c r="BK24" s="45" t="s">
        <v>176</v>
      </c>
      <c r="BL24" s="45" t="s">
        <v>177</v>
      </c>
      <c r="BM24" s="45" t="s">
        <v>208</v>
      </c>
      <c r="BN24" s="45" t="s">
        <v>127</v>
      </c>
    </row>
    <row r="25" spans="1:67" x14ac:dyDescent="0.25">
      <c r="A25" s="47">
        <v>46047.74720229167</v>
      </c>
      <c r="B25" s="45" t="s">
        <v>106</v>
      </c>
      <c r="C25" s="45" t="s">
        <v>148</v>
      </c>
      <c r="E25" s="45" t="s">
        <v>109</v>
      </c>
      <c r="F25" s="45" t="s">
        <v>108</v>
      </c>
      <c r="M25" s="45" t="s">
        <v>209</v>
      </c>
      <c r="N25" s="45" t="s">
        <v>111</v>
      </c>
      <c r="O25" s="45" t="s">
        <v>132</v>
      </c>
      <c r="P25" s="45" t="s">
        <v>113</v>
      </c>
      <c r="Q25" s="45" t="s">
        <v>143</v>
      </c>
      <c r="R25" s="45" t="s">
        <v>132</v>
      </c>
      <c r="S25" s="45" t="s">
        <v>143</v>
      </c>
      <c r="T25" s="45" t="s">
        <v>143</v>
      </c>
      <c r="U25" s="45" t="s">
        <v>112</v>
      </c>
      <c r="V25" s="45" t="s">
        <v>112</v>
      </c>
      <c r="W25" s="45" t="s">
        <v>112</v>
      </c>
      <c r="X25" s="45" t="s">
        <v>112</v>
      </c>
      <c r="Y25" s="45" t="s">
        <v>132</v>
      </c>
      <c r="Z25" s="45" t="s">
        <v>143</v>
      </c>
      <c r="AA25" s="45" t="s">
        <v>143</v>
      </c>
      <c r="AB25" s="45" t="s">
        <v>132</v>
      </c>
      <c r="AC25" s="45" t="s">
        <v>132</v>
      </c>
      <c r="AD25" s="45" t="s">
        <v>143</v>
      </c>
      <c r="AE25" s="45" t="s">
        <v>113</v>
      </c>
      <c r="AF25" s="45" t="s">
        <v>113</v>
      </c>
      <c r="AG25" s="45" t="s">
        <v>113</v>
      </c>
      <c r="AH25" s="45" t="s">
        <v>143</v>
      </c>
      <c r="AI25" s="45">
        <v>5</v>
      </c>
      <c r="AJ25" s="45" t="s">
        <v>150</v>
      </c>
      <c r="AK25" s="45" t="s">
        <v>162</v>
      </c>
      <c r="AL25" s="45">
        <v>3</v>
      </c>
      <c r="AM25" s="45">
        <v>7</v>
      </c>
      <c r="AN25" s="45">
        <v>7</v>
      </c>
      <c r="AO25" s="45">
        <v>7</v>
      </c>
      <c r="AP25" s="45">
        <v>7</v>
      </c>
      <c r="AQ25" s="45" t="s">
        <v>116</v>
      </c>
      <c r="AR25" s="45" t="s">
        <v>116</v>
      </c>
      <c r="AS25" s="45" t="s">
        <v>116</v>
      </c>
      <c r="AT25" s="45" t="s">
        <v>116</v>
      </c>
      <c r="AU25" s="45">
        <v>7</v>
      </c>
      <c r="AV25" s="45">
        <v>7</v>
      </c>
      <c r="AW25" s="45" t="s">
        <v>210</v>
      </c>
      <c r="AX25" s="45">
        <v>5</v>
      </c>
      <c r="AY25" s="45">
        <v>7</v>
      </c>
      <c r="AZ25" s="45" t="s">
        <v>119</v>
      </c>
      <c r="BA25" s="45">
        <v>7</v>
      </c>
      <c r="BB25" s="45">
        <v>4</v>
      </c>
      <c r="BC25" s="45">
        <v>2</v>
      </c>
      <c r="BD25" s="45">
        <v>2</v>
      </c>
      <c r="BE25" s="45" t="s">
        <v>159</v>
      </c>
      <c r="BF25" s="45">
        <v>1</v>
      </c>
      <c r="BG25" s="45" t="s">
        <v>121</v>
      </c>
      <c r="BH25" s="45">
        <v>1</v>
      </c>
      <c r="BI25" s="45" t="s">
        <v>122</v>
      </c>
      <c r="BJ25" s="45" t="s">
        <v>123</v>
      </c>
      <c r="BK25" s="45" t="s">
        <v>140</v>
      </c>
      <c r="BL25" s="45" t="s">
        <v>125</v>
      </c>
      <c r="BM25" s="45" t="s">
        <v>126</v>
      </c>
      <c r="BN25" s="45" t="s">
        <v>187</v>
      </c>
    </row>
    <row r="26" spans="1:67" x14ac:dyDescent="0.25">
      <c r="A26" s="47">
        <v>46049.809747141197</v>
      </c>
      <c r="B26" s="45" t="s">
        <v>211</v>
      </c>
      <c r="C26" s="45" t="s">
        <v>107</v>
      </c>
      <c r="F26" s="45" t="s">
        <v>108</v>
      </c>
      <c r="M26" s="45" t="s">
        <v>212</v>
      </c>
      <c r="N26" s="45" t="s">
        <v>111</v>
      </c>
      <c r="O26" s="45" t="s">
        <v>133</v>
      </c>
      <c r="P26" s="45" t="s">
        <v>133</v>
      </c>
      <c r="Q26" s="45" t="s">
        <v>133</v>
      </c>
      <c r="R26" s="45" t="s">
        <v>113</v>
      </c>
      <c r="S26" s="45" t="s">
        <v>113</v>
      </c>
      <c r="T26" s="45" t="s">
        <v>133</v>
      </c>
      <c r="U26" s="45" t="s">
        <v>113</v>
      </c>
      <c r="V26" s="45" t="s">
        <v>133</v>
      </c>
      <c r="W26" s="45" t="s">
        <v>113</v>
      </c>
      <c r="X26" s="45" t="s">
        <v>113</v>
      </c>
      <c r="Y26" s="45" t="s">
        <v>113</v>
      </c>
      <c r="Z26" s="45" t="s">
        <v>113</v>
      </c>
      <c r="AA26" s="45" t="s">
        <v>113</v>
      </c>
      <c r="AB26" s="45" t="s">
        <v>113</v>
      </c>
      <c r="AC26" s="45" t="s">
        <v>113</v>
      </c>
      <c r="AD26" s="45" t="s">
        <v>113</v>
      </c>
      <c r="AE26" s="45" t="s">
        <v>113</v>
      </c>
      <c r="AF26" s="45" t="s">
        <v>113</v>
      </c>
      <c r="AG26" s="45" t="s">
        <v>113</v>
      </c>
      <c r="AH26" s="45" t="s">
        <v>113</v>
      </c>
      <c r="AI26" s="45">
        <v>5</v>
      </c>
      <c r="AJ26" s="45" t="s">
        <v>114</v>
      </c>
      <c r="AK26" s="45" t="s">
        <v>115</v>
      </c>
      <c r="AL26" s="45">
        <v>5</v>
      </c>
      <c r="AM26" s="45">
        <v>6</v>
      </c>
      <c r="AN26" s="45">
        <v>6</v>
      </c>
      <c r="AO26" s="45">
        <v>5</v>
      </c>
      <c r="AP26" s="45">
        <v>5</v>
      </c>
      <c r="AQ26" s="45" t="s">
        <v>151</v>
      </c>
      <c r="AR26" s="45" t="s">
        <v>151</v>
      </c>
      <c r="AS26" s="45" t="s">
        <v>151</v>
      </c>
      <c r="AT26" s="45" t="s">
        <v>151</v>
      </c>
      <c r="AU26" s="45">
        <v>4</v>
      </c>
      <c r="AV26" s="45">
        <v>6</v>
      </c>
      <c r="AW26" s="45" t="s">
        <v>210</v>
      </c>
      <c r="AX26" s="45">
        <v>4</v>
      </c>
      <c r="AY26" s="45">
        <v>4</v>
      </c>
      <c r="AZ26" s="45" t="s">
        <v>146</v>
      </c>
      <c r="BA26" s="45">
        <v>4</v>
      </c>
      <c r="BB26" s="45">
        <v>5</v>
      </c>
      <c r="BC26" s="45">
        <v>5</v>
      </c>
      <c r="BD26" s="45">
        <v>3</v>
      </c>
      <c r="BE26" s="45" t="s">
        <v>137</v>
      </c>
      <c r="BF26" s="45">
        <v>5</v>
      </c>
      <c r="BG26" s="45" t="s">
        <v>121</v>
      </c>
      <c r="BH26" s="45">
        <v>5</v>
      </c>
      <c r="BI26" s="45" t="s">
        <v>122</v>
      </c>
      <c r="BJ26" s="45" t="s">
        <v>139</v>
      </c>
      <c r="BK26" s="45" t="s">
        <v>124</v>
      </c>
      <c r="BL26" s="45" t="s">
        <v>192</v>
      </c>
      <c r="BM26" s="45" t="s">
        <v>126</v>
      </c>
      <c r="BN26" s="45" t="s">
        <v>127</v>
      </c>
    </row>
    <row r="27" spans="1:67" x14ac:dyDescent="0.25">
      <c r="A27" s="47">
        <v>46050.549960081022</v>
      </c>
      <c r="B27" s="45" t="s">
        <v>147</v>
      </c>
      <c r="C27" s="45" t="s">
        <v>130</v>
      </c>
      <c r="K27" s="45" t="s">
        <v>109</v>
      </c>
      <c r="M27" s="45" t="s">
        <v>213</v>
      </c>
      <c r="N27" s="45" t="s">
        <v>161</v>
      </c>
      <c r="O27" s="45" t="s">
        <v>132</v>
      </c>
      <c r="P27" s="45" t="s">
        <v>132</v>
      </c>
      <c r="Q27" s="45" t="s">
        <v>132</v>
      </c>
      <c r="R27" s="45" t="s">
        <v>132</v>
      </c>
      <c r="S27" s="45" t="s">
        <v>132</v>
      </c>
      <c r="T27" s="45" t="s">
        <v>112</v>
      </c>
      <c r="U27" s="45" t="s">
        <v>112</v>
      </c>
      <c r="V27" s="45" t="s">
        <v>112</v>
      </c>
      <c r="W27" s="45" t="s">
        <v>112</v>
      </c>
      <c r="X27" s="45" t="s">
        <v>143</v>
      </c>
      <c r="Y27" s="45" t="s">
        <v>132</v>
      </c>
      <c r="Z27" s="45" t="s">
        <v>132</v>
      </c>
      <c r="AA27" s="45" t="s">
        <v>132</v>
      </c>
      <c r="AB27" s="45" t="s">
        <v>132</v>
      </c>
      <c r="AC27" s="45" t="s">
        <v>132</v>
      </c>
      <c r="AD27" s="45" t="s">
        <v>112</v>
      </c>
      <c r="AE27" s="45" t="s">
        <v>112</v>
      </c>
      <c r="AF27" s="45" t="s">
        <v>112</v>
      </c>
      <c r="AG27" s="45" t="s">
        <v>112</v>
      </c>
      <c r="AH27" s="45" t="s">
        <v>132</v>
      </c>
      <c r="AI27" s="45">
        <v>6</v>
      </c>
      <c r="AJ27" s="45" t="s">
        <v>114</v>
      </c>
      <c r="AK27" s="45" t="s">
        <v>134</v>
      </c>
      <c r="AL27" s="45">
        <v>2</v>
      </c>
      <c r="AM27" s="45">
        <v>2</v>
      </c>
      <c r="AN27" s="45">
        <v>3</v>
      </c>
      <c r="AO27" s="45">
        <v>3</v>
      </c>
      <c r="AP27" s="45">
        <v>6</v>
      </c>
      <c r="AQ27" s="45" t="s">
        <v>151</v>
      </c>
      <c r="AR27" s="45" t="s">
        <v>214</v>
      </c>
      <c r="AS27" s="45" t="s">
        <v>151</v>
      </c>
      <c r="AT27" s="45" t="s">
        <v>117</v>
      </c>
      <c r="AU27" s="45">
        <v>4</v>
      </c>
      <c r="AV27" s="45">
        <v>7</v>
      </c>
      <c r="AW27" s="45" t="s">
        <v>210</v>
      </c>
      <c r="AX27" s="45">
        <v>6</v>
      </c>
      <c r="AY27" s="45">
        <v>5</v>
      </c>
      <c r="AZ27" s="45" t="s">
        <v>119</v>
      </c>
      <c r="BA27" s="45">
        <v>6</v>
      </c>
      <c r="BB27" s="45">
        <v>7</v>
      </c>
      <c r="BC27" s="45">
        <v>7</v>
      </c>
      <c r="BD27" s="45">
        <v>6</v>
      </c>
      <c r="BE27" s="45" t="s">
        <v>137</v>
      </c>
      <c r="BF27" s="45">
        <v>4</v>
      </c>
      <c r="BG27" s="45" t="s">
        <v>121</v>
      </c>
      <c r="BH27" s="45">
        <v>7</v>
      </c>
      <c r="BI27" s="45" t="s">
        <v>138</v>
      </c>
      <c r="BJ27" s="45" t="s">
        <v>123</v>
      </c>
      <c r="BK27" s="45" t="s">
        <v>140</v>
      </c>
      <c r="BL27" s="45" t="s">
        <v>141</v>
      </c>
      <c r="BM27" s="45" t="s">
        <v>126</v>
      </c>
      <c r="BN27" s="45" t="s">
        <v>127</v>
      </c>
    </row>
    <row r="28" spans="1:67" x14ac:dyDescent="0.25">
      <c r="A28" s="47">
        <v>46050.557561793983</v>
      </c>
      <c r="B28" s="45" t="s">
        <v>129</v>
      </c>
      <c r="C28" s="45" t="s">
        <v>130</v>
      </c>
      <c r="E28" s="45" t="s">
        <v>109</v>
      </c>
      <c r="F28" s="45" t="s">
        <v>108</v>
      </c>
      <c r="M28" s="45" t="s">
        <v>215</v>
      </c>
      <c r="N28" s="45" t="s">
        <v>111</v>
      </c>
      <c r="O28" s="45" t="s">
        <v>133</v>
      </c>
      <c r="P28" s="45" t="s">
        <v>133</v>
      </c>
      <c r="Q28" s="45" t="s">
        <v>133</v>
      </c>
      <c r="R28" s="45" t="s">
        <v>133</v>
      </c>
      <c r="S28" s="45" t="s">
        <v>133</v>
      </c>
      <c r="T28" s="45" t="s">
        <v>133</v>
      </c>
      <c r="U28" s="45" t="s">
        <v>133</v>
      </c>
      <c r="V28" s="45" t="s">
        <v>133</v>
      </c>
      <c r="W28" s="45" t="s">
        <v>133</v>
      </c>
      <c r="X28" s="45" t="s">
        <v>133</v>
      </c>
      <c r="Y28" s="45" t="s">
        <v>133</v>
      </c>
      <c r="Z28" s="45" t="s">
        <v>143</v>
      </c>
      <c r="AA28" s="45" t="s">
        <v>143</v>
      </c>
      <c r="AB28" s="45" t="s">
        <v>143</v>
      </c>
      <c r="AC28" s="45" t="s">
        <v>143</v>
      </c>
      <c r="AD28" s="45" t="s">
        <v>133</v>
      </c>
      <c r="AE28" s="45" t="s">
        <v>133</v>
      </c>
      <c r="AF28" s="45" t="s">
        <v>133</v>
      </c>
      <c r="AG28" s="45" t="s">
        <v>143</v>
      </c>
      <c r="AH28" s="45" t="s">
        <v>133</v>
      </c>
      <c r="AI28" s="45">
        <v>6</v>
      </c>
      <c r="AJ28" s="45" t="s">
        <v>114</v>
      </c>
      <c r="AK28" s="45" t="s">
        <v>134</v>
      </c>
      <c r="AL28" s="45">
        <v>3</v>
      </c>
      <c r="AM28" s="45">
        <v>5</v>
      </c>
      <c r="AN28" s="45">
        <v>6</v>
      </c>
      <c r="AO28" s="45">
        <v>6</v>
      </c>
      <c r="AP28" s="45">
        <v>4</v>
      </c>
      <c r="AQ28" s="45" t="s">
        <v>117</v>
      </c>
      <c r="AR28" s="45" t="s">
        <v>117</v>
      </c>
      <c r="AS28" s="45" t="s">
        <v>151</v>
      </c>
      <c r="AT28" s="45" t="s">
        <v>117</v>
      </c>
      <c r="AU28" s="45">
        <v>6</v>
      </c>
      <c r="AV28" s="45">
        <v>6</v>
      </c>
      <c r="AW28" s="45" t="s">
        <v>210</v>
      </c>
      <c r="AX28" s="45">
        <v>6</v>
      </c>
      <c r="AY28" s="45">
        <v>3</v>
      </c>
      <c r="AZ28" s="45" t="s">
        <v>119</v>
      </c>
      <c r="BA28" s="45">
        <v>6</v>
      </c>
      <c r="BB28" s="45">
        <v>3</v>
      </c>
      <c r="BC28" s="45">
        <v>5</v>
      </c>
      <c r="BD28" s="45">
        <v>2</v>
      </c>
      <c r="BE28" s="45" t="s">
        <v>159</v>
      </c>
      <c r="BF28" s="45">
        <v>2</v>
      </c>
      <c r="BG28" s="45" t="s">
        <v>121</v>
      </c>
      <c r="BH28" s="45">
        <v>5</v>
      </c>
      <c r="BI28" s="45" t="s">
        <v>138</v>
      </c>
      <c r="BJ28" s="45" t="s">
        <v>123</v>
      </c>
      <c r="BK28" s="45" t="s">
        <v>140</v>
      </c>
      <c r="BL28" s="45" t="s">
        <v>141</v>
      </c>
      <c r="BM28" s="45" t="s">
        <v>152</v>
      </c>
      <c r="BN28" s="45" t="s">
        <v>127</v>
      </c>
      <c r="BO28" s="45" t="s">
        <v>216</v>
      </c>
    </row>
    <row r="29" spans="1:67" x14ac:dyDescent="0.25">
      <c r="A29" s="47">
        <v>46050.558272754628</v>
      </c>
      <c r="B29" s="45" t="s">
        <v>147</v>
      </c>
      <c r="C29" s="45" t="s">
        <v>130</v>
      </c>
      <c r="E29" s="45" t="s">
        <v>109</v>
      </c>
      <c r="M29" s="45" t="s">
        <v>217</v>
      </c>
      <c r="N29" s="45" t="s">
        <v>111</v>
      </c>
      <c r="O29" s="45" t="s">
        <v>143</v>
      </c>
      <c r="P29" s="45" t="s">
        <v>143</v>
      </c>
      <c r="Q29" s="45" t="s">
        <v>143</v>
      </c>
      <c r="R29" s="45" t="s">
        <v>133</v>
      </c>
      <c r="S29" s="45" t="s">
        <v>132</v>
      </c>
      <c r="T29" s="45" t="s">
        <v>133</v>
      </c>
      <c r="U29" s="45" t="s">
        <v>113</v>
      </c>
      <c r="V29" s="45" t="s">
        <v>113</v>
      </c>
      <c r="W29" s="45" t="s">
        <v>133</v>
      </c>
      <c r="X29" s="45" t="s">
        <v>132</v>
      </c>
      <c r="Y29" s="45" t="s">
        <v>143</v>
      </c>
      <c r="Z29" s="45" t="s">
        <v>143</v>
      </c>
      <c r="AA29" s="45" t="s">
        <v>143</v>
      </c>
      <c r="AB29" s="45" t="s">
        <v>133</v>
      </c>
      <c r="AC29" s="45" t="s">
        <v>132</v>
      </c>
      <c r="AD29" s="45" t="s">
        <v>133</v>
      </c>
      <c r="AE29" s="45" t="s">
        <v>113</v>
      </c>
      <c r="AF29" s="45" t="s">
        <v>113</v>
      </c>
      <c r="AG29" s="45" t="s">
        <v>133</v>
      </c>
      <c r="AH29" s="45" t="s">
        <v>132</v>
      </c>
      <c r="AI29" s="45">
        <v>5</v>
      </c>
      <c r="AJ29" s="45" t="s">
        <v>150</v>
      </c>
      <c r="AK29" s="45" t="s">
        <v>174</v>
      </c>
      <c r="AL29" s="45">
        <v>4</v>
      </c>
      <c r="AM29" s="45">
        <v>7</v>
      </c>
      <c r="AN29" s="45">
        <v>7</v>
      </c>
      <c r="AO29" s="45">
        <v>2</v>
      </c>
      <c r="AP29" s="45">
        <v>7</v>
      </c>
      <c r="AQ29" s="45" t="s">
        <v>116</v>
      </c>
      <c r="AR29" s="45" t="s">
        <v>214</v>
      </c>
      <c r="AS29" s="45" t="s">
        <v>214</v>
      </c>
      <c r="AT29" s="45" t="s">
        <v>117</v>
      </c>
      <c r="AU29" s="45">
        <v>2</v>
      </c>
      <c r="AV29" s="45">
        <v>4</v>
      </c>
      <c r="AW29" s="45" t="s">
        <v>145</v>
      </c>
      <c r="AX29" s="45">
        <v>6</v>
      </c>
      <c r="AY29" s="45">
        <v>6</v>
      </c>
      <c r="AZ29" s="45" t="s">
        <v>136</v>
      </c>
      <c r="BA29" s="45">
        <v>5</v>
      </c>
      <c r="BB29" s="45">
        <v>5</v>
      </c>
      <c r="BC29" s="45">
        <v>5</v>
      </c>
      <c r="BD29" s="45">
        <v>5</v>
      </c>
      <c r="BE29" s="45" t="s">
        <v>137</v>
      </c>
      <c r="BF29" s="45">
        <v>2</v>
      </c>
      <c r="BG29" s="45" t="s">
        <v>121</v>
      </c>
      <c r="BH29" s="45">
        <v>5</v>
      </c>
      <c r="BI29" s="45" t="s">
        <v>138</v>
      </c>
      <c r="BJ29" s="45" t="s">
        <v>139</v>
      </c>
      <c r="BK29" s="45" t="s">
        <v>124</v>
      </c>
      <c r="BL29" s="45" t="s">
        <v>192</v>
      </c>
      <c r="BM29" s="45" t="s">
        <v>152</v>
      </c>
      <c r="BN29" s="45" t="s">
        <v>127</v>
      </c>
      <c r="BO29" s="45" t="s">
        <v>218</v>
      </c>
    </row>
    <row r="30" spans="1:67" x14ac:dyDescent="0.25">
      <c r="A30" s="47">
        <v>46051.570085196763</v>
      </c>
      <c r="B30" s="45" t="s">
        <v>129</v>
      </c>
      <c r="C30" s="45" t="s">
        <v>130</v>
      </c>
      <c r="E30" s="45" t="s">
        <v>109</v>
      </c>
      <c r="K30" s="45" t="s">
        <v>109</v>
      </c>
      <c r="L30" s="45" t="s">
        <v>109</v>
      </c>
      <c r="M30" s="45" t="s">
        <v>219</v>
      </c>
      <c r="N30" s="45" t="s">
        <v>161</v>
      </c>
      <c r="O30" s="45" t="s">
        <v>132</v>
      </c>
      <c r="P30" s="45" t="s">
        <v>143</v>
      </c>
      <c r="Q30" s="45" t="s">
        <v>133</v>
      </c>
      <c r="R30" s="45" t="s">
        <v>143</v>
      </c>
      <c r="S30" s="45" t="s">
        <v>132</v>
      </c>
      <c r="T30" s="45" t="s">
        <v>133</v>
      </c>
      <c r="U30" s="45" t="s">
        <v>112</v>
      </c>
      <c r="V30" s="45" t="s">
        <v>113</v>
      </c>
      <c r="W30" s="45" t="s">
        <v>143</v>
      </c>
      <c r="X30" s="45" t="s">
        <v>143</v>
      </c>
      <c r="Y30" s="45" t="s">
        <v>143</v>
      </c>
      <c r="Z30" s="45" t="s">
        <v>132</v>
      </c>
      <c r="AA30" s="45" t="s">
        <v>132</v>
      </c>
      <c r="AB30" s="45" t="s">
        <v>133</v>
      </c>
      <c r="AC30" s="45" t="s">
        <v>132</v>
      </c>
      <c r="AD30" s="45" t="s">
        <v>143</v>
      </c>
      <c r="AE30" s="45" t="s">
        <v>112</v>
      </c>
      <c r="AF30" s="45" t="s">
        <v>112</v>
      </c>
      <c r="AG30" s="45" t="s">
        <v>143</v>
      </c>
      <c r="AH30" s="45" t="s">
        <v>143</v>
      </c>
      <c r="AI30" s="45">
        <v>5</v>
      </c>
      <c r="AJ30" s="45" t="s">
        <v>220</v>
      </c>
      <c r="AK30" s="45" t="s">
        <v>115</v>
      </c>
      <c r="AL30" s="45">
        <v>6</v>
      </c>
      <c r="AM30" s="45">
        <v>6</v>
      </c>
      <c r="AN30" s="45">
        <v>3</v>
      </c>
      <c r="AO30" s="45">
        <v>3</v>
      </c>
      <c r="AP30" s="45">
        <v>6</v>
      </c>
      <c r="AQ30" s="45" t="s">
        <v>116</v>
      </c>
      <c r="AR30" s="45" t="s">
        <v>117</v>
      </c>
      <c r="AS30" s="45" t="s">
        <v>151</v>
      </c>
      <c r="AT30" s="45" t="s">
        <v>151</v>
      </c>
      <c r="AU30" s="45">
        <v>5</v>
      </c>
      <c r="AV30" s="45">
        <v>6</v>
      </c>
      <c r="AW30" s="45" t="s">
        <v>168</v>
      </c>
      <c r="AX30" s="45">
        <v>5</v>
      </c>
      <c r="AY30" s="45">
        <v>5</v>
      </c>
      <c r="AZ30" s="45" t="s">
        <v>119</v>
      </c>
      <c r="BA30" s="45">
        <v>6</v>
      </c>
      <c r="BB30" s="45">
        <v>6</v>
      </c>
      <c r="BC30" s="45">
        <v>6</v>
      </c>
      <c r="BD30" s="45">
        <v>3</v>
      </c>
      <c r="BE30" s="45" t="s">
        <v>137</v>
      </c>
      <c r="BF30" s="45">
        <v>5</v>
      </c>
      <c r="BG30" s="45" t="s">
        <v>121</v>
      </c>
      <c r="BH30" s="45">
        <v>5</v>
      </c>
      <c r="BI30" s="45" t="s">
        <v>221</v>
      </c>
      <c r="BJ30" s="45" t="s">
        <v>139</v>
      </c>
      <c r="BK30" s="45" t="s">
        <v>176</v>
      </c>
      <c r="BL30" s="45" t="s">
        <v>177</v>
      </c>
      <c r="BM30" s="45" t="s">
        <v>126</v>
      </c>
      <c r="BN30" s="45" t="s">
        <v>127</v>
      </c>
    </row>
    <row r="31" spans="1:67" x14ac:dyDescent="0.25">
      <c r="A31" s="47">
        <v>46052.590278564807</v>
      </c>
      <c r="B31" s="45" t="s">
        <v>211</v>
      </c>
      <c r="C31" s="45" t="s">
        <v>148</v>
      </c>
      <c r="E31" s="45" t="s">
        <v>109</v>
      </c>
      <c r="M31" s="45" t="s">
        <v>222</v>
      </c>
      <c r="N31" s="45" t="s">
        <v>111</v>
      </c>
      <c r="O31" s="45" t="s">
        <v>143</v>
      </c>
      <c r="P31" s="45" t="s">
        <v>143</v>
      </c>
      <c r="Q31" s="45" t="s">
        <v>143</v>
      </c>
      <c r="R31" s="45" t="s">
        <v>143</v>
      </c>
      <c r="S31" s="45" t="s">
        <v>143</v>
      </c>
      <c r="T31" s="45" t="s">
        <v>143</v>
      </c>
      <c r="U31" s="45" t="s">
        <v>143</v>
      </c>
      <c r="V31" s="45" t="s">
        <v>143</v>
      </c>
      <c r="W31" s="45" t="s">
        <v>143</v>
      </c>
      <c r="X31" s="45" t="s">
        <v>143</v>
      </c>
      <c r="Y31" s="45" t="s">
        <v>143</v>
      </c>
      <c r="Z31" s="45" t="s">
        <v>143</v>
      </c>
      <c r="AA31" s="45" t="s">
        <v>143</v>
      </c>
      <c r="AB31" s="45" t="s">
        <v>143</v>
      </c>
      <c r="AC31" s="45" t="s">
        <v>143</v>
      </c>
      <c r="AD31" s="45" t="s">
        <v>143</v>
      </c>
      <c r="AE31" s="45" t="s">
        <v>143</v>
      </c>
      <c r="AF31" s="45" t="s">
        <v>143</v>
      </c>
      <c r="AG31" s="45" t="s">
        <v>133</v>
      </c>
      <c r="AH31" s="45" t="s">
        <v>133</v>
      </c>
      <c r="AI31" s="45">
        <v>6</v>
      </c>
      <c r="AJ31" s="45" t="s">
        <v>150</v>
      </c>
      <c r="AK31" s="45" t="s">
        <v>134</v>
      </c>
      <c r="AL31" s="45">
        <v>4</v>
      </c>
      <c r="AM31" s="45">
        <v>4</v>
      </c>
      <c r="AN31" s="45">
        <v>5</v>
      </c>
      <c r="AO31" s="45">
        <v>4</v>
      </c>
      <c r="AP31" s="45">
        <v>5</v>
      </c>
      <c r="AQ31" s="45" t="s">
        <v>151</v>
      </c>
      <c r="AR31" s="45" t="s">
        <v>151</v>
      </c>
      <c r="AS31" s="45" t="s">
        <v>151</v>
      </c>
      <c r="AT31" s="45" t="s">
        <v>117</v>
      </c>
      <c r="AU31" s="45">
        <v>5</v>
      </c>
      <c r="AV31" s="45">
        <v>5</v>
      </c>
      <c r="AW31" s="45" t="s">
        <v>145</v>
      </c>
      <c r="AX31" s="45">
        <v>5</v>
      </c>
      <c r="AY31" s="45">
        <v>4</v>
      </c>
      <c r="AZ31" s="45" t="s">
        <v>146</v>
      </c>
      <c r="BA31" s="45">
        <v>5</v>
      </c>
      <c r="BB31" s="45">
        <v>5</v>
      </c>
      <c r="BC31" s="45">
        <v>4</v>
      </c>
      <c r="BD31" s="45">
        <v>5</v>
      </c>
      <c r="BE31" s="45" t="s">
        <v>137</v>
      </c>
      <c r="BF31" s="45">
        <v>5</v>
      </c>
      <c r="BG31" s="45" t="s">
        <v>121</v>
      </c>
      <c r="BH31" s="45">
        <v>5</v>
      </c>
      <c r="BI31" s="45" t="s">
        <v>138</v>
      </c>
      <c r="BJ31" s="45" t="s">
        <v>139</v>
      </c>
      <c r="BK31" s="45" t="s">
        <v>140</v>
      </c>
      <c r="BL31" s="45" t="s">
        <v>141</v>
      </c>
      <c r="BM31" s="45" t="s">
        <v>126</v>
      </c>
      <c r="BN31" s="45" t="s">
        <v>187</v>
      </c>
    </row>
    <row r="32" spans="1:67" x14ac:dyDescent="0.25">
      <c r="A32" s="47">
        <v>46052.590602118064</v>
      </c>
      <c r="B32" s="45" t="s">
        <v>211</v>
      </c>
      <c r="C32" s="45" t="s">
        <v>130</v>
      </c>
      <c r="D32" s="45" t="s">
        <v>109</v>
      </c>
      <c r="E32" s="45" t="s">
        <v>109</v>
      </c>
      <c r="K32" s="45" t="s">
        <v>109</v>
      </c>
      <c r="M32" s="45" t="s">
        <v>223</v>
      </c>
      <c r="N32" s="45" t="s">
        <v>111</v>
      </c>
      <c r="O32" s="45" t="s">
        <v>133</v>
      </c>
      <c r="P32" s="45" t="s">
        <v>143</v>
      </c>
      <c r="Q32" s="45" t="s">
        <v>143</v>
      </c>
      <c r="R32" s="45" t="s">
        <v>143</v>
      </c>
      <c r="S32" s="45" t="s">
        <v>143</v>
      </c>
      <c r="T32" s="45" t="s">
        <v>113</v>
      </c>
      <c r="U32" s="45" t="s">
        <v>113</v>
      </c>
      <c r="V32" s="45" t="s">
        <v>113</v>
      </c>
      <c r="W32" s="45" t="s">
        <v>113</v>
      </c>
      <c r="X32" s="45" t="s">
        <v>133</v>
      </c>
      <c r="Y32" s="45" t="s">
        <v>133</v>
      </c>
      <c r="Z32" s="45" t="s">
        <v>133</v>
      </c>
      <c r="AA32" s="45" t="s">
        <v>133</v>
      </c>
      <c r="AB32" s="45" t="s">
        <v>133</v>
      </c>
      <c r="AC32" s="45" t="s">
        <v>133</v>
      </c>
      <c r="AD32" s="45" t="s">
        <v>112</v>
      </c>
      <c r="AE32" s="45" t="s">
        <v>112</v>
      </c>
      <c r="AF32" s="45" t="s">
        <v>112</v>
      </c>
      <c r="AG32" s="45" t="s">
        <v>112</v>
      </c>
      <c r="AH32" s="45" t="s">
        <v>112</v>
      </c>
      <c r="AI32" s="45">
        <v>5</v>
      </c>
      <c r="AJ32" s="45" t="s">
        <v>220</v>
      </c>
      <c r="AK32" s="45" t="s">
        <v>115</v>
      </c>
      <c r="AL32" s="45">
        <v>7</v>
      </c>
      <c r="AM32" s="45">
        <v>7</v>
      </c>
      <c r="AN32" s="45">
        <v>7</v>
      </c>
      <c r="AO32" s="45">
        <v>5</v>
      </c>
      <c r="AP32" s="45">
        <v>7</v>
      </c>
      <c r="AQ32" s="45" t="s">
        <v>116</v>
      </c>
      <c r="AR32" s="45" t="s">
        <v>116</v>
      </c>
      <c r="AS32" s="45" t="s">
        <v>151</v>
      </c>
      <c r="AT32" s="45" t="s">
        <v>151</v>
      </c>
      <c r="AU32" s="45">
        <v>5</v>
      </c>
      <c r="AV32" s="45">
        <v>5</v>
      </c>
      <c r="AW32" s="45" t="s">
        <v>135</v>
      </c>
      <c r="AX32" s="45">
        <v>6</v>
      </c>
      <c r="AY32" s="45">
        <v>5</v>
      </c>
      <c r="AZ32" s="45" t="s">
        <v>136</v>
      </c>
      <c r="BA32" s="45">
        <v>7</v>
      </c>
      <c r="BB32" s="45">
        <v>4</v>
      </c>
      <c r="BC32" s="45">
        <v>3</v>
      </c>
      <c r="BD32" s="45">
        <v>2</v>
      </c>
      <c r="BE32" s="45" t="s">
        <v>159</v>
      </c>
      <c r="BF32" s="45">
        <v>7</v>
      </c>
      <c r="BG32" s="45" t="s">
        <v>121</v>
      </c>
      <c r="BH32" s="45">
        <v>5</v>
      </c>
      <c r="BI32" s="45" t="s">
        <v>138</v>
      </c>
      <c r="BJ32" s="45" t="s">
        <v>139</v>
      </c>
      <c r="BK32" s="45" t="s">
        <v>140</v>
      </c>
      <c r="BL32" s="45" t="s">
        <v>141</v>
      </c>
      <c r="BM32" s="45" t="s">
        <v>224</v>
      </c>
      <c r="BN32" s="45" t="s">
        <v>127</v>
      </c>
    </row>
    <row r="33" spans="1:67" x14ac:dyDescent="0.25">
      <c r="A33" s="47">
        <v>46052.747048715282</v>
      </c>
      <c r="B33" s="45" t="s">
        <v>184</v>
      </c>
      <c r="C33" s="45" t="s">
        <v>130</v>
      </c>
      <c r="E33" s="45" t="s">
        <v>109</v>
      </c>
      <c r="M33" s="45" t="s">
        <v>225</v>
      </c>
      <c r="N33" s="45" t="s">
        <v>161</v>
      </c>
      <c r="O33" s="45" t="s">
        <v>113</v>
      </c>
      <c r="P33" s="45" t="s">
        <v>132</v>
      </c>
      <c r="Q33" s="45" t="s">
        <v>132</v>
      </c>
      <c r="R33" s="45" t="s">
        <v>133</v>
      </c>
      <c r="S33" s="45" t="s">
        <v>132</v>
      </c>
      <c r="T33" s="45" t="s">
        <v>113</v>
      </c>
      <c r="U33" s="45" t="s">
        <v>133</v>
      </c>
      <c r="V33" s="45" t="s">
        <v>133</v>
      </c>
      <c r="W33" s="45" t="s">
        <v>113</v>
      </c>
      <c r="X33" s="45" t="s">
        <v>143</v>
      </c>
      <c r="Y33" s="45" t="s">
        <v>113</v>
      </c>
      <c r="Z33" s="45" t="s">
        <v>143</v>
      </c>
      <c r="AA33" s="45" t="s">
        <v>132</v>
      </c>
      <c r="AB33" s="45" t="s">
        <v>133</v>
      </c>
      <c r="AC33" s="45" t="s">
        <v>132</v>
      </c>
      <c r="AD33" s="45" t="s">
        <v>133</v>
      </c>
      <c r="AE33" s="45" t="s">
        <v>133</v>
      </c>
      <c r="AF33" s="45" t="s">
        <v>113</v>
      </c>
      <c r="AG33" s="45" t="s">
        <v>113</v>
      </c>
      <c r="AH33" s="45" t="s">
        <v>133</v>
      </c>
      <c r="AI33" s="45">
        <v>5</v>
      </c>
      <c r="AJ33" s="45" t="s">
        <v>114</v>
      </c>
      <c r="AK33" s="45" t="s">
        <v>115</v>
      </c>
      <c r="AL33" s="45">
        <v>5</v>
      </c>
      <c r="AM33" s="45">
        <v>5</v>
      </c>
      <c r="AN33" s="45">
        <v>4</v>
      </c>
      <c r="AO33" s="45">
        <v>4</v>
      </c>
      <c r="AP33" s="45">
        <v>6</v>
      </c>
      <c r="AQ33" s="45" t="s">
        <v>117</v>
      </c>
      <c r="AR33" s="45" t="s">
        <v>116</v>
      </c>
      <c r="AS33" s="45" t="s">
        <v>151</v>
      </c>
      <c r="AT33" s="45" t="s">
        <v>117</v>
      </c>
      <c r="AU33" s="45">
        <v>3</v>
      </c>
      <c r="AV33" s="45">
        <v>5</v>
      </c>
      <c r="AW33" s="45" t="s">
        <v>118</v>
      </c>
      <c r="AX33" s="45">
        <v>5</v>
      </c>
      <c r="AY33" s="45">
        <v>5</v>
      </c>
      <c r="AZ33" s="45" t="s">
        <v>119</v>
      </c>
      <c r="BA33" s="45">
        <v>4</v>
      </c>
      <c r="BB33" s="45">
        <v>6</v>
      </c>
      <c r="BC33" s="45">
        <v>4</v>
      </c>
      <c r="BD33" s="45">
        <v>2</v>
      </c>
      <c r="BE33" s="45" t="s">
        <v>159</v>
      </c>
      <c r="BF33" s="45">
        <v>7</v>
      </c>
      <c r="BG33" s="45" t="s">
        <v>121</v>
      </c>
      <c r="BH33" s="45">
        <v>6</v>
      </c>
      <c r="BI33" s="45" t="s">
        <v>138</v>
      </c>
      <c r="BJ33" s="45" t="s">
        <v>139</v>
      </c>
      <c r="BK33" s="45" t="s">
        <v>140</v>
      </c>
      <c r="BL33" s="45" t="s">
        <v>141</v>
      </c>
      <c r="BM33" s="45" t="s">
        <v>126</v>
      </c>
      <c r="BN33" s="45" t="s">
        <v>127</v>
      </c>
    </row>
    <row r="34" spans="1:67" x14ac:dyDescent="0.25">
      <c r="A34" s="47">
        <v>46055.284146412043</v>
      </c>
      <c r="B34" s="45" t="s">
        <v>226</v>
      </c>
      <c r="BI34" s="45" t="s">
        <v>122</v>
      </c>
      <c r="BJ34" s="45" t="s">
        <v>139</v>
      </c>
      <c r="BK34" s="45" t="s">
        <v>140</v>
      </c>
      <c r="BL34" s="45" t="s">
        <v>125</v>
      </c>
      <c r="BM34" s="45" t="s">
        <v>126</v>
      </c>
      <c r="BN34" s="45" t="s">
        <v>127</v>
      </c>
      <c r="BO34" s="45" t="s">
        <v>227</v>
      </c>
    </row>
    <row r="35" spans="1:67" x14ac:dyDescent="0.25">
      <c r="A35" s="47">
        <v>46064.495424143519</v>
      </c>
      <c r="B35" s="45" t="s">
        <v>129</v>
      </c>
      <c r="C35" s="45" t="s">
        <v>130</v>
      </c>
      <c r="E35" s="45" t="s">
        <v>109</v>
      </c>
      <c r="K35" s="45" t="s">
        <v>109</v>
      </c>
      <c r="M35" s="45" t="s">
        <v>228</v>
      </c>
      <c r="N35" s="45" t="s">
        <v>111</v>
      </c>
      <c r="O35" s="45" t="s">
        <v>133</v>
      </c>
      <c r="P35" s="45" t="s">
        <v>143</v>
      </c>
      <c r="Q35" s="45" t="s">
        <v>132</v>
      </c>
      <c r="R35" s="45" t="s">
        <v>143</v>
      </c>
      <c r="S35" s="45" t="s">
        <v>143</v>
      </c>
      <c r="T35" s="45" t="s">
        <v>133</v>
      </c>
      <c r="U35" s="45" t="s">
        <v>133</v>
      </c>
      <c r="V35" s="45" t="s">
        <v>133</v>
      </c>
      <c r="W35" s="45" t="s">
        <v>143</v>
      </c>
      <c r="X35" s="45" t="s">
        <v>133</v>
      </c>
      <c r="Y35" s="45" t="s">
        <v>133</v>
      </c>
      <c r="Z35" s="45" t="s">
        <v>132</v>
      </c>
      <c r="AA35" s="45" t="s">
        <v>132</v>
      </c>
      <c r="AB35" s="45" t="s">
        <v>132</v>
      </c>
      <c r="AC35" s="45" t="s">
        <v>143</v>
      </c>
      <c r="AD35" s="45" t="s">
        <v>143</v>
      </c>
      <c r="AE35" s="45" t="s">
        <v>133</v>
      </c>
      <c r="AF35" s="45" t="s">
        <v>143</v>
      </c>
      <c r="AG35" s="45" t="s">
        <v>143</v>
      </c>
      <c r="AH35" s="45" t="s">
        <v>143</v>
      </c>
      <c r="AI35" s="45">
        <v>5</v>
      </c>
      <c r="AJ35" s="45" t="s">
        <v>150</v>
      </c>
      <c r="AK35" s="45" t="s">
        <v>134</v>
      </c>
      <c r="AL35" s="45">
        <v>5</v>
      </c>
      <c r="AM35" s="45">
        <v>6</v>
      </c>
      <c r="AN35" s="45">
        <v>7</v>
      </c>
      <c r="AO35" s="45">
        <v>6</v>
      </c>
      <c r="AP35" s="45">
        <v>6</v>
      </c>
      <c r="AQ35" s="45" t="s">
        <v>117</v>
      </c>
      <c r="AR35" s="45" t="s">
        <v>117</v>
      </c>
      <c r="AS35" s="45" t="s">
        <v>117</v>
      </c>
      <c r="AT35" s="45" t="s">
        <v>117</v>
      </c>
      <c r="AU35" s="45">
        <v>3</v>
      </c>
      <c r="AV35" s="45">
        <v>6</v>
      </c>
      <c r="AW35" s="45" t="s">
        <v>145</v>
      </c>
      <c r="AX35" s="45">
        <v>4</v>
      </c>
      <c r="AY35" s="45">
        <v>5</v>
      </c>
      <c r="AZ35" s="45" t="s">
        <v>146</v>
      </c>
      <c r="BA35" s="45">
        <v>5</v>
      </c>
      <c r="BB35" s="45">
        <v>5</v>
      </c>
      <c r="BC35" s="45">
        <v>3</v>
      </c>
      <c r="BD35" s="45">
        <v>3</v>
      </c>
      <c r="BE35" s="45" t="s">
        <v>159</v>
      </c>
      <c r="BF35" s="45">
        <v>5</v>
      </c>
      <c r="BG35" s="45" t="s">
        <v>121</v>
      </c>
      <c r="BH35" s="45">
        <v>5</v>
      </c>
      <c r="BI35" s="45" t="s">
        <v>138</v>
      </c>
      <c r="BJ35" s="45" t="s">
        <v>123</v>
      </c>
      <c r="BK35" s="45" t="s">
        <v>229</v>
      </c>
      <c r="BL35" s="45" t="s">
        <v>125</v>
      </c>
      <c r="BM35" s="45" t="s">
        <v>230</v>
      </c>
      <c r="BN35" s="45" t="s">
        <v>127</v>
      </c>
    </row>
    <row r="36" spans="1:67" x14ac:dyDescent="0.25">
      <c r="A36" s="47">
        <v>46064.572157395844</v>
      </c>
      <c r="B36" s="45" t="s">
        <v>147</v>
      </c>
      <c r="C36" s="45" t="s">
        <v>130</v>
      </c>
      <c r="E36" s="45" t="s">
        <v>109</v>
      </c>
      <c r="M36" s="45" t="s">
        <v>231</v>
      </c>
      <c r="N36" s="45" t="s">
        <v>111</v>
      </c>
      <c r="O36" s="45" t="s">
        <v>143</v>
      </c>
      <c r="P36" s="45" t="s">
        <v>132</v>
      </c>
      <c r="Q36" s="45" t="s">
        <v>132</v>
      </c>
      <c r="R36" s="45" t="s">
        <v>143</v>
      </c>
      <c r="S36" s="45" t="s">
        <v>143</v>
      </c>
      <c r="T36" s="45" t="s">
        <v>112</v>
      </c>
      <c r="U36" s="45" t="s">
        <v>112</v>
      </c>
      <c r="V36" s="45" t="s">
        <v>133</v>
      </c>
      <c r="W36" s="45" t="s">
        <v>133</v>
      </c>
      <c r="X36" s="45" t="s">
        <v>143</v>
      </c>
      <c r="Y36" s="45" t="s">
        <v>143</v>
      </c>
      <c r="Z36" s="45" t="s">
        <v>143</v>
      </c>
      <c r="AA36" s="45" t="s">
        <v>143</v>
      </c>
      <c r="AB36" s="45" t="s">
        <v>132</v>
      </c>
      <c r="AC36" s="45" t="s">
        <v>143</v>
      </c>
      <c r="AD36" s="45" t="s">
        <v>112</v>
      </c>
      <c r="AE36" s="45" t="s">
        <v>112</v>
      </c>
      <c r="AF36" s="45" t="s">
        <v>133</v>
      </c>
      <c r="AG36" s="45" t="s">
        <v>143</v>
      </c>
      <c r="AH36" s="45" t="s">
        <v>143</v>
      </c>
      <c r="AI36" s="45">
        <v>7</v>
      </c>
      <c r="AJ36" s="45" t="s">
        <v>150</v>
      </c>
      <c r="AK36" s="45" t="s">
        <v>134</v>
      </c>
      <c r="AL36" s="45">
        <v>4</v>
      </c>
      <c r="AM36" s="45">
        <v>6</v>
      </c>
      <c r="AN36" s="45">
        <v>7</v>
      </c>
      <c r="AO36" s="45">
        <v>5</v>
      </c>
      <c r="AP36" s="45">
        <v>3</v>
      </c>
      <c r="AQ36" s="45" t="s">
        <v>117</v>
      </c>
      <c r="AR36" s="45" t="s">
        <v>116</v>
      </c>
      <c r="AS36" s="45" t="s">
        <v>116</v>
      </c>
      <c r="AT36" s="45" t="s">
        <v>151</v>
      </c>
      <c r="AU36" s="45">
        <v>3</v>
      </c>
      <c r="AV36" s="45">
        <v>7</v>
      </c>
      <c r="AW36" s="45" t="s">
        <v>210</v>
      </c>
      <c r="AX36" s="45">
        <v>6</v>
      </c>
      <c r="AY36" s="45">
        <v>6</v>
      </c>
      <c r="AZ36" s="45" t="s">
        <v>155</v>
      </c>
      <c r="BA36" s="45">
        <v>5</v>
      </c>
      <c r="BB36" s="45">
        <v>6</v>
      </c>
      <c r="BC36" s="45">
        <v>5</v>
      </c>
      <c r="BD36" s="45">
        <v>1</v>
      </c>
      <c r="BE36" s="45" t="s">
        <v>137</v>
      </c>
      <c r="BF36" s="45">
        <v>7</v>
      </c>
      <c r="BG36" s="45" t="s">
        <v>121</v>
      </c>
      <c r="BH36" s="45">
        <v>7</v>
      </c>
      <c r="BI36" s="45" t="s">
        <v>138</v>
      </c>
      <c r="BJ36" s="45" t="s">
        <v>139</v>
      </c>
      <c r="BK36" s="45" t="s">
        <v>140</v>
      </c>
      <c r="BL36" s="45" t="s">
        <v>125</v>
      </c>
      <c r="BM36" s="45" t="s">
        <v>126</v>
      </c>
      <c r="BN36" s="45" t="s">
        <v>127</v>
      </c>
    </row>
    <row r="37" spans="1:67" x14ac:dyDescent="0.25">
      <c r="A37" s="47">
        <v>46064.576453449074</v>
      </c>
      <c r="B37" s="45" t="s">
        <v>184</v>
      </c>
      <c r="C37" s="45" t="s">
        <v>130</v>
      </c>
      <c r="E37" s="45" t="s">
        <v>109</v>
      </c>
      <c r="M37" s="45" t="s">
        <v>232</v>
      </c>
      <c r="N37" s="45" t="s">
        <v>111</v>
      </c>
      <c r="O37" s="45" t="s">
        <v>132</v>
      </c>
      <c r="P37" s="45" t="s">
        <v>132</v>
      </c>
      <c r="Q37" s="45" t="s">
        <v>132</v>
      </c>
      <c r="R37" s="45" t="s">
        <v>143</v>
      </c>
      <c r="S37" s="45" t="s">
        <v>133</v>
      </c>
      <c r="T37" s="45" t="s">
        <v>133</v>
      </c>
      <c r="U37" s="45" t="s">
        <v>113</v>
      </c>
      <c r="V37" s="45" t="s">
        <v>133</v>
      </c>
      <c r="W37" s="45" t="s">
        <v>133</v>
      </c>
      <c r="X37" s="45" t="s">
        <v>133</v>
      </c>
      <c r="Y37" s="45" t="s">
        <v>143</v>
      </c>
      <c r="Z37" s="45" t="s">
        <v>143</v>
      </c>
      <c r="AA37" s="45" t="s">
        <v>132</v>
      </c>
      <c r="AB37" s="45" t="s">
        <v>143</v>
      </c>
      <c r="AC37" s="45" t="s">
        <v>133</v>
      </c>
      <c r="AD37" s="45" t="s">
        <v>133</v>
      </c>
      <c r="AE37" s="45" t="s">
        <v>133</v>
      </c>
      <c r="AF37" s="45" t="s">
        <v>133</v>
      </c>
      <c r="AG37" s="45" t="s">
        <v>133</v>
      </c>
      <c r="AH37" s="45" t="s">
        <v>143</v>
      </c>
      <c r="AI37" s="45">
        <v>6</v>
      </c>
      <c r="AJ37" s="45" t="s">
        <v>114</v>
      </c>
      <c r="AK37" s="45" t="s">
        <v>134</v>
      </c>
      <c r="AL37" s="45">
        <v>5</v>
      </c>
      <c r="AM37" s="45">
        <v>5</v>
      </c>
      <c r="AN37" s="45">
        <v>6</v>
      </c>
      <c r="AO37" s="45">
        <v>5</v>
      </c>
      <c r="AP37" s="45">
        <v>3</v>
      </c>
      <c r="AQ37" s="45" t="s">
        <v>117</v>
      </c>
      <c r="AR37" s="45" t="s">
        <v>116</v>
      </c>
      <c r="AS37" s="45" t="s">
        <v>117</v>
      </c>
      <c r="AT37" s="45" t="s">
        <v>151</v>
      </c>
      <c r="AU37" s="45">
        <v>6</v>
      </c>
      <c r="AV37" s="45">
        <v>6</v>
      </c>
      <c r="AW37" s="45" t="s">
        <v>154</v>
      </c>
      <c r="AX37" s="45">
        <v>3</v>
      </c>
      <c r="AY37" s="45">
        <v>6</v>
      </c>
      <c r="AZ37" s="45" t="s">
        <v>146</v>
      </c>
      <c r="BA37" s="45">
        <v>4</v>
      </c>
      <c r="BB37" s="45">
        <v>6</v>
      </c>
      <c r="BC37" s="45">
        <v>3</v>
      </c>
      <c r="BD37" s="45">
        <v>4</v>
      </c>
      <c r="BE37" s="45" t="s">
        <v>159</v>
      </c>
      <c r="BF37" s="45">
        <v>5</v>
      </c>
      <c r="BG37" s="45" t="s">
        <v>121</v>
      </c>
      <c r="BH37" s="45">
        <v>5</v>
      </c>
      <c r="BI37" s="45" t="s">
        <v>138</v>
      </c>
      <c r="BJ37" s="45" t="s">
        <v>123</v>
      </c>
      <c r="BK37" s="45" t="s">
        <v>140</v>
      </c>
      <c r="BL37" s="45" t="s">
        <v>141</v>
      </c>
      <c r="BM37" s="45" t="s">
        <v>126</v>
      </c>
      <c r="BN37" s="45" t="s">
        <v>127</v>
      </c>
    </row>
    <row r="38" spans="1:67" x14ac:dyDescent="0.25">
      <c r="A38" s="47">
        <v>46064.576707465283</v>
      </c>
      <c r="B38" s="45" t="s">
        <v>165</v>
      </c>
      <c r="C38" s="45" t="s">
        <v>130</v>
      </c>
      <c r="E38" s="45" t="s">
        <v>109</v>
      </c>
      <c r="M38" s="45" t="s">
        <v>233</v>
      </c>
      <c r="N38" s="45" t="s">
        <v>111</v>
      </c>
      <c r="O38" s="45" t="s">
        <v>133</v>
      </c>
      <c r="P38" s="45" t="s">
        <v>132</v>
      </c>
      <c r="Q38" s="45" t="s">
        <v>132</v>
      </c>
      <c r="R38" s="45" t="s">
        <v>133</v>
      </c>
      <c r="S38" s="45" t="s">
        <v>133</v>
      </c>
      <c r="T38" s="45" t="s">
        <v>133</v>
      </c>
      <c r="U38" s="45" t="s">
        <v>133</v>
      </c>
      <c r="V38" s="45" t="s">
        <v>133</v>
      </c>
      <c r="W38" s="45" t="s">
        <v>133</v>
      </c>
      <c r="X38" s="45" t="s">
        <v>133</v>
      </c>
      <c r="Y38" s="45" t="s">
        <v>133</v>
      </c>
      <c r="Z38" s="45" t="s">
        <v>132</v>
      </c>
      <c r="AA38" s="45" t="s">
        <v>143</v>
      </c>
      <c r="AB38" s="45" t="s">
        <v>133</v>
      </c>
      <c r="AC38" s="45" t="s">
        <v>133</v>
      </c>
      <c r="AD38" s="45" t="s">
        <v>133</v>
      </c>
      <c r="AE38" s="45" t="s">
        <v>133</v>
      </c>
      <c r="AF38" s="45" t="s">
        <v>133</v>
      </c>
      <c r="AG38" s="45" t="s">
        <v>133</v>
      </c>
      <c r="AH38" s="45" t="s">
        <v>133</v>
      </c>
      <c r="AI38" s="45">
        <v>7</v>
      </c>
      <c r="AJ38" s="45" t="s">
        <v>150</v>
      </c>
      <c r="AK38" s="45" t="s">
        <v>115</v>
      </c>
      <c r="AL38" s="45">
        <v>3</v>
      </c>
      <c r="AM38" s="45">
        <v>7</v>
      </c>
      <c r="AN38" s="45">
        <v>7</v>
      </c>
      <c r="AO38" s="45">
        <v>7</v>
      </c>
      <c r="AP38" s="45">
        <v>4</v>
      </c>
      <c r="AQ38" s="45" t="s">
        <v>116</v>
      </c>
      <c r="AR38" s="45" t="s">
        <v>116</v>
      </c>
      <c r="AS38" s="45" t="s">
        <v>116</v>
      </c>
      <c r="AT38" s="45" t="s">
        <v>116</v>
      </c>
      <c r="AU38" s="45">
        <v>3</v>
      </c>
      <c r="AV38" s="45">
        <v>3</v>
      </c>
      <c r="AW38" s="45" t="s">
        <v>210</v>
      </c>
      <c r="AX38" s="45">
        <v>1</v>
      </c>
      <c r="AY38" s="45">
        <v>5</v>
      </c>
      <c r="AZ38" s="45" t="s">
        <v>234</v>
      </c>
      <c r="BA38" s="45">
        <v>2</v>
      </c>
      <c r="BB38" s="45">
        <v>4</v>
      </c>
      <c r="BC38" s="45">
        <v>5</v>
      </c>
      <c r="BD38" s="45">
        <v>3</v>
      </c>
      <c r="BE38" s="45" t="s">
        <v>159</v>
      </c>
      <c r="BF38" s="45">
        <v>3</v>
      </c>
      <c r="BG38" s="45" t="s">
        <v>121</v>
      </c>
      <c r="BH38" s="45">
        <v>5</v>
      </c>
      <c r="BI38" s="45" t="s">
        <v>138</v>
      </c>
      <c r="BJ38" s="45" t="s">
        <v>139</v>
      </c>
      <c r="BK38" s="45" t="s">
        <v>140</v>
      </c>
      <c r="BL38" s="45" t="s">
        <v>125</v>
      </c>
      <c r="BM38" s="45" t="s">
        <v>126</v>
      </c>
      <c r="BN38" s="45" t="s">
        <v>127</v>
      </c>
    </row>
    <row r="39" spans="1:67" x14ac:dyDescent="0.25">
      <c r="A39" s="47">
        <v>46064.581466770833</v>
      </c>
      <c r="B39" s="45" t="s">
        <v>147</v>
      </c>
      <c r="C39" s="45" t="s">
        <v>130</v>
      </c>
      <c r="E39" s="45" t="s">
        <v>109</v>
      </c>
      <c r="K39" s="45" t="s">
        <v>109</v>
      </c>
      <c r="M39" s="45" t="s">
        <v>235</v>
      </c>
      <c r="N39" s="45" t="s">
        <v>161</v>
      </c>
      <c r="O39" s="45" t="s">
        <v>132</v>
      </c>
      <c r="P39" s="45" t="s">
        <v>143</v>
      </c>
      <c r="Q39" s="45" t="s">
        <v>132</v>
      </c>
      <c r="R39" s="45" t="s">
        <v>132</v>
      </c>
      <c r="S39" s="45" t="s">
        <v>132</v>
      </c>
      <c r="T39" s="45" t="s">
        <v>133</v>
      </c>
      <c r="U39" s="45" t="s">
        <v>113</v>
      </c>
      <c r="V39" s="45" t="s">
        <v>133</v>
      </c>
      <c r="W39" s="45" t="s">
        <v>133</v>
      </c>
      <c r="X39" s="45" t="s">
        <v>143</v>
      </c>
      <c r="Y39" s="45" t="s">
        <v>132</v>
      </c>
      <c r="Z39" s="45" t="s">
        <v>132</v>
      </c>
      <c r="AA39" s="45" t="s">
        <v>132</v>
      </c>
      <c r="AB39" s="45" t="s">
        <v>132</v>
      </c>
      <c r="AC39" s="45" t="s">
        <v>132</v>
      </c>
      <c r="AD39" s="45" t="s">
        <v>143</v>
      </c>
      <c r="AE39" s="45" t="s">
        <v>133</v>
      </c>
      <c r="AF39" s="45" t="s">
        <v>133</v>
      </c>
      <c r="AG39" s="45" t="s">
        <v>133</v>
      </c>
      <c r="AH39" s="45" t="s">
        <v>143</v>
      </c>
      <c r="AI39" s="45">
        <v>6</v>
      </c>
      <c r="AJ39" s="45" t="s">
        <v>150</v>
      </c>
      <c r="AK39" s="45" t="s">
        <v>134</v>
      </c>
      <c r="AL39" s="45">
        <v>3</v>
      </c>
      <c r="AM39" s="45">
        <v>5</v>
      </c>
      <c r="AN39" s="45">
        <v>4</v>
      </c>
      <c r="AO39" s="45">
        <v>4</v>
      </c>
      <c r="AP39" s="45">
        <v>2</v>
      </c>
      <c r="AQ39" s="45" t="s">
        <v>117</v>
      </c>
      <c r="AR39" s="45" t="s">
        <v>214</v>
      </c>
      <c r="AS39" s="45" t="s">
        <v>151</v>
      </c>
      <c r="AT39" s="45" t="s">
        <v>151</v>
      </c>
      <c r="AU39" s="45">
        <v>2</v>
      </c>
      <c r="AV39" s="45">
        <v>7</v>
      </c>
      <c r="AW39" s="45" t="s">
        <v>118</v>
      </c>
      <c r="AX39" s="45">
        <v>6</v>
      </c>
      <c r="AY39" s="45">
        <v>6</v>
      </c>
      <c r="AZ39" s="45" t="s">
        <v>119</v>
      </c>
      <c r="BA39" s="45">
        <v>6</v>
      </c>
      <c r="BB39" s="45">
        <v>5</v>
      </c>
      <c r="BC39" s="45">
        <v>5</v>
      </c>
      <c r="BD39" s="45">
        <v>2</v>
      </c>
      <c r="BE39" s="45" t="s">
        <v>137</v>
      </c>
      <c r="BF39" s="45">
        <v>7</v>
      </c>
      <c r="BG39" s="45" t="s">
        <v>121</v>
      </c>
      <c r="BH39" s="45">
        <v>7</v>
      </c>
      <c r="BI39" s="45" t="s">
        <v>138</v>
      </c>
      <c r="BJ39" s="45" t="s">
        <v>139</v>
      </c>
      <c r="BK39" s="45" t="s">
        <v>140</v>
      </c>
      <c r="BL39" s="45" t="s">
        <v>141</v>
      </c>
      <c r="BM39" s="45" t="s">
        <v>126</v>
      </c>
      <c r="BN39" s="45" t="s">
        <v>127</v>
      </c>
    </row>
    <row r="40" spans="1:67" x14ac:dyDescent="0.25">
      <c r="A40" s="47">
        <v>46064.58956241898</v>
      </c>
      <c r="B40" s="45" t="s">
        <v>129</v>
      </c>
      <c r="C40" s="45" t="s">
        <v>130</v>
      </c>
      <c r="E40" s="45" t="s">
        <v>109</v>
      </c>
      <c r="M40" s="45" t="s">
        <v>131</v>
      </c>
      <c r="N40" s="45" t="s">
        <v>111</v>
      </c>
      <c r="O40" s="45" t="s">
        <v>113</v>
      </c>
      <c r="P40" s="45" t="s">
        <v>113</v>
      </c>
      <c r="Q40" s="45" t="s">
        <v>132</v>
      </c>
      <c r="R40" s="45" t="s">
        <v>132</v>
      </c>
      <c r="S40" s="45" t="s">
        <v>133</v>
      </c>
      <c r="T40" s="45" t="s">
        <v>112</v>
      </c>
      <c r="U40" s="45" t="s">
        <v>133</v>
      </c>
      <c r="V40" s="45" t="s">
        <v>112</v>
      </c>
      <c r="W40" s="45" t="s">
        <v>133</v>
      </c>
      <c r="X40" s="45" t="s">
        <v>133</v>
      </c>
      <c r="Y40" s="45" t="s">
        <v>133</v>
      </c>
      <c r="Z40" s="45" t="s">
        <v>143</v>
      </c>
      <c r="AA40" s="45" t="s">
        <v>143</v>
      </c>
      <c r="AB40" s="45" t="s">
        <v>143</v>
      </c>
      <c r="AC40" s="45" t="s">
        <v>133</v>
      </c>
      <c r="AD40" s="45" t="s">
        <v>133</v>
      </c>
      <c r="AE40" s="45" t="s">
        <v>133</v>
      </c>
      <c r="AF40" s="45" t="s">
        <v>133</v>
      </c>
      <c r="AG40" s="45" t="s">
        <v>143</v>
      </c>
      <c r="AH40" s="45" t="s">
        <v>133</v>
      </c>
      <c r="AI40" s="45">
        <v>6</v>
      </c>
      <c r="AJ40" s="45" t="s">
        <v>114</v>
      </c>
      <c r="AK40" s="45" t="s">
        <v>134</v>
      </c>
      <c r="AL40" s="45">
        <v>5</v>
      </c>
      <c r="AM40" s="45">
        <v>7</v>
      </c>
      <c r="AN40" s="45">
        <v>6</v>
      </c>
      <c r="AO40" s="45">
        <v>5</v>
      </c>
      <c r="AP40" s="45">
        <v>4</v>
      </c>
      <c r="AQ40" s="45" t="s">
        <v>117</v>
      </c>
      <c r="AR40" s="45" t="s">
        <v>116</v>
      </c>
      <c r="AS40" s="45" t="s">
        <v>117</v>
      </c>
      <c r="AT40" s="45" t="s">
        <v>151</v>
      </c>
      <c r="AU40" s="45">
        <v>6</v>
      </c>
      <c r="AV40">
        <v>6</v>
      </c>
      <c r="AW40" s="45" t="s">
        <v>210</v>
      </c>
      <c r="AX40" s="45">
        <v>5</v>
      </c>
      <c r="AY40" s="45">
        <v>5</v>
      </c>
      <c r="AZ40" s="45" t="s">
        <v>234</v>
      </c>
      <c r="BA40" s="45">
        <v>7</v>
      </c>
      <c r="BB40" s="45">
        <v>7</v>
      </c>
      <c r="BC40" s="45">
        <v>2</v>
      </c>
      <c r="BD40" s="45">
        <v>1</v>
      </c>
      <c r="BE40" s="45" t="s">
        <v>159</v>
      </c>
      <c r="BF40" s="45">
        <v>5</v>
      </c>
      <c r="BG40" s="45" t="s">
        <v>121</v>
      </c>
      <c r="BH40" s="45">
        <v>5</v>
      </c>
      <c r="BI40" s="45" t="s">
        <v>138</v>
      </c>
      <c r="BJ40" s="45" t="s">
        <v>123</v>
      </c>
      <c r="BK40" s="45" t="s">
        <v>140</v>
      </c>
      <c r="BL40" s="45" t="s">
        <v>125</v>
      </c>
      <c r="BM40" s="45" t="s">
        <v>224</v>
      </c>
      <c r="BN40" s="45" t="s">
        <v>127</v>
      </c>
      <c r="BO40" s="45" t="s">
        <v>236</v>
      </c>
    </row>
    <row r="41" spans="1:67" x14ac:dyDescent="0.25">
      <c r="A41" s="47">
        <v>46064.935977928239</v>
      </c>
      <c r="B41" s="45" t="s">
        <v>129</v>
      </c>
      <c r="C41" s="45" t="s">
        <v>107</v>
      </c>
      <c r="F41" s="45" t="s">
        <v>108</v>
      </c>
      <c r="J41" s="45" t="s">
        <v>108</v>
      </c>
      <c r="K41" s="45" t="s">
        <v>108</v>
      </c>
      <c r="M41" s="45" t="s">
        <v>237</v>
      </c>
      <c r="N41" s="45" t="s">
        <v>161</v>
      </c>
      <c r="O41" s="45" t="s">
        <v>113</v>
      </c>
      <c r="P41" s="45" t="s">
        <v>143</v>
      </c>
      <c r="Q41" s="45" t="s">
        <v>143</v>
      </c>
      <c r="R41" s="45" t="s">
        <v>112</v>
      </c>
      <c r="S41" s="45" t="s">
        <v>143</v>
      </c>
      <c r="T41" s="45" t="s">
        <v>133</v>
      </c>
      <c r="U41" s="45" t="s">
        <v>133</v>
      </c>
      <c r="V41" s="45" t="s">
        <v>133</v>
      </c>
      <c r="W41" s="45" t="s">
        <v>143</v>
      </c>
      <c r="X41" s="45" t="s">
        <v>133</v>
      </c>
      <c r="Y41" s="45" t="s">
        <v>112</v>
      </c>
      <c r="Z41" s="45" t="s">
        <v>143</v>
      </c>
      <c r="AA41" s="45" t="s">
        <v>143</v>
      </c>
      <c r="AB41" s="45" t="s">
        <v>112</v>
      </c>
      <c r="AC41" s="45" t="s">
        <v>143</v>
      </c>
      <c r="AD41" s="45" t="s">
        <v>112</v>
      </c>
      <c r="AE41" s="45" t="s">
        <v>112</v>
      </c>
      <c r="AF41" s="45" t="s">
        <v>112</v>
      </c>
      <c r="AG41" s="45" t="s">
        <v>143</v>
      </c>
      <c r="AH41" s="45" t="s">
        <v>143</v>
      </c>
      <c r="AI41" s="45">
        <v>6</v>
      </c>
      <c r="AJ41" s="45" t="s">
        <v>114</v>
      </c>
      <c r="AK41" s="45" t="s">
        <v>115</v>
      </c>
      <c r="AL41" s="45">
        <v>4</v>
      </c>
      <c r="AM41" s="45">
        <v>6</v>
      </c>
      <c r="AN41" s="45">
        <v>7</v>
      </c>
      <c r="AO41" s="45">
        <v>4</v>
      </c>
      <c r="AP41" s="45">
        <v>5</v>
      </c>
      <c r="AQ41" s="45" t="s">
        <v>116</v>
      </c>
      <c r="AR41" s="45" t="s">
        <v>116</v>
      </c>
      <c r="AS41" s="45" t="s">
        <v>117</v>
      </c>
      <c r="AT41" s="45" t="s">
        <v>117</v>
      </c>
      <c r="AU41" s="45">
        <v>6</v>
      </c>
      <c r="AV41" s="45">
        <v>6</v>
      </c>
      <c r="AW41" s="45" t="s">
        <v>118</v>
      </c>
      <c r="AX41" s="45">
        <v>5</v>
      </c>
      <c r="AY41" s="45">
        <v>5</v>
      </c>
      <c r="AZ41" s="45" t="s">
        <v>119</v>
      </c>
      <c r="BA41" s="45">
        <v>5</v>
      </c>
      <c r="BB41" s="45">
        <v>6</v>
      </c>
      <c r="BC41" s="45">
        <v>6</v>
      </c>
      <c r="BD41" s="45">
        <v>3</v>
      </c>
      <c r="BE41" s="45" t="s">
        <v>137</v>
      </c>
      <c r="BF41" s="45">
        <v>6</v>
      </c>
      <c r="BG41" s="45" t="s">
        <v>121</v>
      </c>
      <c r="BH41" s="45">
        <v>3</v>
      </c>
      <c r="BI41" s="45" t="s">
        <v>122</v>
      </c>
      <c r="BJ41" s="45" t="s">
        <v>139</v>
      </c>
      <c r="BK41" s="45" t="s">
        <v>124</v>
      </c>
      <c r="BL41" s="45" t="s">
        <v>192</v>
      </c>
      <c r="BM41" s="45" t="s">
        <v>126</v>
      </c>
      <c r="BN41" s="45" t="s">
        <v>172</v>
      </c>
    </row>
    <row r="42" spans="1:67" x14ac:dyDescent="0.25">
      <c r="A42" s="47">
        <v>46065.416628993058</v>
      </c>
      <c r="B42" s="45" t="s">
        <v>147</v>
      </c>
      <c r="C42" s="45" t="s">
        <v>148</v>
      </c>
      <c r="F42" s="45" t="s">
        <v>108</v>
      </c>
      <c r="K42" s="45" t="s">
        <v>109</v>
      </c>
      <c r="L42" s="45" t="s">
        <v>109</v>
      </c>
      <c r="M42" s="45" t="s">
        <v>232</v>
      </c>
      <c r="N42" s="45" t="s">
        <v>111</v>
      </c>
      <c r="O42" s="45" t="s">
        <v>132</v>
      </c>
      <c r="P42" s="45" t="s">
        <v>132</v>
      </c>
      <c r="Q42" s="45" t="s">
        <v>132</v>
      </c>
      <c r="R42" s="45" t="s">
        <v>133</v>
      </c>
      <c r="S42" s="45" t="s">
        <v>132</v>
      </c>
      <c r="T42" s="45" t="s">
        <v>143</v>
      </c>
      <c r="U42" s="45" t="s">
        <v>113</v>
      </c>
      <c r="V42" s="45" t="s">
        <v>113</v>
      </c>
      <c r="W42" s="45" t="s">
        <v>143</v>
      </c>
      <c r="X42" s="45" t="s">
        <v>143</v>
      </c>
      <c r="Y42" s="45" t="s">
        <v>132</v>
      </c>
      <c r="Z42" s="45" t="s">
        <v>132</v>
      </c>
      <c r="AA42" s="45" t="s">
        <v>132</v>
      </c>
      <c r="AB42" s="45" t="s">
        <v>143</v>
      </c>
      <c r="AC42" s="45" t="s">
        <v>132</v>
      </c>
      <c r="AD42" s="45" t="s">
        <v>133</v>
      </c>
      <c r="AE42" s="45" t="s">
        <v>133</v>
      </c>
      <c r="AF42" s="45" t="s">
        <v>143</v>
      </c>
      <c r="AG42" s="45" t="s">
        <v>143</v>
      </c>
      <c r="AH42" s="45" t="s">
        <v>132</v>
      </c>
      <c r="AI42" s="45">
        <v>7</v>
      </c>
      <c r="AJ42" s="45" t="s">
        <v>150</v>
      </c>
      <c r="AK42" s="45" t="s">
        <v>134</v>
      </c>
      <c r="AL42" s="45">
        <v>3</v>
      </c>
      <c r="AM42" s="45">
        <v>7</v>
      </c>
      <c r="AN42" s="45">
        <v>3</v>
      </c>
      <c r="AO42" s="45">
        <v>5</v>
      </c>
      <c r="AP42" s="45">
        <v>2</v>
      </c>
      <c r="AQ42" s="45" t="s">
        <v>214</v>
      </c>
      <c r="AR42" s="45" t="s">
        <v>214</v>
      </c>
      <c r="AS42" s="45" t="s">
        <v>117</v>
      </c>
      <c r="AT42" s="45" t="s">
        <v>214</v>
      </c>
      <c r="AU42" s="45">
        <v>2</v>
      </c>
      <c r="AV42" s="45">
        <v>1</v>
      </c>
      <c r="AW42" s="45" t="s">
        <v>154</v>
      </c>
      <c r="AX42" s="45">
        <v>7</v>
      </c>
      <c r="AY42" s="45">
        <v>7</v>
      </c>
      <c r="AZ42" s="45" t="s">
        <v>169</v>
      </c>
      <c r="BA42" s="45">
        <v>6</v>
      </c>
      <c r="BB42" s="45">
        <v>7</v>
      </c>
      <c r="BC42" s="45">
        <v>4</v>
      </c>
      <c r="BD42" s="45">
        <v>1</v>
      </c>
      <c r="BE42" s="45" t="s">
        <v>159</v>
      </c>
      <c r="BF42" s="45">
        <v>2</v>
      </c>
      <c r="BG42" s="45" t="s">
        <v>121</v>
      </c>
      <c r="BH42" s="45">
        <v>7</v>
      </c>
      <c r="BI42" s="45" t="s">
        <v>122</v>
      </c>
      <c r="BJ42" s="45" t="s">
        <v>123</v>
      </c>
      <c r="BK42" s="45" t="s">
        <v>196</v>
      </c>
      <c r="BL42" s="45" t="s">
        <v>177</v>
      </c>
      <c r="BM42" s="45" t="s">
        <v>238</v>
      </c>
      <c r="BN42" s="45" t="s">
        <v>172</v>
      </c>
    </row>
    <row r="43" spans="1:67" x14ac:dyDescent="0.25">
      <c r="A43" s="47">
        <v>46065.417846122677</v>
      </c>
      <c r="B43" s="45" t="s">
        <v>165</v>
      </c>
      <c r="C43" s="45" t="s">
        <v>107</v>
      </c>
      <c r="G43" s="45" t="s">
        <v>109</v>
      </c>
      <c r="M43" s="45" t="s">
        <v>170</v>
      </c>
      <c r="N43" s="45" t="s">
        <v>111</v>
      </c>
      <c r="O43" s="45" t="s">
        <v>113</v>
      </c>
      <c r="P43" s="45" t="s">
        <v>113</v>
      </c>
      <c r="Q43" s="45" t="s">
        <v>143</v>
      </c>
      <c r="R43" s="45" t="s">
        <v>113</v>
      </c>
      <c r="S43" s="45" t="s">
        <v>143</v>
      </c>
      <c r="T43" s="45" t="s">
        <v>113</v>
      </c>
      <c r="U43" s="45" t="s">
        <v>113</v>
      </c>
      <c r="V43" s="45" t="s">
        <v>113</v>
      </c>
      <c r="W43" s="45" t="s">
        <v>143</v>
      </c>
      <c r="X43" s="45" t="s">
        <v>113</v>
      </c>
      <c r="Y43" s="45" t="s">
        <v>113</v>
      </c>
      <c r="Z43" s="45" t="s">
        <v>113</v>
      </c>
      <c r="AA43" s="45" t="s">
        <v>143</v>
      </c>
      <c r="AB43" s="45" t="s">
        <v>113</v>
      </c>
      <c r="AC43" s="45" t="s">
        <v>113</v>
      </c>
      <c r="AD43" s="45" t="s">
        <v>113</v>
      </c>
      <c r="AE43" s="45" t="s">
        <v>113</v>
      </c>
      <c r="AF43" s="45" t="s">
        <v>113</v>
      </c>
      <c r="AG43" s="45" t="s">
        <v>143</v>
      </c>
      <c r="AH43" s="45" t="s">
        <v>143</v>
      </c>
      <c r="AI43" s="45">
        <v>6</v>
      </c>
      <c r="AJ43" s="45" t="s">
        <v>191</v>
      </c>
      <c r="AK43" s="45" t="s">
        <v>239</v>
      </c>
      <c r="AL43" s="45">
        <v>7</v>
      </c>
      <c r="AM43" s="45">
        <v>7</v>
      </c>
      <c r="AN43" s="45">
        <v>7</v>
      </c>
      <c r="AO43" s="45">
        <v>7</v>
      </c>
      <c r="AP43" s="45">
        <v>7</v>
      </c>
      <c r="AQ43" s="45" t="s">
        <v>116</v>
      </c>
      <c r="AR43" s="45" t="s">
        <v>116</v>
      </c>
      <c r="AS43" s="45" t="s">
        <v>116</v>
      </c>
      <c r="AT43" s="45" t="s">
        <v>116</v>
      </c>
      <c r="AU43" s="45">
        <v>7</v>
      </c>
      <c r="AV43" s="45">
        <v>7</v>
      </c>
      <c r="AW43" s="45" t="s">
        <v>135</v>
      </c>
      <c r="AX43" s="45">
        <v>7</v>
      </c>
      <c r="AY43" s="45">
        <v>3</v>
      </c>
      <c r="AZ43" s="45" t="s">
        <v>146</v>
      </c>
      <c r="BA43" s="45">
        <v>7</v>
      </c>
      <c r="BB43" s="45">
        <v>7</v>
      </c>
      <c r="BC43" s="45">
        <v>7</v>
      </c>
      <c r="BD43" s="45">
        <v>7</v>
      </c>
      <c r="BE43" s="45" t="s">
        <v>137</v>
      </c>
      <c r="BF43" s="45">
        <v>5</v>
      </c>
      <c r="BG43" s="45" t="s">
        <v>121</v>
      </c>
      <c r="BH43" s="45">
        <v>4</v>
      </c>
      <c r="BI43" s="45" t="s">
        <v>221</v>
      </c>
      <c r="BJ43" s="45" t="s">
        <v>139</v>
      </c>
      <c r="BK43" s="45" t="s">
        <v>196</v>
      </c>
      <c r="BL43" s="45" t="s">
        <v>177</v>
      </c>
      <c r="BM43" s="45" t="s">
        <v>240</v>
      </c>
      <c r="BN43" s="45" t="s">
        <v>187</v>
      </c>
    </row>
    <row r="44" spans="1:67" x14ac:dyDescent="0.25">
      <c r="A44" s="47">
        <v>46065.423705868059</v>
      </c>
      <c r="B44" s="45" t="s">
        <v>106</v>
      </c>
      <c r="C44" s="45" t="s">
        <v>107</v>
      </c>
      <c r="F44" s="45" t="s">
        <v>108</v>
      </c>
      <c r="G44" s="45" t="s">
        <v>108</v>
      </c>
      <c r="M44" s="45" t="s">
        <v>241</v>
      </c>
      <c r="N44" s="45" t="s">
        <v>111</v>
      </c>
      <c r="O44" s="45" t="s">
        <v>133</v>
      </c>
      <c r="P44" s="45" t="s">
        <v>133</v>
      </c>
      <c r="Q44" s="45" t="s">
        <v>143</v>
      </c>
      <c r="R44" s="45" t="s">
        <v>133</v>
      </c>
      <c r="S44" s="45" t="s">
        <v>133</v>
      </c>
      <c r="T44" s="45" t="s">
        <v>133</v>
      </c>
      <c r="U44" s="45" t="s">
        <v>133</v>
      </c>
      <c r="V44" s="45" t="s">
        <v>133</v>
      </c>
      <c r="W44" s="45" t="s">
        <v>133</v>
      </c>
      <c r="X44" s="45" t="s">
        <v>143</v>
      </c>
      <c r="Y44" s="45" t="s">
        <v>133</v>
      </c>
      <c r="Z44" s="45" t="s">
        <v>133</v>
      </c>
      <c r="AA44" s="45" t="s">
        <v>133</v>
      </c>
      <c r="AB44" s="45" t="s">
        <v>133</v>
      </c>
      <c r="AC44" s="45" t="s">
        <v>133</v>
      </c>
      <c r="AD44" s="45" t="s">
        <v>133</v>
      </c>
      <c r="AE44" s="45" t="s">
        <v>133</v>
      </c>
      <c r="AF44" s="45" t="s">
        <v>133</v>
      </c>
      <c r="AG44" s="45" t="s">
        <v>133</v>
      </c>
      <c r="AH44" s="45" t="s">
        <v>133</v>
      </c>
      <c r="AI44" s="45">
        <v>5</v>
      </c>
      <c r="AJ44" s="45" t="s">
        <v>167</v>
      </c>
      <c r="AK44" s="45" t="s">
        <v>115</v>
      </c>
      <c r="AL44" s="45">
        <v>6</v>
      </c>
      <c r="AM44" s="45">
        <v>7</v>
      </c>
      <c r="AN44" s="45">
        <v>7</v>
      </c>
      <c r="AO44" s="45">
        <v>7</v>
      </c>
      <c r="AP44" s="45">
        <v>7</v>
      </c>
      <c r="AQ44" s="45" t="s">
        <v>116</v>
      </c>
      <c r="AR44" s="45" t="s">
        <v>116</v>
      </c>
      <c r="AS44" s="45" t="s">
        <v>116</v>
      </c>
      <c r="AT44" s="45" t="s">
        <v>116</v>
      </c>
      <c r="AU44" s="45">
        <v>7</v>
      </c>
      <c r="AV44" s="45">
        <v>7</v>
      </c>
      <c r="AW44" s="45" t="s">
        <v>135</v>
      </c>
      <c r="AX44" s="45">
        <v>3</v>
      </c>
      <c r="AY44" s="45">
        <v>3</v>
      </c>
      <c r="AZ44" s="45" t="s">
        <v>169</v>
      </c>
      <c r="BA44" s="45">
        <v>7</v>
      </c>
      <c r="BB44" s="45">
        <v>5</v>
      </c>
      <c r="BC44" s="45">
        <v>6</v>
      </c>
      <c r="BD44" s="45">
        <v>1</v>
      </c>
      <c r="BE44" s="45" t="s">
        <v>137</v>
      </c>
      <c r="BF44" s="45">
        <v>6</v>
      </c>
      <c r="BG44" s="45" t="s">
        <v>121</v>
      </c>
      <c r="BH44" s="45">
        <v>5</v>
      </c>
      <c r="BI44" s="45" t="s">
        <v>221</v>
      </c>
      <c r="BJ44" s="45" t="s">
        <v>123</v>
      </c>
      <c r="BK44" s="45" t="s">
        <v>196</v>
      </c>
      <c r="BL44" s="45" t="s">
        <v>177</v>
      </c>
      <c r="BM44" s="45" t="s">
        <v>242</v>
      </c>
      <c r="BN44" s="45" t="s">
        <v>172</v>
      </c>
    </row>
    <row r="45" spans="1:67" x14ac:dyDescent="0.25">
      <c r="A45" s="47">
        <v>46065.424292256947</v>
      </c>
      <c r="B45" s="45" t="s">
        <v>129</v>
      </c>
      <c r="C45" s="45" t="s">
        <v>107</v>
      </c>
      <c r="F45" s="45" t="s">
        <v>109</v>
      </c>
      <c r="M45" s="45" t="s">
        <v>200</v>
      </c>
      <c r="N45" s="45" t="s">
        <v>111</v>
      </c>
      <c r="O45" s="45" t="s">
        <v>132</v>
      </c>
      <c r="P45" s="45" t="s">
        <v>132</v>
      </c>
      <c r="Q45" s="45" t="s">
        <v>132</v>
      </c>
      <c r="R45" s="45" t="s">
        <v>133</v>
      </c>
      <c r="S45" s="45" t="s">
        <v>133</v>
      </c>
      <c r="T45" s="45" t="s">
        <v>133</v>
      </c>
      <c r="U45" s="45" t="s">
        <v>112</v>
      </c>
      <c r="V45" s="45" t="s">
        <v>112</v>
      </c>
      <c r="W45" s="45" t="s">
        <v>112</v>
      </c>
      <c r="X45" s="45" t="s">
        <v>143</v>
      </c>
      <c r="Y45" s="45" t="s">
        <v>132</v>
      </c>
      <c r="Z45" s="45" t="s">
        <v>132</v>
      </c>
      <c r="AA45" s="45" t="s">
        <v>132</v>
      </c>
      <c r="AB45" s="45" t="s">
        <v>143</v>
      </c>
      <c r="AC45" s="45" t="s">
        <v>133</v>
      </c>
      <c r="AD45" s="45" t="s">
        <v>133</v>
      </c>
      <c r="AE45" s="45" t="s">
        <v>133</v>
      </c>
      <c r="AF45" s="45" t="s">
        <v>133</v>
      </c>
      <c r="AG45" s="45" t="s">
        <v>143</v>
      </c>
      <c r="AH45" s="45" t="s">
        <v>133</v>
      </c>
      <c r="AI45" s="45">
        <v>6</v>
      </c>
      <c r="AJ45" s="45" t="s">
        <v>150</v>
      </c>
      <c r="AK45" s="45" t="s">
        <v>134</v>
      </c>
      <c r="AL45" s="45">
        <v>6</v>
      </c>
      <c r="AM45" s="45">
        <v>7</v>
      </c>
      <c r="AN45" s="45">
        <v>7</v>
      </c>
      <c r="AO45" s="45">
        <v>7</v>
      </c>
      <c r="AP45" s="45">
        <v>7</v>
      </c>
      <c r="AQ45" s="45" t="s">
        <v>116</v>
      </c>
      <c r="AR45" s="45" t="s">
        <v>116</v>
      </c>
      <c r="AS45" s="45" t="s">
        <v>116</v>
      </c>
      <c r="AT45" s="45" t="s">
        <v>116</v>
      </c>
      <c r="AU45" s="45">
        <v>6</v>
      </c>
      <c r="AV45" s="45">
        <v>7</v>
      </c>
      <c r="AW45" s="45" t="s">
        <v>168</v>
      </c>
      <c r="AX45" s="45">
        <v>6</v>
      </c>
      <c r="AY45" s="45">
        <v>2</v>
      </c>
      <c r="AZ45" s="45" t="s">
        <v>155</v>
      </c>
      <c r="BA45" s="45">
        <v>6</v>
      </c>
      <c r="BB45" s="45">
        <v>4</v>
      </c>
      <c r="BC45" s="45">
        <v>5</v>
      </c>
      <c r="BD45" s="45">
        <v>6</v>
      </c>
      <c r="BE45" s="45" t="s">
        <v>159</v>
      </c>
      <c r="BF45" s="45">
        <v>5</v>
      </c>
      <c r="BG45" s="45" t="s">
        <v>121</v>
      </c>
      <c r="BH45" s="45">
        <v>5</v>
      </c>
      <c r="BI45" s="45" t="s">
        <v>122</v>
      </c>
      <c r="BJ45" s="45" t="s">
        <v>139</v>
      </c>
      <c r="BK45" s="45" t="s">
        <v>196</v>
      </c>
      <c r="BL45" s="45" t="s">
        <v>186</v>
      </c>
      <c r="BM45" s="45" t="s">
        <v>126</v>
      </c>
      <c r="BN45" s="45" t="s">
        <v>172</v>
      </c>
    </row>
    <row r="46" spans="1:67" x14ac:dyDescent="0.25">
      <c r="A46" s="47">
        <v>46065.431678726847</v>
      </c>
      <c r="B46" s="45" t="s">
        <v>211</v>
      </c>
      <c r="C46" s="45" t="s">
        <v>130</v>
      </c>
      <c r="E46" s="45" t="s">
        <v>109</v>
      </c>
      <c r="F46" s="45" t="s">
        <v>109</v>
      </c>
      <c r="H46" s="45" t="s">
        <v>109</v>
      </c>
      <c r="M46" s="45" t="s">
        <v>243</v>
      </c>
      <c r="N46" s="45" t="s">
        <v>111</v>
      </c>
      <c r="O46" s="45" t="s">
        <v>143</v>
      </c>
      <c r="P46" s="45" t="s">
        <v>143</v>
      </c>
      <c r="Q46" s="45" t="s">
        <v>143</v>
      </c>
      <c r="R46" s="45" t="s">
        <v>133</v>
      </c>
      <c r="S46" s="45" t="s">
        <v>113</v>
      </c>
      <c r="T46" s="45" t="s">
        <v>133</v>
      </c>
      <c r="U46" s="45" t="s">
        <v>113</v>
      </c>
      <c r="V46" s="45" t="s">
        <v>113</v>
      </c>
      <c r="W46" s="45" t="s">
        <v>133</v>
      </c>
      <c r="X46" s="45" t="s">
        <v>143</v>
      </c>
      <c r="Y46" s="45" t="s">
        <v>143</v>
      </c>
      <c r="Z46" s="45" t="s">
        <v>143</v>
      </c>
      <c r="AA46" s="45" t="s">
        <v>143</v>
      </c>
      <c r="AB46" s="45" t="s">
        <v>113</v>
      </c>
      <c r="AC46" s="45" t="s">
        <v>113</v>
      </c>
      <c r="AD46" s="45" t="s">
        <v>133</v>
      </c>
      <c r="AE46" s="45" t="s">
        <v>113</v>
      </c>
      <c r="AF46" s="45" t="s">
        <v>133</v>
      </c>
      <c r="AG46" s="45" t="s">
        <v>143</v>
      </c>
      <c r="AH46" s="45" t="s">
        <v>143</v>
      </c>
      <c r="AI46" s="45">
        <v>5</v>
      </c>
      <c r="AJ46" s="45" t="s">
        <v>191</v>
      </c>
      <c r="AK46" s="45" t="s">
        <v>134</v>
      </c>
      <c r="AL46" s="45">
        <v>5</v>
      </c>
      <c r="AM46" s="45">
        <v>5</v>
      </c>
      <c r="AN46" s="45">
        <v>4</v>
      </c>
      <c r="AO46" s="45">
        <v>5</v>
      </c>
      <c r="AP46" s="45">
        <v>4</v>
      </c>
      <c r="AQ46" s="45" t="s">
        <v>117</v>
      </c>
      <c r="AR46" s="45" t="s">
        <v>151</v>
      </c>
      <c r="AS46" s="45" t="s">
        <v>117</v>
      </c>
      <c r="AT46" s="45" t="s">
        <v>214</v>
      </c>
      <c r="AU46" s="45">
        <v>4</v>
      </c>
      <c r="AV46" s="45">
        <v>6</v>
      </c>
      <c r="AW46" s="45" t="s">
        <v>118</v>
      </c>
      <c r="AX46" s="45">
        <v>5</v>
      </c>
      <c r="AY46" s="45">
        <v>5</v>
      </c>
      <c r="AZ46" s="45" t="s">
        <v>136</v>
      </c>
      <c r="BA46" s="45">
        <v>6</v>
      </c>
      <c r="BB46" s="45">
        <v>5</v>
      </c>
      <c r="BC46" s="45">
        <v>5</v>
      </c>
      <c r="BD46" s="45">
        <v>5</v>
      </c>
      <c r="BE46" s="45" t="s">
        <v>137</v>
      </c>
      <c r="BF46" s="45">
        <v>6</v>
      </c>
      <c r="BG46" s="45" t="s">
        <v>121</v>
      </c>
      <c r="BH46" s="45">
        <v>5</v>
      </c>
      <c r="BI46" s="45" t="s">
        <v>244</v>
      </c>
      <c r="BJ46" s="45" t="s">
        <v>139</v>
      </c>
      <c r="BK46" s="45" t="s">
        <v>196</v>
      </c>
      <c r="BL46" s="45" t="s">
        <v>177</v>
      </c>
      <c r="BM46" s="45" t="s">
        <v>245</v>
      </c>
      <c r="BN46" s="45" t="s">
        <v>172</v>
      </c>
      <c r="BO46" s="45" t="s">
        <v>246</v>
      </c>
    </row>
    <row r="47" spans="1:67" x14ac:dyDescent="0.25">
      <c r="A47" s="47">
        <v>46065.432047314818</v>
      </c>
      <c r="B47" s="45" t="s">
        <v>165</v>
      </c>
      <c r="C47" s="45" t="s">
        <v>148</v>
      </c>
      <c r="D47" s="45" t="s">
        <v>108</v>
      </c>
      <c r="E47" s="45" t="s">
        <v>108</v>
      </c>
      <c r="F47" s="45" t="s">
        <v>108</v>
      </c>
      <c r="J47" s="45" t="s">
        <v>108</v>
      </c>
      <c r="M47" s="45" t="s">
        <v>247</v>
      </c>
      <c r="N47" s="45" t="s">
        <v>111</v>
      </c>
      <c r="O47" s="45" t="s">
        <v>143</v>
      </c>
      <c r="P47" s="45" t="s">
        <v>132</v>
      </c>
      <c r="Q47" s="45" t="s">
        <v>132</v>
      </c>
      <c r="R47" s="45" t="s">
        <v>143</v>
      </c>
      <c r="S47" s="45" t="s">
        <v>133</v>
      </c>
      <c r="T47" s="45" t="s">
        <v>143</v>
      </c>
      <c r="U47" s="45" t="s">
        <v>133</v>
      </c>
      <c r="V47" s="45" t="s">
        <v>133</v>
      </c>
      <c r="W47" s="45" t="s">
        <v>143</v>
      </c>
      <c r="X47" s="45" t="s">
        <v>133</v>
      </c>
      <c r="Y47" s="45" t="s">
        <v>143</v>
      </c>
      <c r="Z47" s="45" t="s">
        <v>132</v>
      </c>
      <c r="AA47" s="45" t="s">
        <v>132</v>
      </c>
      <c r="AB47" s="45" t="s">
        <v>132</v>
      </c>
      <c r="AC47" s="45" t="s">
        <v>133</v>
      </c>
      <c r="AD47" s="45" t="s">
        <v>143</v>
      </c>
      <c r="AE47" s="45" t="s">
        <v>143</v>
      </c>
      <c r="AF47" s="45" t="s">
        <v>133</v>
      </c>
      <c r="AG47" s="45" t="s">
        <v>133</v>
      </c>
      <c r="AH47" s="45" t="s">
        <v>143</v>
      </c>
      <c r="AI47" s="45">
        <v>6</v>
      </c>
      <c r="AJ47" s="45" t="s">
        <v>114</v>
      </c>
      <c r="AK47" s="45" t="s">
        <v>115</v>
      </c>
      <c r="AL47" s="45">
        <v>5</v>
      </c>
      <c r="AM47" s="45">
        <v>7</v>
      </c>
      <c r="AN47" s="45">
        <v>7</v>
      </c>
      <c r="AO47" s="45">
        <v>7</v>
      </c>
      <c r="AP47" s="45">
        <v>7</v>
      </c>
      <c r="AQ47" s="45" t="s">
        <v>117</v>
      </c>
      <c r="AR47" s="45" t="s">
        <v>116</v>
      </c>
      <c r="AS47" s="45" t="s">
        <v>117</v>
      </c>
      <c r="AT47" s="45" t="s">
        <v>117</v>
      </c>
      <c r="AU47" s="45">
        <v>5</v>
      </c>
      <c r="AV47" s="45">
        <v>7</v>
      </c>
      <c r="AW47" s="45" t="s">
        <v>135</v>
      </c>
      <c r="AX47" s="45">
        <v>5</v>
      </c>
      <c r="AY47" s="45">
        <v>6</v>
      </c>
      <c r="AZ47" s="45" t="s">
        <v>119</v>
      </c>
      <c r="BA47" s="45">
        <v>6</v>
      </c>
      <c r="BB47" s="45">
        <v>6</v>
      </c>
      <c r="BC47" s="45">
        <v>4</v>
      </c>
      <c r="BD47" s="45">
        <v>4</v>
      </c>
      <c r="BE47" s="45" t="s">
        <v>137</v>
      </c>
      <c r="BF47" s="45">
        <v>7</v>
      </c>
      <c r="BG47" s="45" t="s">
        <v>121</v>
      </c>
      <c r="BH47" s="45">
        <v>6</v>
      </c>
      <c r="BI47" s="45" t="s">
        <v>221</v>
      </c>
      <c r="BJ47" s="45" t="s">
        <v>139</v>
      </c>
      <c r="BK47" s="45" t="s">
        <v>176</v>
      </c>
      <c r="BL47" s="45" t="s">
        <v>177</v>
      </c>
      <c r="BM47" s="45" t="s">
        <v>248</v>
      </c>
      <c r="BN47" s="45" t="s">
        <v>172</v>
      </c>
    </row>
    <row r="48" spans="1:67" x14ac:dyDescent="0.25">
      <c r="A48" s="47">
        <v>46065.459353194441</v>
      </c>
      <c r="B48" s="45" t="s">
        <v>129</v>
      </c>
      <c r="C48" s="45" t="s">
        <v>148</v>
      </c>
      <c r="D48" s="45" t="s">
        <v>108</v>
      </c>
      <c r="E48" s="45" t="s">
        <v>109</v>
      </c>
      <c r="F48" s="45" t="s">
        <v>109</v>
      </c>
      <c r="G48" s="45" t="s">
        <v>108</v>
      </c>
      <c r="H48" s="45" t="s">
        <v>109</v>
      </c>
      <c r="I48" s="45" t="s">
        <v>108</v>
      </c>
      <c r="M48" s="45" t="s">
        <v>249</v>
      </c>
      <c r="N48" s="45" t="s">
        <v>111</v>
      </c>
      <c r="O48" s="45" t="s">
        <v>143</v>
      </c>
      <c r="P48" s="45" t="s">
        <v>132</v>
      </c>
      <c r="Q48" s="45" t="s">
        <v>132</v>
      </c>
      <c r="R48" s="45" t="s">
        <v>143</v>
      </c>
      <c r="S48" s="45" t="s">
        <v>133</v>
      </c>
      <c r="T48" s="45" t="s">
        <v>143</v>
      </c>
      <c r="U48" s="45" t="s">
        <v>143</v>
      </c>
      <c r="V48" s="45" t="s">
        <v>133</v>
      </c>
      <c r="W48" s="45" t="s">
        <v>143</v>
      </c>
      <c r="X48" s="45" t="s">
        <v>132</v>
      </c>
      <c r="Y48" s="45" t="s">
        <v>132</v>
      </c>
      <c r="Z48" s="45" t="s">
        <v>132</v>
      </c>
      <c r="AA48" s="45" t="s">
        <v>132</v>
      </c>
      <c r="AB48" s="45" t="s">
        <v>143</v>
      </c>
      <c r="AC48" s="45" t="s">
        <v>133</v>
      </c>
      <c r="AD48" s="45" t="s">
        <v>133</v>
      </c>
      <c r="AE48" s="45" t="s">
        <v>133</v>
      </c>
      <c r="AF48" s="45" t="s">
        <v>113</v>
      </c>
      <c r="AG48" s="45" t="s">
        <v>143</v>
      </c>
      <c r="AH48" s="45" t="s">
        <v>143</v>
      </c>
      <c r="AI48" s="45">
        <v>5</v>
      </c>
      <c r="AJ48" s="45" t="s">
        <v>220</v>
      </c>
      <c r="AK48" s="45" t="s">
        <v>134</v>
      </c>
      <c r="AL48" s="45">
        <v>6</v>
      </c>
      <c r="AM48" s="45">
        <v>6</v>
      </c>
      <c r="AN48" s="45">
        <v>7</v>
      </c>
      <c r="AO48" s="45">
        <v>5</v>
      </c>
      <c r="AP48" s="45">
        <v>4</v>
      </c>
      <c r="AQ48" s="45" t="s">
        <v>117</v>
      </c>
      <c r="AR48" s="45" t="s">
        <v>116</v>
      </c>
      <c r="AS48" s="45" t="s">
        <v>151</v>
      </c>
      <c r="AT48" s="45" t="s">
        <v>151</v>
      </c>
      <c r="AU48" s="45">
        <v>3</v>
      </c>
      <c r="AV48" s="45">
        <v>7</v>
      </c>
      <c r="AW48" s="45" t="s">
        <v>145</v>
      </c>
      <c r="AX48" s="45">
        <v>5</v>
      </c>
      <c r="AY48" s="45">
        <v>6</v>
      </c>
      <c r="AZ48" s="45" t="s">
        <v>119</v>
      </c>
      <c r="BA48" s="45">
        <v>5</v>
      </c>
      <c r="BB48" s="45">
        <v>5</v>
      </c>
      <c r="BC48" s="45">
        <v>5</v>
      </c>
      <c r="BD48" s="45">
        <v>2</v>
      </c>
      <c r="BE48" s="45" t="s">
        <v>137</v>
      </c>
      <c r="BF48" s="45">
        <v>7</v>
      </c>
      <c r="BG48" s="45" t="s">
        <v>121</v>
      </c>
      <c r="BH48" s="45">
        <v>6</v>
      </c>
      <c r="BI48" s="45" t="s">
        <v>195</v>
      </c>
      <c r="BJ48" s="45" t="s">
        <v>139</v>
      </c>
      <c r="BK48" s="45" t="s">
        <v>196</v>
      </c>
      <c r="BL48" s="45" t="s">
        <v>177</v>
      </c>
      <c r="BM48" s="45" t="s">
        <v>126</v>
      </c>
      <c r="BN48" s="45" t="s">
        <v>187</v>
      </c>
    </row>
    <row r="49" spans="1:67" x14ac:dyDescent="0.25">
      <c r="A49" s="47">
        <v>46065.460523078713</v>
      </c>
      <c r="B49" s="45" t="s">
        <v>184</v>
      </c>
      <c r="C49" s="45" t="s">
        <v>148</v>
      </c>
      <c r="D49" s="45" t="s">
        <v>108</v>
      </c>
      <c r="E49" s="45" t="s">
        <v>109</v>
      </c>
      <c r="F49" s="45" t="s">
        <v>109</v>
      </c>
      <c r="G49" s="45" t="s">
        <v>108</v>
      </c>
      <c r="H49" s="45" t="s">
        <v>109</v>
      </c>
      <c r="M49" s="45" t="s">
        <v>250</v>
      </c>
      <c r="N49" s="45" t="s">
        <v>161</v>
      </c>
      <c r="O49" s="45" t="s">
        <v>133</v>
      </c>
      <c r="P49" s="45" t="s">
        <v>143</v>
      </c>
      <c r="Q49" s="45" t="s">
        <v>132</v>
      </c>
      <c r="R49" s="45" t="s">
        <v>132</v>
      </c>
      <c r="S49" s="45" t="s">
        <v>132</v>
      </c>
      <c r="T49" s="45" t="s">
        <v>133</v>
      </c>
      <c r="U49" s="45" t="s">
        <v>133</v>
      </c>
      <c r="V49" s="45" t="s">
        <v>133</v>
      </c>
      <c r="W49" s="45" t="s">
        <v>143</v>
      </c>
      <c r="X49" s="45" t="s">
        <v>132</v>
      </c>
      <c r="Y49" s="45" t="s">
        <v>143</v>
      </c>
      <c r="Z49" s="45" t="s">
        <v>143</v>
      </c>
      <c r="AA49" s="45" t="s">
        <v>132</v>
      </c>
      <c r="AB49" s="45" t="s">
        <v>132</v>
      </c>
      <c r="AC49" s="45" t="s">
        <v>132</v>
      </c>
      <c r="AD49" s="45" t="s">
        <v>133</v>
      </c>
      <c r="AE49" s="45" t="s">
        <v>133</v>
      </c>
      <c r="AF49" s="45" t="s">
        <v>133</v>
      </c>
      <c r="AG49" s="45" t="s">
        <v>143</v>
      </c>
      <c r="AH49" s="45" t="s">
        <v>132</v>
      </c>
      <c r="AI49" s="45">
        <v>7</v>
      </c>
      <c r="AJ49" s="45" t="s">
        <v>150</v>
      </c>
      <c r="AK49" s="45" t="s">
        <v>134</v>
      </c>
      <c r="AL49" s="45">
        <v>7</v>
      </c>
      <c r="AM49" s="45">
        <v>7</v>
      </c>
      <c r="AN49" s="45">
        <v>7</v>
      </c>
      <c r="AO49" s="45">
        <v>7</v>
      </c>
      <c r="AP49" s="45">
        <v>5</v>
      </c>
      <c r="AQ49" s="45" t="s">
        <v>116</v>
      </c>
      <c r="AR49" s="45" t="s">
        <v>117</v>
      </c>
      <c r="AS49" s="45" t="s">
        <v>117</v>
      </c>
      <c r="AT49" s="45" t="s">
        <v>116</v>
      </c>
      <c r="AU49" s="45">
        <v>6</v>
      </c>
      <c r="AV49" s="45">
        <v>7</v>
      </c>
      <c r="AW49" s="45" t="s">
        <v>251</v>
      </c>
      <c r="AX49" s="45">
        <v>6</v>
      </c>
      <c r="AY49" s="45">
        <v>6</v>
      </c>
      <c r="AZ49" s="45" t="s">
        <v>146</v>
      </c>
      <c r="BA49" s="45">
        <v>5</v>
      </c>
      <c r="BB49" s="45">
        <v>6</v>
      </c>
      <c r="BC49" s="45">
        <v>6</v>
      </c>
      <c r="BD49" s="45">
        <v>4</v>
      </c>
      <c r="BE49" s="45" t="s">
        <v>137</v>
      </c>
      <c r="BF49" s="45">
        <v>7</v>
      </c>
      <c r="BG49" s="45" t="s">
        <v>121</v>
      </c>
      <c r="BH49" s="45">
        <v>6</v>
      </c>
      <c r="BI49" s="45" t="s">
        <v>244</v>
      </c>
      <c r="BJ49" s="45" t="s">
        <v>139</v>
      </c>
      <c r="BK49" s="45" t="s">
        <v>196</v>
      </c>
      <c r="BL49" s="45" t="s">
        <v>177</v>
      </c>
      <c r="BM49" s="45" t="s">
        <v>248</v>
      </c>
      <c r="BN49" s="45" t="s">
        <v>187</v>
      </c>
    </row>
    <row r="50" spans="1:67" x14ac:dyDescent="0.25">
      <c r="A50" s="47">
        <v>46065.481855775462</v>
      </c>
      <c r="B50" s="45" t="s">
        <v>165</v>
      </c>
      <c r="C50" s="45" t="s">
        <v>148</v>
      </c>
      <c r="D50" s="45" t="s">
        <v>109</v>
      </c>
      <c r="E50" s="45" t="s">
        <v>109</v>
      </c>
      <c r="G50" s="45" t="s">
        <v>108</v>
      </c>
      <c r="H50" s="45" t="s">
        <v>108</v>
      </c>
      <c r="M50" s="45" t="s">
        <v>252</v>
      </c>
      <c r="N50" s="45" t="s">
        <v>111</v>
      </c>
      <c r="O50" s="45" t="s">
        <v>143</v>
      </c>
      <c r="P50" s="45" t="s">
        <v>143</v>
      </c>
      <c r="Q50" s="45" t="s">
        <v>133</v>
      </c>
      <c r="R50" s="45" t="s">
        <v>143</v>
      </c>
      <c r="S50" s="45" t="s">
        <v>132</v>
      </c>
      <c r="T50" s="45" t="s">
        <v>113</v>
      </c>
      <c r="U50" s="45" t="s">
        <v>113</v>
      </c>
      <c r="V50" s="45" t="s">
        <v>133</v>
      </c>
      <c r="W50" s="45" t="s">
        <v>133</v>
      </c>
      <c r="X50" s="45" t="s">
        <v>143</v>
      </c>
      <c r="Y50" s="45" t="s">
        <v>143</v>
      </c>
      <c r="Z50" s="45" t="s">
        <v>143</v>
      </c>
      <c r="AA50" s="45" t="s">
        <v>133</v>
      </c>
      <c r="AB50" s="45" t="s">
        <v>133</v>
      </c>
      <c r="AC50" s="45" t="s">
        <v>132</v>
      </c>
      <c r="AD50" s="45" t="s">
        <v>133</v>
      </c>
      <c r="AE50" s="45" t="s">
        <v>113</v>
      </c>
      <c r="AF50" s="45" t="s">
        <v>133</v>
      </c>
      <c r="AG50" s="45" t="s">
        <v>133</v>
      </c>
      <c r="AH50" s="45" t="s">
        <v>143</v>
      </c>
      <c r="AI50" s="45">
        <v>4</v>
      </c>
      <c r="AJ50" s="45" t="s">
        <v>191</v>
      </c>
      <c r="AK50" s="45" t="s">
        <v>134</v>
      </c>
      <c r="AL50" s="45">
        <v>6</v>
      </c>
      <c r="AM50" s="45">
        <v>6</v>
      </c>
      <c r="AN50" s="45">
        <v>7</v>
      </c>
      <c r="AO50" s="45">
        <v>5</v>
      </c>
      <c r="AP50" s="45">
        <v>5</v>
      </c>
      <c r="AQ50" s="45" t="s">
        <v>214</v>
      </c>
      <c r="AR50" s="45" t="s">
        <v>117</v>
      </c>
      <c r="AS50" s="45" t="s">
        <v>151</v>
      </c>
      <c r="AT50" s="45" t="s">
        <v>214</v>
      </c>
      <c r="AU50" s="45">
        <v>3</v>
      </c>
      <c r="AV50" s="45">
        <v>4</v>
      </c>
      <c r="AW50" s="45" t="s">
        <v>145</v>
      </c>
      <c r="AX50" s="45">
        <v>4</v>
      </c>
      <c r="AY50" s="45">
        <v>5</v>
      </c>
      <c r="AZ50" s="45" t="s">
        <v>136</v>
      </c>
      <c r="BA50" s="45">
        <v>6</v>
      </c>
      <c r="BB50" s="45">
        <v>6</v>
      </c>
      <c r="BC50" s="45">
        <v>4</v>
      </c>
      <c r="BD50" s="45">
        <v>2</v>
      </c>
      <c r="BE50" s="45" t="s">
        <v>137</v>
      </c>
      <c r="BF50" s="45">
        <v>7</v>
      </c>
      <c r="BG50" s="45" t="s">
        <v>121</v>
      </c>
      <c r="BH50" s="45">
        <v>6</v>
      </c>
      <c r="BI50" s="45" t="s">
        <v>195</v>
      </c>
      <c r="BJ50" s="45" t="s">
        <v>139</v>
      </c>
      <c r="BK50" s="45" t="s">
        <v>196</v>
      </c>
      <c r="BL50" s="45" t="s">
        <v>177</v>
      </c>
      <c r="BM50" s="45" t="s">
        <v>126</v>
      </c>
      <c r="BN50" s="45" t="s">
        <v>187</v>
      </c>
      <c r="BO50" s="45" t="s">
        <v>253</v>
      </c>
    </row>
    <row r="51" spans="1:67" x14ac:dyDescent="0.25">
      <c r="A51" s="47">
        <v>46065.503549733803</v>
      </c>
      <c r="B51" s="45" t="s">
        <v>129</v>
      </c>
      <c r="C51" s="45" t="s">
        <v>148</v>
      </c>
      <c r="F51" s="45" t="s">
        <v>109</v>
      </c>
      <c r="H51" s="45" t="s">
        <v>108</v>
      </c>
      <c r="J51" s="45" t="s">
        <v>108</v>
      </c>
      <c r="M51" s="45" t="s">
        <v>254</v>
      </c>
      <c r="N51" s="45" t="s">
        <v>111</v>
      </c>
      <c r="O51" s="45" t="s">
        <v>113</v>
      </c>
      <c r="P51" s="45" t="s">
        <v>113</v>
      </c>
      <c r="Q51" s="45" t="s">
        <v>132</v>
      </c>
      <c r="R51" s="45" t="s">
        <v>143</v>
      </c>
      <c r="S51" s="45" t="s">
        <v>132</v>
      </c>
      <c r="T51" s="45" t="s">
        <v>133</v>
      </c>
      <c r="U51" s="45" t="s">
        <v>133</v>
      </c>
      <c r="V51" s="45" t="s">
        <v>133</v>
      </c>
      <c r="W51" s="45" t="s">
        <v>133</v>
      </c>
      <c r="X51" s="45" t="s">
        <v>143</v>
      </c>
      <c r="Y51" s="45" t="s">
        <v>112</v>
      </c>
      <c r="Z51" s="45" t="s">
        <v>112</v>
      </c>
      <c r="AA51" s="45" t="s">
        <v>132</v>
      </c>
      <c r="AB51" s="45" t="s">
        <v>132</v>
      </c>
      <c r="AC51" s="45" t="s">
        <v>132</v>
      </c>
      <c r="AD51" s="45" t="s">
        <v>112</v>
      </c>
      <c r="AE51" s="45" t="s">
        <v>112</v>
      </c>
      <c r="AF51" s="45" t="s">
        <v>112</v>
      </c>
      <c r="AG51" s="45" t="s">
        <v>112</v>
      </c>
      <c r="AH51" s="45" t="s">
        <v>133</v>
      </c>
      <c r="AI51" s="45">
        <v>5</v>
      </c>
      <c r="AJ51" s="45" t="s">
        <v>114</v>
      </c>
      <c r="AK51" s="45" t="s">
        <v>115</v>
      </c>
      <c r="AL51" s="45">
        <v>7</v>
      </c>
      <c r="AM51" s="45">
        <v>7</v>
      </c>
      <c r="AN51" s="45">
        <v>7</v>
      </c>
      <c r="AO51" s="45">
        <v>5</v>
      </c>
      <c r="AP51" s="45">
        <v>6</v>
      </c>
      <c r="AQ51" s="45" t="s">
        <v>116</v>
      </c>
      <c r="AR51" s="45" t="s">
        <v>116</v>
      </c>
      <c r="AS51" s="45" t="s">
        <v>151</v>
      </c>
      <c r="AT51" s="45" t="s">
        <v>151</v>
      </c>
      <c r="AU51" s="45">
        <v>4</v>
      </c>
      <c r="AV51" s="45">
        <v>7</v>
      </c>
      <c r="AW51" s="45" t="s">
        <v>168</v>
      </c>
      <c r="AX51" s="45">
        <v>5</v>
      </c>
      <c r="AY51" s="45">
        <v>5</v>
      </c>
      <c r="AZ51" s="45" t="s">
        <v>136</v>
      </c>
      <c r="BA51" s="45">
        <v>6</v>
      </c>
      <c r="BB51" s="45">
        <v>6</v>
      </c>
      <c r="BC51" s="45">
        <v>3</v>
      </c>
      <c r="BD51" s="45">
        <v>1</v>
      </c>
      <c r="BE51" s="45" t="s">
        <v>137</v>
      </c>
      <c r="BF51" s="45">
        <v>4</v>
      </c>
      <c r="BG51" s="45" t="s">
        <v>121</v>
      </c>
      <c r="BH51" s="45">
        <v>4</v>
      </c>
      <c r="BI51" s="45" t="s">
        <v>221</v>
      </c>
      <c r="BJ51" s="45" t="s">
        <v>123</v>
      </c>
      <c r="BK51" s="45" t="s">
        <v>196</v>
      </c>
      <c r="BL51" s="45" t="s">
        <v>177</v>
      </c>
      <c r="BM51" s="45" t="s">
        <v>224</v>
      </c>
      <c r="BN51" s="45" t="s">
        <v>172</v>
      </c>
    </row>
    <row r="52" spans="1:67" x14ac:dyDescent="0.25">
      <c r="A52" s="47">
        <v>46065.528444178242</v>
      </c>
      <c r="B52" s="45" t="s">
        <v>147</v>
      </c>
      <c r="C52" s="45" t="s">
        <v>130</v>
      </c>
      <c r="F52" s="45" t="s">
        <v>109</v>
      </c>
      <c r="M52" s="45" t="s">
        <v>255</v>
      </c>
      <c r="N52" s="45" t="s">
        <v>161</v>
      </c>
      <c r="O52" s="45" t="s">
        <v>132</v>
      </c>
      <c r="P52" s="45" t="s">
        <v>132</v>
      </c>
      <c r="Q52" s="45" t="s">
        <v>132</v>
      </c>
      <c r="R52" s="45" t="s">
        <v>132</v>
      </c>
      <c r="S52" s="45" t="s">
        <v>132</v>
      </c>
      <c r="T52" s="45" t="s">
        <v>133</v>
      </c>
      <c r="U52" s="45" t="s">
        <v>133</v>
      </c>
      <c r="V52" s="45" t="s">
        <v>133</v>
      </c>
      <c r="W52" s="45" t="s">
        <v>143</v>
      </c>
      <c r="X52" s="45" t="s">
        <v>132</v>
      </c>
      <c r="Y52" s="45" t="s">
        <v>132</v>
      </c>
      <c r="Z52" s="45" t="s">
        <v>132</v>
      </c>
      <c r="AA52" s="45" t="s">
        <v>132</v>
      </c>
      <c r="AB52" s="45" t="s">
        <v>132</v>
      </c>
      <c r="AC52" s="45" t="s">
        <v>132</v>
      </c>
      <c r="AD52" s="45" t="s">
        <v>132</v>
      </c>
      <c r="AE52" s="45" t="s">
        <v>143</v>
      </c>
      <c r="AF52" s="45" t="s">
        <v>132</v>
      </c>
      <c r="AG52" s="45" t="s">
        <v>132</v>
      </c>
      <c r="AH52" s="45" t="s">
        <v>132</v>
      </c>
      <c r="AI52" s="45">
        <v>7</v>
      </c>
      <c r="AJ52" s="45" t="s">
        <v>150</v>
      </c>
      <c r="AK52" s="45" t="s">
        <v>239</v>
      </c>
      <c r="AL52" s="45">
        <v>6</v>
      </c>
      <c r="AM52" s="45">
        <v>6</v>
      </c>
      <c r="AN52" s="45">
        <v>3</v>
      </c>
      <c r="AO52" s="45">
        <v>2</v>
      </c>
      <c r="AP52" s="45">
        <v>7</v>
      </c>
      <c r="AQ52" s="45" t="s">
        <v>116</v>
      </c>
      <c r="AR52" s="45" t="s">
        <v>171</v>
      </c>
      <c r="AS52" s="45" t="s">
        <v>214</v>
      </c>
      <c r="AT52" s="45" t="s">
        <v>116</v>
      </c>
      <c r="AU52" s="45">
        <v>1</v>
      </c>
      <c r="AV52" s="45">
        <v>7</v>
      </c>
      <c r="AW52" s="45" t="s">
        <v>145</v>
      </c>
      <c r="AX52" s="45">
        <v>6</v>
      </c>
      <c r="AY52" s="45">
        <v>7</v>
      </c>
      <c r="AZ52" s="45" t="s">
        <v>234</v>
      </c>
      <c r="BA52" s="45">
        <v>6</v>
      </c>
      <c r="BB52" s="45">
        <v>7</v>
      </c>
      <c r="BC52" s="45">
        <v>7</v>
      </c>
      <c r="BD52" s="45">
        <v>5</v>
      </c>
      <c r="BE52" s="45" t="s">
        <v>137</v>
      </c>
      <c r="BF52" s="45">
        <v>4</v>
      </c>
      <c r="BG52" s="45" t="s">
        <v>121</v>
      </c>
      <c r="BH52" s="45">
        <v>7</v>
      </c>
      <c r="BI52" s="45" t="s">
        <v>122</v>
      </c>
      <c r="BJ52" s="45" t="s">
        <v>139</v>
      </c>
      <c r="BK52" s="45" t="s">
        <v>196</v>
      </c>
      <c r="BL52" s="45" t="s">
        <v>177</v>
      </c>
      <c r="BM52" s="45" t="s">
        <v>126</v>
      </c>
      <c r="BN52" s="45" t="s">
        <v>172</v>
      </c>
    </row>
    <row r="53" spans="1:67" x14ac:dyDescent="0.25">
      <c r="A53" s="47">
        <v>46065.622051874998</v>
      </c>
      <c r="B53" s="45" t="s">
        <v>129</v>
      </c>
      <c r="C53" s="45" t="s">
        <v>107</v>
      </c>
      <c r="F53" s="45" t="s">
        <v>109</v>
      </c>
      <c r="L53" s="45" t="s">
        <v>108</v>
      </c>
      <c r="M53" s="45" t="s">
        <v>256</v>
      </c>
      <c r="N53" s="45" t="s">
        <v>111</v>
      </c>
      <c r="O53" s="45" t="s">
        <v>132</v>
      </c>
      <c r="P53" s="45" t="s">
        <v>132</v>
      </c>
      <c r="Q53" s="45" t="s">
        <v>132</v>
      </c>
      <c r="R53" s="45" t="s">
        <v>132</v>
      </c>
      <c r="S53" s="45" t="s">
        <v>133</v>
      </c>
      <c r="T53" s="45" t="s">
        <v>133</v>
      </c>
      <c r="U53" s="45" t="s">
        <v>133</v>
      </c>
      <c r="V53" s="45" t="s">
        <v>133</v>
      </c>
      <c r="W53" s="45" t="s">
        <v>133</v>
      </c>
      <c r="X53" s="45" t="s">
        <v>132</v>
      </c>
      <c r="Y53" s="45" t="s">
        <v>132</v>
      </c>
      <c r="Z53" s="45" t="s">
        <v>132</v>
      </c>
      <c r="AA53" s="45" t="s">
        <v>132</v>
      </c>
      <c r="AB53" s="45" t="s">
        <v>132</v>
      </c>
      <c r="AC53" s="45" t="s">
        <v>133</v>
      </c>
      <c r="AD53" s="45" t="s">
        <v>133</v>
      </c>
      <c r="AE53" s="45" t="s">
        <v>133</v>
      </c>
      <c r="AF53" s="45" t="s">
        <v>133</v>
      </c>
      <c r="AG53" s="45" t="s">
        <v>133</v>
      </c>
      <c r="AH53" s="45" t="s">
        <v>132</v>
      </c>
      <c r="AI53" s="45">
        <v>7</v>
      </c>
      <c r="AJ53" s="45" t="s">
        <v>114</v>
      </c>
      <c r="AK53" s="45" t="s">
        <v>134</v>
      </c>
      <c r="AL53" s="45">
        <v>4</v>
      </c>
      <c r="AM53" s="45">
        <v>7</v>
      </c>
      <c r="AN53" s="45">
        <v>7</v>
      </c>
      <c r="AO53" s="45">
        <v>6</v>
      </c>
      <c r="AP53" s="45">
        <v>7</v>
      </c>
      <c r="AQ53" s="45" t="s">
        <v>116</v>
      </c>
      <c r="AR53" s="45" t="s">
        <v>116</v>
      </c>
      <c r="AS53" s="45" t="s">
        <v>116</v>
      </c>
      <c r="AT53" s="45" t="s">
        <v>116</v>
      </c>
      <c r="AU53" s="45">
        <v>3</v>
      </c>
      <c r="AV53" s="45">
        <v>7</v>
      </c>
      <c r="AW53" s="45" t="s">
        <v>118</v>
      </c>
      <c r="AX53" s="45">
        <v>7</v>
      </c>
      <c r="AY53" s="45">
        <v>7</v>
      </c>
      <c r="AZ53" s="45" t="s">
        <v>146</v>
      </c>
      <c r="BA53" s="45">
        <v>5</v>
      </c>
      <c r="BB53" s="45">
        <v>7</v>
      </c>
      <c r="BC53" s="45">
        <v>2</v>
      </c>
      <c r="BD53" s="45">
        <v>1</v>
      </c>
      <c r="BE53" s="45" t="s">
        <v>137</v>
      </c>
      <c r="BF53" s="45">
        <v>4</v>
      </c>
      <c r="BG53" s="45" t="s">
        <v>121</v>
      </c>
      <c r="BH53" s="45">
        <v>6</v>
      </c>
      <c r="BI53" s="45" t="s">
        <v>221</v>
      </c>
      <c r="BJ53" s="45" t="s">
        <v>139</v>
      </c>
      <c r="BK53" s="45" t="s">
        <v>176</v>
      </c>
      <c r="BL53" s="45" t="s">
        <v>177</v>
      </c>
      <c r="BM53" s="45" t="s">
        <v>126</v>
      </c>
      <c r="BN53" s="45" t="s">
        <v>127</v>
      </c>
    </row>
    <row r="54" spans="1:67" x14ac:dyDescent="0.25">
      <c r="A54" s="47">
        <v>46065.636978333343</v>
      </c>
      <c r="B54" s="45" t="s">
        <v>184</v>
      </c>
      <c r="C54" s="45" t="s">
        <v>148</v>
      </c>
      <c r="D54" s="45" t="s">
        <v>108</v>
      </c>
      <c r="E54" s="45" t="s">
        <v>180</v>
      </c>
      <c r="F54" s="45" t="s">
        <v>108</v>
      </c>
      <c r="G54" s="45" t="s">
        <v>108</v>
      </c>
      <c r="M54" s="45" t="s">
        <v>257</v>
      </c>
      <c r="N54" s="45" t="s">
        <v>111</v>
      </c>
      <c r="O54" s="45" t="s">
        <v>132</v>
      </c>
      <c r="P54" s="45" t="s">
        <v>132</v>
      </c>
      <c r="Q54" s="45" t="s">
        <v>143</v>
      </c>
      <c r="R54" s="45" t="s">
        <v>132</v>
      </c>
      <c r="S54" s="45" t="s">
        <v>133</v>
      </c>
      <c r="T54" s="45" t="s">
        <v>133</v>
      </c>
      <c r="U54" s="45" t="s">
        <v>133</v>
      </c>
      <c r="V54" s="45" t="s">
        <v>133</v>
      </c>
      <c r="W54" s="45" t="s">
        <v>133</v>
      </c>
      <c r="X54" s="45" t="s">
        <v>133</v>
      </c>
      <c r="Y54" s="45" t="s">
        <v>132</v>
      </c>
      <c r="Z54" s="45" t="s">
        <v>132</v>
      </c>
      <c r="AA54" s="45" t="s">
        <v>143</v>
      </c>
      <c r="AB54" s="45" t="s">
        <v>132</v>
      </c>
      <c r="AC54" s="45" t="s">
        <v>133</v>
      </c>
      <c r="AD54" s="45" t="s">
        <v>132</v>
      </c>
      <c r="AE54" s="45" t="s">
        <v>132</v>
      </c>
      <c r="AF54" s="45" t="s">
        <v>132</v>
      </c>
      <c r="AG54" s="45" t="s">
        <v>132</v>
      </c>
      <c r="AH54" s="45" t="s">
        <v>132</v>
      </c>
      <c r="AI54" s="45">
        <v>7</v>
      </c>
      <c r="AJ54" s="45" t="s">
        <v>150</v>
      </c>
      <c r="AK54" s="45" t="s">
        <v>174</v>
      </c>
      <c r="AL54" s="45">
        <v>4</v>
      </c>
      <c r="AM54" s="45">
        <v>7</v>
      </c>
      <c r="AN54" s="45">
        <v>7</v>
      </c>
      <c r="AO54" s="45">
        <v>5</v>
      </c>
      <c r="AP54" s="45">
        <v>7</v>
      </c>
      <c r="AQ54" s="45" t="s">
        <v>116</v>
      </c>
      <c r="AR54" s="45" t="s">
        <v>116</v>
      </c>
      <c r="AS54" s="45" t="s">
        <v>151</v>
      </c>
      <c r="AT54" s="45" t="s">
        <v>116</v>
      </c>
      <c r="AU54" s="45">
        <v>2</v>
      </c>
      <c r="AV54" s="45">
        <v>1</v>
      </c>
      <c r="AW54" s="45" t="s">
        <v>145</v>
      </c>
      <c r="AX54" s="45">
        <v>7</v>
      </c>
      <c r="AY54" s="45">
        <v>7</v>
      </c>
      <c r="AZ54" s="45" t="s">
        <v>146</v>
      </c>
      <c r="BA54" s="45">
        <v>5</v>
      </c>
      <c r="BB54" s="45">
        <v>4</v>
      </c>
      <c r="BC54" s="45">
        <v>4</v>
      </c>
      <c r="BD54" s="45">
        <v>5</v>
      </c>
      <c r="BE54" s="45" t="s">
        <v>258</v>
      </c>
      <c r="BF54" s="45">
        <v>7</v>
      </c>
      <c r="BG54" s="45" t="s">
        <v>121</v>
      </c>
      <c r="BH54" s="45">
        <v>5</v>
      </c>
      <c r="BI54" s="45" t="s">
        <v>221</v>
      </c>
      <c r="BJ54" s="45" t="s">
        <v>139</v>
      </c>
      <c r="BK54" s="45" t="s">
        <v>196</v>
      </c>
      <c r="BL54" s="45" t="s">
        <v>177</v>
      </c>
      <c r="BM54" s="45" t="s">
        <v>259</v>
      </c>
      <c r="BN54" s="45" t="s">
        <v>187</v>
      </c>
    </row>
    <row r="55" spans="1:67" x14ac:dyDescent="0.25">
      <c r="A55" s="47">
        <v>46065.721003391212</v>
      </c>
      <c r="B55" s="45" t="s">
        <v>129</v>
      </c>
      <c r="C55" s="45" t="s">
        <v>130</v>
      </c>
      <c r="E55" s="45" t="s">
        <v>109</v>
      </c>
      <c r="F55" s="45" t="s">
        <v>108</v>
      </c>
      <c r="K55" s="45" t="s">
        <v>109</v>
      </c>
      <c r="M55" s="45" t="s">
        <v>260</v>
      </c>
      <c r="N55" s="45" t="s">
        <v>111</v>
      </c>
      <c r="O55" s="45" t="s">
        <v>143</v>
      </c>
      <c r="P55" s="45" t="s">
        <v>143</v>
      </c>
      <c r="Q55" s="45" t="s">
        <v>143</v>
      </c>
      <c r="R55" s="45" t="s">
        <v>143</v>
      </c>
      <c r="S55" s="45" t="s">
        <v>133</v>
      </c>
      <c r="T55" s="45" t="s">
        <v>133</v>
      </c>
      <c r="U55" s="45" t="s">
        <v>133</v>
      </c>
      <c r="V55" s="45" t="s">
        <v>133</v>
      </c>
      <c r="W55" s="45" t="s">
        <v>133</v>
      </c>
      <c r="X55" s="45" t="s">
        <v>143</v>
      </c>
      <c r="Y55" s="45" t="s">
        <v>143</v>
      </c>
      <c r="Z55" s="45" t="s">
        <v>143</v>
      </c>
      <c r="AA55" s="45" t="s">
        <v>143</v>
      </c>
      <c r="AB55" s="45" t="s">
        <v>143</v>
      </c>
      <c r="AC55" s="45" t="s">
        <v>133</v>
      </c>
      <c r="AD55" s="45" t="s">
        <v>133</v>
      </c>
      <c r="AE55" s="45" t="s">
        <v>133</v>
      </c>
      <c r="AF55" s="45" t="s">
        <v>133</v>
      </c>
      <c r="AG55" s="45" t="s">
        <v>133</v>
      </c>
      <c r="AH55" s="45" t="s">
        <v>143</v>
      </c>
      <c r="AI55" s="45">
        <v>6</v>
      </c>
      <c r="AJ55" s="45" t="s">
        <v>191</v>
      </c>
      <c r="AK55" s="45" t="s">
        <v>115</v>
      </c>
      <c r="AL55" s="45">
        <v>5</v>
      </c>
      <c r="AM55" s="45">
        <v>6</v>
      </c>
      <c r="AN55" s="45">
        <v>6</v>
      </c>
      <c r="AO55" s="45">
        <v>5</v>
      </c>
      <c r="AP55" s="45">
        <v>6</v>
      </c>
      <c r="AQ55" s="45" t="s">
        <v>117</v>
      </c>
      <c r="AR55" s="45" t="s">
        <v>117</v>
      </c>
      <c r="AS55" s="45" t="s">
        <v>117</v>
      </c>
      <c r="AT55" s="45" t="s">
        <v>117</v>
      </c>
      <c r="AU55" s="45">
        <v>6</v>
      </c>
      <c r="AV55" s="45">
        <v>6</v>
      </c>
      <c r="AW55" s="45" t="s">
        <v>118</v>
      </c>
      <c r="AX55" s="45">
        <v>4</v>
      </c>
      <c r="AY55" s="45">
        <v>5</v>
      </c>
      <c r="AZ55" s="45" t="s">
        <v>136</v>
      </c>
      <c r="BA55" s="45">
        <v>5</v>
      </c>
      <c r="BB55" s="45">
        <v>5</v>
      </c>
      <c r="BC55" s="45">
        <v>3</v>
      </c>
      <c r="BD55" s="45">
        <v>1</v>
      </c>
      <c r="BE55" s="45" t="s">
        <v>137</v>
      </c>
      <c r="BF55" s="45">
        <v>6</v>
      </c>
      <c r="BG55" s="45" t="s">
        <v>121</v>
      </c>
      <c r="BH55" s="45">
        <v>5</v>
      </c>
      <c r="BI55" s="45" t="s">
        <v>221</v>
      </c>
      <c r="BJ55" s="45" t="s">
        <v>139</v>
      </c>
      <c r="BK55" s="45" t="s">
        <v>196</v>
      </c>
      <c r="BL55" s="45" t="s">
        <v>177</v>
      </c>
      <c r="BM55" s="45" t="s">
        <v>126</v>
      </c>
      <c r="BN55" s="45" t="s">
        <v>172</v>
      </c>
    </row>
    <row r="56" spans="1:67" x14ac:dyDescent="0.25">
      <c r="A56" s="47">
        <v>46065.867774120372</v>
      </c>
      <c r="B56" s="45" t="s">
        <v>184</v>
      </c>
      <c r="C56" s="45" t="s">
        <v>148</v>
      </c>
      <c r="F56" s="45" t="s">
        <v>109</v>
      </c>
      <c r="G56" s="45" t="s">
        <v>109</v>
      </c>
      <c r="K56" s="45" t="s">
        <v>109</v>
      </c>
      <c r="M56" s="45" t="s">
        <v>261</v>
      </c>
      <c r="N56" s="45" t="s">
        <v>111</v>
      </c>
      <c r="O56" s="45" t="s">
        <v>143</v>
      </c>
      <c r="P56" s="45" t="s">
        <v>143</v>
      </c>
      <c r="Q56" s="45" t="s">
        <v>143</v>
      </c>
      <c r="R56" s="45" t="s">
        <v>143</v>
      </c>
      <c r="S56" s="45" t="s">
        <v>113</v>
      </c>
      <c r="T56" s="45" t="s">
        <v>113</v>
      </c>
      <c r="U56" s="45" t="s">
        <v>113</v>
      </c>
      <c r="V56" s="45" t="s">
        <v>113</v>
      </c>
      <c r="W56" s="45" t="s">
        <v>112</v>
      </c>
      <c r="X56" s="45" t="s">
        <v>143</v>
      </c>
      <c r="Y56" s="45" t="s">
        <v>133</v>
      </c>
      <c r="Z56" s="45" t="s">
        <v>143</v>
      </c>
      <c r="AA56" s="45" t="s">
        <v>143</v>
      </c>
      <c r="AB56" s="45" t="s">
        <v>143</v>
      </c>
      <c r="AC56" s="45" t="s">
        <v>133</v>
      </c>
      <c r="AD56" s="45" t="s">
        <v>133</v>
      </c>
      <c r="AE56" s="45" t="s">
        <v>113</v>
      </c>
      <c r="AF56" s="45" t="s">
        <v>133</v>
      </c>
      <c r="AG56" s="45" t="s">
        <v>113</v>
      </c>
      <c r="AH56" s="45" t="s">
        <v>132</v>
      </c>
      <c r="AI56" s="45">
        <v>3</v>
      </c>
      <c r="AJ56" s="45" t="s">
        <v>114</v>
      </c>
      <c r="AK56" s="45" t="s">
        <v>115</v>
      </c>
      <c r="AL56" s="45">
        <v>6</v>
      </c>
      <c r="AM56" s="45">
        <v>6</v>
      </c>
      <c r="AN56" s="45">
        <v>4</v>
      </c>
      <c r="AO56" s="45">
        <v>6</v>
      </c>
      <c r="AP56" s="45">
        <v>5</v>
      </c>
      <c r="AQ56" s="45" t="s">
        <v>117</v>
      </c>
      <c r="AR56" s="45" t="s">
        <v>151</v>
      </c>
      <c r="AS56" s="45" t="s">
        <v>117</v>
      </c>
      <c r="AT56" s="45" t="s">
        <v>117</v>
      </c>
      <c r="AU56" s="45">
        <v>4</v>
      </c>
      <c r="AV56" s="45">
        <v>6</v>
      </c>
      <c r="AW56" s="45" t="s">
        <v>210</v>
      </c>
      <c r="AX56" s="45">
        <v>5</v>
      </c>
      <c r="AY56" s="45">
        <v>5</v>
      </c>
      <c r="AZ56" s="45" t="s">
        <v>146</v>
      </c>
      <c r="BA56" s="45">
        <v>5</v>
      </c>
      <c r="BB56" s="45">
        <v>5</v>
      </c>
      <c r="BC56" s="45">
        <v>4</v>
      </c>
      <c r="BD56" s="45">
        <v>4</v>
      </c>
      <c r="BE56" s="45" t="s">
        <v>137</v>
      </c>
      <c r="BF56" s="45">
        <v>4</v>
      </c>
      <c r="BG56" s="45" t="s">
        <v>121</v>
      </c>
      <c r="BH56" s="45">
        <v>6</v>
      </c>
      <c r="BI56" s="45" t="s">
        <v>195</v>
      </c>
      <c r="BJ56" s="45" t="s">
        <v>139</v>
      </c>
      <c r="BK56" s="45" t="s">
        <v>196</v>
      </c>
      <c r="BL56" s="45" t="s">
        <v>177</v>
      </c>
      <c r="BM56" s="45" t="s">
        <v>248</v>
      </c>
      <c r="BN56" s="45" t="s">
        <v>187</v>
      </c>
    </row>
    <row r="57" spans="1:67" x14ac:dyDescent="0.25">
      <c r="A57" s="47">
        <v>46066.609131712961</v>
      </c>
      <c r="B57" s="45" t="s">
        <v>184</v>
      </c>
      <c r="C57" s="45" t="s">
        <v>107</v>
      </c>
      <c r="F57" s="45" t="s">
        <v>108</v>
      </c>
      <c r="G57" s="45" t="s">
        <v>108</v>
      </c>
      <c r="M57" s="45" t="s">
        <v>262</v>
      </c>
      <c r="N57" s="45" t="s">
        <v>111</v>
      </c>
      <c r="O57" s="45" t="s">
        <v>143</v>
      </c>
      <c r="P57" s="45" t="s">
        <v>143</v>
      </c>
      <c r="Q57" s="45" t="s">
        <v>143</v>
      </c>
      <c r="R57" s="45" t="s">
        <v>112</v>
      </c>
      <c r="S57" s="45" t="s">
        <v>132</v>
      </c>
      <c r="T57" s="45" t="s">
        <v>143</v>
      </c>
      <c r="U57" s="45" t="s">
        <v>112</v>
      </c>
      <c r="V57" s="45" t="s">
        <v>112</v>
      </c>
      <c r="W57" s="45" t="s">
        <v>113</v>
      </c>
      <c r="X57" s="45" t="s">
        <v>143</v>
      </c>
      <c r="Y57" s="45" t="s">
        <v>143</v>
      </c>
      <c r="Z57" s="45" t="s">
        <v>143</v>
      </c>
      <c r="AA57" s="45" t="s">
        <v>132</v>
      </c>
      <c r="AB57" s="45" t="s">
        <v>112</v>
      </c>
      <c r="AC57" s="45" t="s">
        <v>113</v>
      </c>
      <c r="AD57" s="45" t="s">
        <v>133</v>
      </c>
      <c r="AE57" s="45" t="s">
        <v>112</v>
      </c>
      <c r="AF57" s="45" t="s">
        <v>112</v>
      </c>
      <c r="AG57" s="45" t="s">
        <v>113</v>
      </c>
      <c r="AH57" s="45" t="s">
        <v>133</v>
      </c>
      <c r="AI57" s="45">
        <v>6</v>
      </c>
      <c r="AJ57" s="45" t="s">
        <v>191</v>
      </c>
      <c r="AK57" s="45" t="s">
        <v>134</v>
      </c>
      <c r="AL57" s="45">
        <v>4</v>
      </c>
      <c r="AM57" s="45">
        <v>7</v>
      </c>
      <c r="AN57" s="45">
        <v>7</v>
      </c>
      <c r="AO57" s="45">
        <v>6</v>
      </c>
      <c r="AP57" s="45">
        <v>2</v>
      </c>
      <c r="AQ57" s="45" t="s">
        <v>117</v>
      </c>
      <c r="AR57" s="45" t="s">
        <v>116</v>
      </c>
      <c r="AS57" s="45" t="s">
        <v>117</v>
      </c>
      <c r="AT57" s="45" t="s">
        <v>151</v>
      </c>
      <c r="AU57" s="45">
        <v>1</v>
      </c>
      <c r="AV57" s="45">
        <v>5</v>
      </c>
      <c r="AW57" s="45" t="s">
        <v>145</v>
      </c>
      <c r="AX57" s="45">
        <v>7</v>
      </c>
      <c r="AY57" s="45">
        <v>7</v>
      </c>
      <c r="AZ57" s="45" t="s">
        <v>169</v>
      </c>
      <c r="BA57" s="45">
        <v>7</v>
      </c>
      <c r="BB57" s="45">
        <v>7</v>
      </c>
      <c r="BC57" s="45">
        <v>3</v>
      </c>
      <c r="BD57" s="45">
        <v>2</v>
      </c>
      <c r="BE57" s="45" t="s">
        <v>159</v>
      </c>
      <c r="BF57" s="45">
        <v>2</v>
      </c>
      <c r="BG57" s="45" t="s">
        <v>121</v>
      </c>
      <c r="BH57" s="45">
        <v>5</v>
      </c>
      <c r="BI57" s="45" t="s">
        <v>138</v>
      </c>
      <c r="BJ57" s="45" t="s">
        <v>139</v>
      </c>
      <c r="BK57" s="45" t="s">
        <v>140</v>
      </c>
      <c r="BL57" s="45" t="s">
        <v>125</v>
      </c>
      <c r="BM57" s="45" t="s">
        <v>263</v>
      </c>
      <c r="BN57" s="45" t="s">
        <v>172</v>
      </c>
    </row>
    <row r="58" spans="1:67" x14ac:dyDescent="0.25">
      <c r="A58" s="47">
        <v>46072.602245347232</v>
      </c>
      <c r="B58" s="45" t="s">
        <v>226</v>
      </c>
      <c r="BI58" s="45" t="s">
        <v>138</v>
      </c>
      <c r="BJ58" s="45" t="s">
        <v>123</v>
      </c>
      <c r="BK58" s="45" t="s">
        <v>140</v>
      </c>
      <c r="BL58" s="45" t="s">
        <v>141</v>
      </c>
      <c r="BM58" s="45" t="s">
        <v>126</v>
      </c>
      <c r="BN58" s="45" t="s">
        <v>172</v>
      </c>
    </row>
    <row r="59" spans="1:67" x14ac:dyDescent="0.25">
      <c r="A59" s="47">
        <v>46072.736240092592</v>
      </c>
      <c r="B59" s="45" t="s">
        <v>165</v>
      </c>
      <c r="C59" s="45" t="s">
        <v>130</v>
      </c>
      <c r="E59" s="45" t="s">
        <v>109</v>
      </c>
      <c r="M59" s="45" t="s">
        <v>264</v>
      </c>
      <c r="N59" s="45" t="s">
        <v>111</v>
      </c>
      <c r="O59" s="45" t="s">
        <v>143</v>
      </c>
      <c r="P59" s="45" t="s">
        <v>132</v>
      </c>
      <c r="Q59" s="45" t="s">
        <v>132</v>
      </c>
      <c r="R59" s="45" t="s">
        <v>132</v>
      </c>
      <c r="S59" s="45" t="s">
        <v>143</v>
      </c>
      <c r="T59" s="45" t="s">
        <v>143</v>
      </c>
      <c r="U59" s="45" t="s">
        <v>132</v>
      </c>
      <c r="V59" s="45" t="s">
        <v>143</v>
      </c>
      <c r="W59" s="45" t="s">
        <v>133</v>
      </c>
      <c r="X59" s="45" t="s">
        <v>143</v>
      </c>
      <c r="Y59" s="45" t="s">
        <v>132</v>
      </c>
      <c r="Z59" s="45" t="s">
        <v>143</v>
      </c>
      <c r="AA59" s="45" t="s">
        <v>132</v>
      </c>
      <c r="AB59" s="45" t="s">
        <v>132</v>
      </c>
      <c r="AC59" s="45" t="s">
        <v>143</v>
      </c>
      <c r="AD59" s="45" t="s">
        <v>143</v>
      </c>
      <c r="AE59" s="45" t="s">
        <v>143</v>
      </c>
      <c r="AF59" s="45" t="s">
        <v>143</v>
      </c>
      <c r="AG59" s="45" t="s">
        <v>133</v>
      </c>
      <c r="AH59" s="45" t="s">
        <v>132</v>
      </c>
      <c r="AI59" s="45">
        <v>6</v>
      </c>
      <c r="AJ59" s="45" t="s">
        <v>150</v>
      </c>
      <c r="AK59" s="45" t="s">
        <v>134</v>
      </c>
      <c r="AL59" s="45">
        <v>4</v>
      </c>
      <c r="AM59" s="45">
        <v>5</v>
      </c>
      <c r="AN59" s="45">
        <v>5</v>
      </c>
      <c r="AO59" s="45">
        <v>6</v>
      </c>
      <c r="AP59" s="45">
        <v>6</v>
      </c>
      <c r="AQ59" s="45" t="s">
        <v>117</v>
      </c>
      <c r="AR59" s="45" t="s">
        <v>214</v>
      </c>
      <c r="AS59" s="45" t="s">
        <v>117</v>
      </c>
      <c r="AT59" s="45" t="s">
        <v>117</v>
      </c>
      <c r="AU59" s="45">
        <v>2</v>
      </c>
      <c r="AV59" s="45">
        <v>6</v>
      </c>
      <c r="AW59" s="45" t="s">
        <v>210</v>
      </c>
      <c r="AX59" s="45">
        <v>6</v>
      </c>
      <c r="AY59" s="45">
        <v>5</v>
      </c>
      <c r="AZ59" s="45" t="s">
        <v>155</v>
      </c>
      <c r="BA59" s="45">
        <v>2</v>
      </c>
      <c r="BB59" s="45">
        <v>5</v>
      </c>
      <c r="BC59" s="45">
        <v>5</v>
      </c>
      <c r="BD59" s="45">
        <v>3</v>
      </c>
      <c r="BE59" s="45" t="s">
        <v>137</v>
      </c>
      <c r="BF59" s="45">
        <v>6</v>
      </c>
      <c r="BG59" s="45" t="s">
        <v>121</v>
      </c>
      <c r="BH59" s="45">
        <v>5</v>
      </c>
      <c r="BI59" s="45" t="s">
        <v>138</v>
      </c>
      <c r="BJ59" s="45" t="s">
        <v>123</v>
      </c>
      <c r="BK59" s="45" t="s">
        <v>140</v>
      </c>
      <c r="BL59" s="45" t="s">
        <v>141</v>
      </c>
      <c r="BM59" s="45" t="s">
        <v>126</v>
      </c>
      <c r="BN59" s="45" t="s">
        <v>127</v>
      </c>
    </row>
    <row r="60" spans="1:67" x14ac:dyDescent="0.25">
      <c r="A60" s="47">
        <v>46072.741909942131</v>
      </c>
      <c r="B60" s="45" t="s">
        <v>129</v>
      </c>
      <c r="C60" s="45" t="s">
        <v>148</v>
      </c>
      <c r="E60" s="45" t="s">
        <v>109</v>
      </c>
      <c r="M60" s="45" t="s">
        <v>153</v>
      </c>
      <c r="N60" s="45" t="s">
        <v>111</v>
      </c>
      <c r="O60" s="45" t="s">
        <v>143</v>
      </c>
      <c r="P60" s="45" t="s">
        <v>132</v>
      </c>
      <c r="Q60" s="45" t="s">
        <v>143</v>
      </c>
      <c r="R60" s="45" t="s">
        <v>143</v>
      </c>
      <c r="S60" s="45" t="s">
        <v>143</v>
      </c>
      <c r="T60" s="45" t="s">
        <v>133</v>
      </c>
      <c r="U60" s="45" t="s">
        <v>133</v>
      </c>
      <c r="V60" s="45" t="s">
        <v>133</v>
      </c>
      <c r="W60" s="45" t="s">
        <v>143</v>
      </c>
      <c r="X60" s="45" t="s">
        <v>132</v>
      </c>
      <c r="Y60" s="45" t="s">
        <v>132</v>
      </c>
      <c r="Z60" s="45" t="s">
        <v>132</v>
      </c>
      <c r="AA60" s="45" t="s">
        <v>132</v>
      </c>
      <c r="AB60" s="45" t="s">
        <v>132</v>
      </c>
      <c r="AC60" s="45" t="s">
        <v>133</v>
      </c>
      <c r="AD60" s="45" t="s">
        <v>143</v>
      </c>
      <c r="AE60" s="45" t="s">
        <v>133</v>
      </c>
      <c r="AF60" s="45" t="s">
        <v>133</v>
      </c>
      <c r="AG60" s="45" t="s">
        <v>143</v>
      </c>
      <c r="AH60" s="45" t="s">
        <v>143</v>
      </c>
      <c r="AI60" s="45">
        <v>6</v>
      </c>
      <c r="AJ60" s="45" t="s">
        <v>167</v>
      </c>
      <c r="AK60" s="45" t="s">
        <v>174</v>
      </c>
      <c r="AL60" s="45">
        <v>5</v>
      </c>
      <c r="AM60" s="45">
        <v>6</v>
      </c>
      <c r="AN60" s="45">
        <v>7</v>
      </c>
      <c r="AO60" s="45">
        <v>7</v>
      </c>
      <c r="AP60" s="45">
        <v>4</v>
      </c>
      <c r="AQ60" s="45" t="s">
        <v>116</v>
      </c>
      <c r="AR60" s="45" t="s">
        <v>116</v>
      </c>
      <c r="AS60" s="45" t="s">
        <v>151</v>
      </c>
      <c r="AT60" s="45" t="s">
        <v>151</v>
      </c>
      <c r="AU60" s="45">
        <v>3</v>
      </c>
      <c r="AV60" s="45">
        <v>3</v>
      </c>
      <c r="AW60" s="45" t="s">
        <v>154</v>
      </c>
      <c r="AX60" s="45">
        <v>5</v>
      </c>
      <c r="AY60" s="45">
        <v>4</v>
      </c>
      <c r="AZ60" s="45" t="s">
        <v>119</v>
      </c>
      <c r="BA60" s="45">
        <v>6</v>
      </c>
      <c r="BB60" s="45">
        <v>7</v>
      </c>
      <c r="BC60" s="45">
        <v>4</v>
      </c>
      <c r="BD60" s="45">
        <v>3</v>
      </c>
      <c r="BE60" s="45" t="s">
        <v>159</v>
      </c>
      <c r="BF60" s="45">
        <v>5</v>
      </c>
      <c r="BG60" s="45" t="s">
        <v>121</v>
      </c>
      <c r="BH60" s="45">
        <v>6</v>
      </c>
      <c r="BI60" s="45" t="s">
        <v>221</v>
      </c>
      <c r="BJ60" s="45" t="s">
        <v>123</v>
      </c>
      <c r="BK60" s="45" t="s">
        <v>196</v>
      </c>
      <c r="BL60" s="45" t="s">
        <v>177</v>
      </c>
      <c r="BM60" s="45" t="s">
        <v>126</v>
      </c>
      <c r="BN60" s="45" t="s">
        <v>127</v>
      </c>
    </row>
    <row r="61" spans="1:67" x14ac:dyDescent="0.25">
      <c r="A61" s="47">
        <v>46072.757844004627</v>
      </c>
      <c r="B61" s="45" t="s">
        <v>129</v>
      </c>
      <c r="C61" s="45" t="s">
        <v>130</v>
      </c>
      <c r="D61" s="45" t="s">
        <v>109</v>
      </c>
      <c r="E61" s="45" t="s">
        <v>109</v>
      </c>
      <c r="F61" s="45" t="s">
        <v>108</v>
      </c>
      <c r="G61" s="45" t="s">
        <v>108</v>
      </c>
      <c r="H61" s="45" t="s">
        <v>108</v>
      </c>
      <c r="I61" s="45" t="s">
        <v>108</v>
      </c>
      <c r="J61" s="45" t="s">
        <v>108</v>
      </c>
      <c r="K61" s="45" t="s">
        <v>109</v>
      </c>
      <c r="L61" s="45" t="s">
        <v>108</v>
      </c>
      <c r="M61" s="45" t="s">
        <v>265</v>
      </c>
      <c r="N61" s="45" t="s">
        <v>111</v>
      </c>
      <c r="O61" s="45" t="s">
        <v>143</v>
      </c>
      <c r="P61" s="45" t="s">
        <v>143</v>
      </c>
      <c r="Q61" s="45" t="s">
        <v>143</v>
      </c>
      <c r="R61" s="45" t="s">
        <v>143</v>
      </c>
      <c r="S61" s="45" t="s">
        <v>133</v>
      </c>
      <c r="T61" s="45" t="s">
        <v>133</v>
      </c>
      <c r="U61" s="45" t="s">
        <v>112</v>
      </c>
      <c r="V61" s="45" t="s">
        <v>112</v>
      </c>
      <c r="W61" s="45" t="s">
        <v>112</v>
      </c>
      <c r="X61" s="45" t="s">
        <v>143</v>
      </c>
      <c r="Y61" s="45" t="s">
        <v>143</v>
      </c>
      <c r="Z61" s="45" t="s">
        <v>143</v>
      </c>
      <c r="AA61" s="45" t="s">
        <v>143</v>
      </c>
      <c r="AB61" s="45" t="s">
        <v>143</v>
      </c>
      <c r="AC61" s="45" t="s">
        <v>133</v>
      </c>
      <c r="AD61" s="45" t="s">
        <v>133</v>
      </c>
      <c r="AE61" s="45" t="s">
        <v>112</v>
      </c>
      <c r="AF61" s="45" t="s">
        <v>112</v>
      </c>
      <c r="AG61" s="45" t="s">
        <v>112</v>
      </c>
      <c r="AH61" s="45" t="s">
        <v>143</v>
      </c>
      <c r="AI61" s="45">
        <v>5</v>
      </c>
      <c r="AJ61" s="45" t="s">
        <v>191</v>
      </c>
      <c r="AK61" s="45" t="s">
        <v>115</v>
      </c>
      <c r="AL61" s="45">
        <v>4</v>
      </c>
      <c r="AM61" s="45">
        <v>7</v>
      </c>
      <c r="AN61" s="45">
        <v>7</v>
      </c>
      <c r="AO61" s="45">
        <v>4</v>
      </c>
      <c r="AP61" s="45">
        <v>3</v>
      </c>
      <c r="AQ61" s="45" t="s">
        <v>116</v>
      </c>
      <c r="AR61" s="45" t="s">
        <v>116</v>
      </c>
      <c r="AS61" s="45" t="s">
        <v>116</v>
      </c>
      <c r="AT61" s="45" t="s">
        <v>116</v>
      </c>
      <c r="AU61" s="45">
        <v>4</v>
      </c>
      <c r="AV61" s="45">
        <v>4</v>
      </c>
      <c r="AW61" s="45" t="s">
        <v>118</v>
      </c>
      <c r="AX61" s="45">
        <v>6</v>
      </c>
      <c r="AY61" s="45">
        <v>6</v>
      </c>
      <c r="AZ61" s="45" t="s">
        <v>119</v>
      </c>
      <c r="BA61" s="45">
        <v>6</v>
      </c>
      <c r="BB61" s="45">
        <v>7</v>
      </c>
      <c r="BC61" s="45">
        <v>3</v>
      </c>
      <c r="BD61" s="45">
        <v>1</v>
      </c>
      <c r="BE61" s="45" t="s">
        <v>159</v>
      </c>
      <c r="BF61" s="45">
        <v>5</v>
      </c>
      <c r="BG61" s="45" t="s">
        <v>121</v>
      </c>
      <c r="BH61" s="45">
        <v>3</v>
      </c>
      <c r="BI61" s="45" t="s">
        <v>138</v>
      </c>
      <c r="BJ61" s="45" t="s">
        <v>139</v>
      </c>
      <c r="BK61" s="45" t="s">
        <v>140</v>
      </c>
      <c r="BL61" s="45" t="s">
        <v>141</v>
      </c>
      <c r="BM61" s="45" t="s">
        <v>126</v>
      </c>
      <c r="BN61" s="45" t="s">
        <v>127</v>
      </c>
    </row>
    <row r="62" spans="1:67" x14ac:dyDescent="0.25">
      <c r="A62" s="47">
        <v>46073.359103020834</v>
      </c>
      <c r="B62" s="45" t="s">
        <v>129</v>
      </c>
      <c r="C62" s="45" t="s">
        <v>148</v>
      </c>
      <c r="E62" s="45" t="s">
        <v>109</v>
      </c>
      <c r="M62" s="45" t="s">
        <v>163</v>
      </c>
      <c r="N62" s="45" t="s">
        <v>111</v>
      </c>
      <c r="O62" s="45" t="s">
        <v>133</v>
      </c>
      <c r="P62" s="45" t="s">
        <v>132</v>
      </c>
      <c r="Q62" s="45" t="s">
        <v>132</v>
      </c>
      <c r="R62" s="45" t="s">
        <v>133</v>
      </c>
      <c r="S62" s="45" t="s">
        <v>143</v>
      </c>
      <c r="T62" s="45" t="s">
        <v>113</v>
      </c>
      <c r="U62" s="45" t="s">
        <v>112</v>
      </c>
      <c r="V62" s="45" t="s">
        <v>112</v>
      </c>
      <c r="W62" s="45" t="s">
        <v>133</v>
      </c>
      <c r="X62" s="45" t="s">
        <v>132</v>
      </c>
      <c r="Y62" s="45" t="s">
        <v>143</v>
      </c>
      <c r="Z62" s="45" t="s">
        <v>143</v>
      </c>
      <c r="AA62" s="45" t="s">
        <v>132</v>
      </c>
      <c r="AB62" s="45" t="s">
        <v>143</v>
      </c>
      <c r="AC62" s="45" t="s">
        <v>143</v>
      </c>
      <c r="AD62" s="45" t="s">
        <v>113</v>
      </c>
      <c r="AE62" s="45" t="s">
        <v>112</v>
      </c>
      <c r="AF62" s="45" t="s">
        <v>112</v>
      </c>
      <c r="AG62" s="45" t="s">
        <v>143</v>
      </c>
      <c r="AH62" s="45" t="s">
        <v>143</v>
      </c>
      <c r="AI62" s="45">
        <v>5</v>
      </c>
      <c r="AJ62" s="45" t="s">
        <v>114</v>
      </c>
      <c r="AK62" s="45" t="s">
        <v>115</v>
      </c>
      <c r="AL62" s="45">
        <v>5</v>
      </c>
      <c r="AM62" s="45">
        <v>7</v>
      </c>
      <c r="AN62" s="45">
        <v>5</v>
      </c>
      <c r="AO62" s="45">
        <v>3</v>
      </c>
      <c r="AP62" s="45">
        <v>2</v>
      </c>
      <c r="AQ62" s="45" t="s">
        <v>116</v>
      </c>
      <c r="AR62" s="45" t="s">
        <v>116</v>
      </c>
      <c r="AS62" s="45" t="s">
        <v>151</v>
      </c>
      <c r="AT62" s="45" t="s">
        <v>116</v>
      </c>
      <c r="AU62" s="45">
        <v>2</v>
      </c>
      <c r="AV62" s="45">
        <v>3</v>
      </c>
      <c r="AW62" s="45" t="s">
        <v>145</v>
      </c>
      <c r="AX62" s="45">
        <v>5</v>
      </c>
      <c r="AY62" s="45">
        <v>5</v>
      </c>
      <c r="AZ62" s="45" t="s">
        <v>169</v>
      </c>
      <c r="BA62" s="45">
        <v>4</v>
      </c>
      <c r="BB62" s="45">
        <v>5</v>
      </c>
      <c r="BC62" s="45">
        <v>5</v>
      </c>
      <c r="BD62" s="45">
        <v>2</v>
      </c>
      <c r="BE62" s="45" t="s">
        <v>137</v>
      </c>
      <c r="BF62" s="45">
        <v>5</v>
      </c>
      <c r="BG62" s="45" t="s">
        <v>121</v>
      </c>
      <c r="BH62" s="45">
        <v>5</v>
      </c>
      <c r="BI62" s="45" t="s">
        <v>138</v>
      </c>
      <c r="BJ62" s="45" t="s">
        <v>139</v>
      </c>
      <c r="BK62" s="45" t="s">
        <v>140</v>
      </c>
      <c r="BL62" s="45" t="s">
        <v>141</v>
      </c>
      <c r="BM62" s="45" t="s">
        <v>126</v>
      </c>
      <c r="BN62" s="45" t="s">
        <v>127</v>
      </c>
    </row>
    <row r="63" spans="1:67" x14ac:dyDescent="0.25">
      <c r="A63" s="47">
        <v>46073.436406111112</v>
      </c>
      <c r="B63" s="45" t="s">
        <v>129</v>
      </c>
      <c r="C63" s="45" t="s">
        <v>130</v>
      </c>
      <c r="E63" s="45" t="s">
        <v>109</v>
      </c>
      <c r="F63" s="45" t="s">
        <v>108</v>
      </c>
      <c r="G63" s="45" t="s">
        <v>108</v>
      </c>
      <c r="M63" s="45" t="s">
        <v>266</v>
      </c>
      <c r="N63" s="45" t="s">
        <v>161</v>
      </c>
      <c r="O63" s="45" t="s">
        <v>143</v>
      </c>
      <c r="P63" s="45" t="s">
        <v>132</v>
      </c>
      <c r="Q63" s="45" t="s">
        <v>132</v>
      </c>
      <c r="R63" s="45" t="s">
        <v>132</v>
      </c>
      <c r="S63" s="45" t="s">
        <v>132</v>
      </c>
      <c r="T63" s="45" t="s">
        <v>133</v>
      </c>
      <c r="U63" s="45" t="s">
        <v>133</v>
      </c>
      <c r="V63" s="45" t="s">
        <v>143</v>
      </c>
      <c r="W63" s="45" t="s">
        <v>113</v>
      </c>
      <c r="X63" s="45" t="s">
        <v>132</v>
      </c>
      <c r="Y63" s="45" t="s">
        <v>133</v>
      </c>
      <c r="Z63" s="45" t="s">
        <v>143</v>
      </c>
      <c r="AA63" s="45" t="s">
        <v>143</v>
      </c>
      <c r="AB63" s="45" t="s">
        <v>133</v>
      </c>
      <c r="AC63" s="45" t="s">
        <v>132</v>
      </c>
      <c r="AD63" s="45" t="s">
        <v>113</v>
      </c>
      <c r="AE63" s="45" t="s">
        <v>113</v>
      </c>
      <c r="AF63" s="45" t="s">
        <v>133</v>
      </c>
      <c r="AG63" s="45" t="s">
        <v>113</v>
      </c>
      <c r="AH63" s="45" t="s">
        <v>133</v>
      </c>
      <c r="AI63" s="45">
        <v>6</v>
      </c>
      <c r="AJ63" s="45" t="s">
        <v>150</v>
      </c>
      <c r="AK63" s="45" t="s">
        <v>115</v>
      </c>
      <c r="AL63" s="45">
        <v>6</v>
      </c>
      <c r="AM63" s="45">
        <v>7</v>
      </c>
      <c r="AN63" s="45">
        <v>6</v>
      </c>
      <c r="AO63" s="45">
        <v>2</v>
      </c>
      <c r="AP63" s="45">
        <v>7</v>
      </c>
      <c r="AQ63" s="45" t="s">
        <v>116</v>
      </c>
      <c r="AR63" s="45" t="s">
        <v>116</v>
      </c>
      <c r="AS63" s="45" t="s">
        <v>151</v>
      </c>
      <c r="AT63" s="45" t="s">
        <v>117</v>
      </c>
      <c r="AU63" s="45">
        <v>5</v>
      </c>
      <c r="AV63" s="45">
        <v>5</v>
      </c>
      <c r="AW63" s="45" t="s">
        <v>118</v>
      </c>
      <c r="AX63" s="45">
        <v>5</v>
      </c>
      <c r="AY63" s="45">
        <v>5</v>
      </c>
      <c r="AZ63" s="45" t="s">
        <v>146</v>
      </c>
      <c r="BA63" s="45">
        <v>3</v>
      </c>
      <c r="BB63" s="45">
        <v>5</v>
      </c>
      <c r="BC63" s="45">
        <v>3</v>
      </c>
      <c r="BD63" s="45">
        <v>4</v>
      </c>
      <c r="BE63" s="45" t="s">
        <v>159</v>
      </c>
      <c r="BF63" s="45">
        <v>2</v>
      </c>
      <c r="BG63" s="45" t="s">
        <v>121</v>
      </c>
      <c r="BH63" s="45">
        <v>6</v>
      </c>
      <c r="BI63" s="45" t="s">
        <v>138</v>
      </c>
      <c r="BJ63" s="45" t="s">
        <v>139</v>
      </c>
      <c r="BK63" s="45" t="s">
        <v>140</v>
      </c>
      <c r="BL63" s="45" t="s">
        <v>141</v>
      </c>
      <c r="BM63" s="45" t="s">
        <v>126</v>
      </c>
      <c r="BN63" s="45" t="s">
        <v>187</v>
      </c>
    </row>
    <row r="64" spans="1:67" x14ac:dyDescent="0.25">
      <c r="A64" s="47">
        <v>46073.481208993056</v>
      </c>
      <c r="B64" s="45" t="s">
        <v>165</v>
      </c>
      <c r="C64" s="45" t="s">
        <v>130</v>
      </c>
      <c r="E64" s="45" t="s">
        <v>109</v>
      </c>
      <c r="K64" s="45" t="s">
        <v>109</v>
      </c>
      <c r="M64" s="45" t="s">
        <v>267</v>
      </c>
      <c r="N64" s="45" t="s">
        <v>161</v>
      </c>
      <c r="O64" s="45" t="s">
        <v>143</v>
      </c>
      <c r="P64" s="45" t="s">
        <v>132</v>
      </c>
      <c r="Q64" s="45" t="s">
        <v>132</v>
      </c>
      <c r="R64" s="45" t="s">
        <v>143</v>
      </c>
      <c r="S64" s="45" t="s">
        <v>143</v>
      </c>
      <c r="T64" s="45" t="s">
        <v>113</v>
      </c>
      <c r="U64" s="45" t="s">
        <v>112</v>
      </c>
      <c r="V64" s="45" t="s">
        <v>112</v>
      </c>
      <c r="W64" s="45" t="s">
        <v>112</v>
      </c>
      <c r="X64" s="45" t="s">
        <v>143</v>
      </c>
      <c r="Y64" s="45" t="s">
        <v>143</v>
      </c>
      <c r="Z64" s="45" t="s">
        <v>143</v>
      </c>
      <c r="AA64" s="45" t="s">
        <v>143</v>
      </c>
      <c r="AB64" s="45" t="s">
        <v>143</v>
      </c>
      <c r="AC64" s="45" t="s">
        <v>143</v>
      </c>
      <c r="AD64" s="45" t="s">
        <v>113</v>
      </c>
      <c r="AE64" s="45" t="s">
        <v>113</v>
      </c>
      <c r="AF64" s="45" t="s">
        <v>112</v>
      </c>
      <c r="AG64" s="45" t="s">
        <v>112</v>
      </c>
      <c r="AH64" s="45" t="s">
        <v>113</v>
      </c>
      <c r="AI64" s="45">
        <v>6</v>
      </c>
      <c r="AJ64" s="45" t="s">
        <v>150</v>
      </c>
      <c r="AK64" s="45" t="s">
        <v>115</v>
      </c>
      <c r="AL64" s="45">
        <v>2</v>
      </c>
      <c r="AM64" s="45">
        <v>7</v>
      </c>
      <c r="AN64" s="45">
        <v>5</v>
      </c>
      <c r="AO64" s="45">
        <v>6</v>
      </c>
      <c r="AP64" s="45">
        <v>7</v>
      </c>
      <c r="AQ64" s="45" t="s">
        <v>116</v>
      </c>
      <c r="AR64" s="45" t="s">
        <v>151</v>
      </c>
      <c r="AS64" s="45" t="s">
        <v>151</v>
      </c>
      <c r="AT64" s="45" t="s">
        <v>116</v>
      </c>
      <c r="AU64" s="45">
        <v>4</v>
      </c>
      <c r="AV64" s="45">
        <v>6</v>
      </c>
      <c r="AW64" s="45" t="s">
        <v>135</v>
      </c>
      <c r="AX64" s="45">
        <v>5</v>
      </c>
      <c r="AY64" s="45">
        <v>5</v>
      </c>
      <c r="AZ64" s="45" t="s">
        <v>146</v>
      </c>
      <c r="BA64" s="45">
        <v>6</v>
      </c>
      <c r="BB64" s="45">
        <v>6</v>
      </c>
      <c r="BC64" s="45">
        <v>7</v>
      </c>
      <c r="BD64" s="45">
        <v>4</v>
      </c>
      <c r="BE64" s="45" t="s">
        <v>137</v>
      </c>
      <c r="BF64" s="45">
        <v>6</v>
      </c>
      <c r="BG64" s="45" t="s">
        <v>121</v>
      </c>
      <c r="BH64" s="45">
        <v>6</v>
      </c>
      <c r="BI64" s="45" t="s">
        <v>138</v>
      </c>
      <c r="BJ64" s="45" t="s">
        <v>139</v>
      </c>
      <c r="BK64" s="45" t="s">
        <v>140</v>
      </c>
      <c r="BL64" s="45" t="s">
        <v>141</v>
      </c>
      <c r="BM64" s="45" t="s">
        <v>126</v>
      </c>
      <c r="BN64" s="45" t="s">
        <v>127</v>
      </c>
    </row>
    <row r="65" spans="1:67" x14ac:dyDescent="0.25">
      <c r="A65" s="47">
        <v>46073.564735914348</v>
      </c>
      <c r="B65" s="45" t="s">
        <v>147</v>
      </c>
      <c r="C65" s="45" t="s">
        <v>130</v>
      </c>
      <c r="E65" s="45" t="s">
        <v>109</v>
      </c>
      <c r="K65" s="45" t="s">
        <v>109</v>
      </c>
      <c r="M65" s="45" t="s">
        <v>268</v>
      </c>
      <c r="N65" s="45" t="s">
        <v>111</v>
      </c>
      <c r="O65" s="45" t="s">
        <v>133</v>
      </c>
      <c r="P65" s="45" t="s">
        <v>132</v>
      </c>
      <c r="Q65" s="45" t="s">
        <v>143</v>
      </c>
      <c r="R65" s="45" t="s">
        <v>133</v>
      </c>
      <c r="S65" s="45" t="s">
        <v>132</v>
      </c>
      <c r="T65" s="45" t="s">
        <v>133</v>
      </c>
      <c r="U65" s="45" t="s">
        <v>143</v>
      </c>
      <c r="V65" s="45" t="s">
        <v>143</v>
      </c>
      <c r="W65" s="45" t="s">
        <v>143</v>
      </c>
      <c r="X65" s="45" t="s">
        <v>132</v>
      </c>
      <c r="Y65" s="45" t="s">
        <v>133</v>
      </c>
      <c r="Z65" s="45" t="s">
        <v>143</v>
      </c>
      <c r="AA65" s="45" t="s">
        <v>143</v>
      </c>
      <c r="AB65" s="45" t="s">
        <v>133</v>
      </c>
      <c r="AC65" s="45" t="s">
        <v>132</v>
      </c>
      <c r="AD65" s="45" t="s">
        <v>133</v>
      </c>
      <c r="AE65" s="45" t="s">
        <v>133</v>
      </c>
      <c r="AF65" s="45" t="s">
        <v>133</v>
      </c>
      <c r="AG65" s="45" t="s">
        <v>133</v>
      </c>
      <c r="AH65" s="45" t="s">
        <v>143</v>
      </c>
      <c r="AI65" s="45">
        <v>6</v>
      </c>
      <c r="AJ65" s="45" t="s">
        <v>167</v>
      </c>
      <c r="AK65" s="45" t="s">
        <v>174</v>
      </c>
      <c r="AL65" s="45">
        <v>2</v>
      </c>
      <c r="AM65" s="45">
        <v>7</v>
      </c>
      <c r="AN65" s="45">
        <v>4</v>
      </c>
      <c r="AO65" s="45">
        <v>5</v>
      </c>
      <c r="AP65" s="45">
        <v>6</v>
      </c>
      <c r="AQ65" s="45" t="s">
        <v>116</v>
      </c>
      <c r="AR65" s="45" t="s">
        <v>116</v>
      </c>
      <c r="AS65" s="45" t="s">
        <v>151</v>
      </c>
      <c r="AT65" s="45" t="s">
        <v>116</v>
      </c>
      <c r="AU65" s="45">
        <v>5</v>
      </c>
      <c r="AV65" s="45">
        <v>7</v>
      </c>
      <c r="AW65" s="45" t="s">
        <v>135</v>
      </c>
      <c r="AX65" s="45">
        <v>6</v>
      </c>
      <c r="AY65" s="45">
        <v>5</v>
      </c>
      <c r="AZ65" s="45" t="s">
        <v>169</v>
      </c>
      <c r="BA65" s="45">
        <v>7</v>
      </c>
      <c r="BB65" s="45">
        <v>6</v>
      </c>
      <c r="BC65" s="45">
        <v>4</v>
      </c>
      <c r="BD65" s="45">
        <v>1</v>
      </c>
      <c r="BE65" s="45" t="s">
        <v>159</v>
      </c>
      <c r="BF65" s="45">
        <v>5</v>
      </c>
      <c r="BG65" s="45" t="s">
        <v>121</v>
      </c>
      <c r="BH65" s="45">
        <v>5</v>
      </c>
      <c r="BI65" s="45" t="s">
        <v>122</v>
      </c>
      <c r="BJ65" s="45" t="s">
        <v>123</v>
      </c>
      <c r="BK65" s="45" t="s">
        <v>124</v>
      </c>
      <c r="BL65" s="45" t="s">
        <v>192</v>
      </c>
      <c r="BM65" s="45" t="s">
        <v>126</v>
      </c>
      <c r="BN65" s="45" t="s">
        <v>187</v>
      </c>
    </row>
    <row r="66" spans="1:67" x14ac:dyDescent="0.25">
      <c r="A66" s="47">
        <v>46074.475416793983</v>
      </c>
      <c r="B66" s="45" t="s">
        <v>147</v>
      </c>
      <c r="C66" s="45" t="s">
        <v>130</v>
      </c>
      <c r="E66" s="45" t="s">
        <v>109</v>
      </c>
      <c r="M66" s="45" t="s">
        <v>269</v>
      </c>
      <c r="N66" s="45" t="s">
        <v>161</v>
      </c>
      <c r="O66" s="45" t="s">
        <v>143</v>
      </c>
      <c r="P66" s="45" t="s">
        <v>143</v>
      </c>
      <c r="Q66" s="45" t="s">
        <v>143</v>
      </c>
      <c r="R66" s="45" t="s">
        <v>143</v>
      </c>
      <c r="S66" s="45" t="s">
        <v>133</v>
      </c>
      <c r="T66" s="45" t="s">
        <v>133</v>
      </c>
      <c r="U66" s="45" t="s">
        <v>113</v>
      </c>
      <c r="V66" s="45" t="s">
        <v>113</v>
      </c>
      <c r="W66" s="45" t="s">
        <v>113</v>
      </c>
      <c r="X66" s="45" t="s">
        <v>133</v>
      </c>
      <c r="Y66" s="45" t="s">
        <v>143</v>
      </c>
      <c r="Z66" s="45" t="s">
        <v>143</v>
      </c>
      <c r="AA66" s="45" t="s">
        <v>143</v>
      </c>
      <c r="AB66" s="45" t="s">
        <v>133</v>
      </c>
      <c r="AC66" s="45" t="s">
        <v>133</v>
      </c>
      <c r="AD66" s="45" t="s">
        <v>133</v>
      </c>
      <c r="AE66" s="45" t="s">
        <v>133</v>
      </c>
      <c r="AF66" s="45" t="s">
        <v>133</v>
      </c>
      <c r="AG66" s="45" t="s">
        <v>133</v>
      </c>
      <c r="AH66" s="45" t="s">
        <v>133</v>
      </c>
      <c r="AI66" s="45">
        <v>7</v>
      </c>
      <c r="AJ66" s="45" t="s">
        <v>114</v>
      </c>
      <c r="AK66" s="45" t="s">
        <v>134</v>
      </c>
      <c r="AL66" s="45">
        <v>6</v>
      </c>
      <c r="AM66" s="45">
        <v>7</v>
      </c>
      <c r="AN66" s="45">
        <v>2</v>
      </c>
      <c r="AO66" s="45">
        <v>5</v>
      </c>
      <c r="AP66" s="45">
        <v>5</v>
      </c>
      <c r="AQ66" s="45" t="s">
        <v>117</v>
      </c>
      <c r="AR66" s="45" t="s">
        <v>151</v>
      </c>
      <c r="AS66" s="45" t="s">
        <v>151</v>
      </c>
      <c r="AT66" s="45" t="s">
        <v>116</v>
      </c>
      <c r="AU66" s="45">
        <v>3</v>
      </c>
      <c r="AV66" s="45">
        <v>3</v>
      </c>
      <c r="AW66" s="45" t="s">
        <v>118</v>
      </c>
      <c r="AX66" s="45">
        <v>5</v>
      </c>
      <c r="AY66" s="45">
        <v>5</v>
      </c>
      <c r="AZ66" s="45" t="s">
        <v>136</v>
      </c>
      <c r="BA66" s="45">
        <v>6</v>
      </c>
      <c r="BB66" s="45">
        <v>6</v>
      </c>
      <c r="BC66" s="45">
        <v>5</v>
      </c>
      <c r="BD66" s="45">
        <v>2</v>
      </c>
      <c r="BE66" s="45" t="s">
        <v>159</v>
      </c>
      <c r="BF66" s="45">
        <v>6</v>
      </c>
      <c r="BG66" s="45" t="s">
        <v>121</v>
      </c>
      <c r="BH66" s="45">
        <v>7</v>
      </c>
      <c r="BI66" s="45" t="s">
        <v>138</v>
      </c>
      <c r="BJ66" s="45" t="s">
        <v>139</v>
      </c>
      <c r="BK66" s="45" t="s">
        <v>140</v>
      </c>
      <c r="BL66" s="45" t="s">
        <v>141</v>
      </c>
      <c r="BM66" s="45" t="s">
        <v>126</v>
      </c>
      <c r="BN66" s="45" t="s">
        <v>127</v>
      </c>
    </row>
    <row r="67" spans="1:67" x14ac:dyDescent="0.25">
      <c r="A67" s="47">
        <v>46074.654695659723</v>
      </c>
      <c r="B67" s="45" t="s">
        <v>129</v>
      </c>
      <c r="C67" s="45" t="s">
        <v>107</v>
      </c>
      <c r="F67" s="45" t="s">
        <v>108</v>
      </c>
      <c r="G67" s="45" t="s">
        <v>108</v>
      </c>
      <c r="M67" s="45" t="s">
        <v>267</v>
      </c>
      <c r="N67" s="45" t="s">
        <v>111</v>
      </c>
      <c r="O67" s="45" t="s">
        <v>132</v>
      </c>
      <c r="P67" s="45" t="s">
        <v>132</v>
      </c>
      <c r="Q67" s="45" t="s">
        <v>132</v>
      </c>
      <c r="R67" s="45" t="s">
        <v>132</v>
      </c>
      <c r="S67" s="45" t="s">
        <v>133</v>
      </c>
      <c r="T67" s="45" t="s">
        <v>113</v>
      </c>
      <c r="U67" s="45" t="s">
        <v>113</v>
      </c>
      <c r="V67" s="45" t="s">
        <v>113</v>
      </c>
      <c r="W67" s="45" t="s">
        <v>143</v>
      </c>
      <c r="X67" s="45" t="s">
        <v>143</v>
      </c>
      <c r="Y67" s="45" t="s">
        <v>132</v>
      </c>
      <c r="Z67" s="45" t="s">
        <v>132</v>
      </c>
      <c r="AA67" s="45" t="s">
        <v>132</v>
      </c>
      <c r="AB67" s="45" t="s">
        <v>143</v>
      </c>
      <c r="AC67" s="45" t="s">
        <v>133</v>
      </c>
      <c r="AD67" s="45" t="s">
        <v>133</v>
      </c>
      <c r="AE67" s="45" t="s">
        <v>113</v>
      </c>
      <c r="AF67" s="45" t="s">
        <v>113</v>
      </c>
      <c r="AG67" s="45" t="s">
        <v>143</v>
      </c>
      <c r="AH67" s="45" t="s">
        <v>143</v>
      </c>
      <c r="AI67" s="45">
        <v>7</v>
      </c>
      <c r="AJ67" s="45" t="s">
        <v>167</v>
      </c>
      <c r="AK67" s="45" t="s">
        <v>134</v>
      </c>
      <c r="AL67" s="45">
        <v>2</v>
      </c>
      <c r="AM67" s="45">
        <v>6</v>
      </c>
      <c r="AN67" s="45">
        <v>5</v>
      </c>
      <c r="AO67" s="45">
        <v>4</v>
      </c>
      <c r="AP67" s="45">
        <v>3</v>
      </c>
      <c r="AQ67" s="45" t="s">
        <v>116</v>
      </c>
      <c r="AR67" s="45" t="s">
        <v>116</v>
      </c>
      <c r="AS67" s="45" t="s">
        <v>117</v>
      </c>
      <c r="AT67" s="45" t="s">
        <v>117</v>
      </c>
      <c r="AU67" s="45">
        <v>1</v>
      </c>
      <c r="AV67" s="45">
        <v>7</v>
      </c>
      <c r="AW67" s="45" t="s">
        <v>145</v>
      </c>
      <c r="AX67" s="45">
        <v>7</v>
      </c>
      <c r="AY67" s="45">
        <v>6</v>
      </c>
      <c r="AZ67" s="45" t="s">
        <v>169</v>
      </c>
      <c r="BA67" s="45">
        <v>7</v>
      </c>
      <c r="BB67" s="45">
        <v>7</v>
      </c>
      <c r="BC67" s="45">
        <v>5</v>
      </c>
      <c r="BD67" s="45">
        <v>1</v>
      </c>
      <c r="BE67" s="45" t="s">
        <v>137</v>
      </c>
      <c r="BF67" s="45">
        <v>7</v>
      </c>
      <c r="BG67" s="45" t="s">
        <v>121</v>
      </c>
      <c r="BH67" s="45">
        <v>7</v>
      </c>
      <c r="BI67" s="45" t="s">
        <v>122</v>
      </c>
      <c r="BJ67" s="45" t="s">
        <v>123</v>
      </c>
      <c r="BK67" s="45" t="s">
        <v>124</v>
      </c>
      <c r="BL67" s="45" t="s">
        <v>125</v>
      </c>
      <c r="BM67" s="45" t="s">
        <v>248</v>
      </c>
      <c r="BN67" s="45" t="s">
        <v>172</v>
      </c>
    </row>
    <row r="68" spans="1:67" x14ac:dyDescent="0.25">
      <c r="A68" s="47">
        <v>46075.012307997677</v>
      </c>
      <c r="B68" s="45" t="s">
        <v>129</v>
      </c>
      <c r="C68" s="45" t="s">
        <v>130</v>
      </c>
      <c r="F68" s="45" t="s">
        <v>109</v>
      </c>
      <c r="M68" s="45" t="s">
        <v>270</v>
      </c>
      <c r="N68" s="45" t="s">
        <v>161</v>
      </c>
      <c r="O68" s="45" t="s">
        <v>143</v>
      </c>
      <c r="P68" s="45" t="s">
        <v>143</v>
      </c>
      <c r="Q68" s="45" t="s">
        <v>143</v>
      </c>
      <c r="R68" s="45" t="s">
        <v>143</v>
      </c>
      <c r="S68" s="45" t="s">
        <v>143</v>
      </c>
      <c r="T68" s="45" t="s">
        <v>143</v>
      </c>
      <c r="U68" s="45" t="s">
        <v>143</v>
      </c>
      <c r="V68" s="45" t="s">
        <v>143</v>
      </c>
      <c r="W68" s="45" t="s">
        <v>143</v>
      </c>
      <c r="X68" s="45" t="s">
        <v>143</v>
      </c>
      <c r="Y68" s="45" t="s">
        <v>143</v>
      </c>
      <c r="Z68" s="45" t="s">
        <v>143</v>
      </c>
      <c r="AA68" s="45" t="s">
        <v>143</v>
      </c>
      <c r="AB68" s="45" t="s">
        <v>143</v>
      </c>
      <c r="AC68" s="45" t="s">
        <v>132</v>
      </c>
      <c r="AD68" s="45" t="s">
        <v>143</v>
      </c>
      <c r="AE68" s="45" t="s">
        <v>143</v>
      </c>
      <c r="AF68" s="45" t="s">
        <v>143</v>
      </c>
      <c r="AG68" s="45" t="s">
        <v>143</v>
      </c>
      <c r="AH68" s="45" t="s">
        <v>143</v>
      </c>
      <c r="AI68" s="45">
        <v>3</v>
      </c>
      <c r="AJ68" s="45" t="s">
        <v>191</v>
      </c>
      <c r="AK68" s="45" t="s">
        <v>144</v>
      </c>
      <c r="AL68" s="45">
        <v>1</v>
      </c>
      <c r="AM68" s="45">
        <v>1</v>
      </c>
      <c r="AN68" s="45">
        <v>1</v>
      </c>
      <c r="AO68" s="45">
        <v>3</v>
      </c>
      <c r="AP68" s="45">
        <v>5</v>
      </c>
      <c r="AQ68" s="45" t="s">
        <v>151</v>
      </c>
      <c r="AR68" s="45" t="s">
        <v>151</v>
      </c>
      <c r="AS68" s="45" t="s">
        <v>171</v>
      </c>
      <c r="AT68" s="45" t="s">
        <v>214</v>
      </c>
      <c r="AU68" s="45">
        <v>1</v>
      </c>
      <c r="AV68" s="45">
        <v>5</v>
      </c>
      <c r="AW68" s="45" t="s">
        <v>118</v>
      </c>
      <c r="AX68" s="45">
        <v>5</v>
      </c>
      <c r="AY68" s="45">
        <v>4</v>
      </c>
      <c r="AZ68" s="45" t="s">
        <v>169</v>
      </c>
      <c r="BA68" s="45">
        <v>7</v>
      </c>
      <c r="BB68" s="45">
        <v>5</v>
      </c>
      <c r="BC68" s="45">
        <v>4</v>
      </c>
      <c r="BD68" s="45">
        <v>1</v>
      </c>
      <c r="BE68" s="45" t="s">
        <v>137</v>
      </c>
      <c r="BF68" s="45">
        <v>3</v>
      </c>
      <c r="BG68" s="45" t="s">
        <v>271</v>
      </c>
      <c r="BH68" s="45">
        <v>4</v>
      </c>
      <c r="BI68" s="45" t="s">
        <v>221</v>
      </c>
      <c r="BJ68" s="45" t="s">
        <v>139</v>
      </c>
      <c r="BK68" s="45" t="s">
        <v>124</v>
      </c>
      <c r="BL68" s="45" t="s">
        <v>192</v>
      </c>
      <c r="BM68" s="45" t="s">
        <v>126</v>
      </c>
      <c r="BN68" s="45" t="s">
        <v>127</v>
      </c>
    </row>
    <row r="69" spans="1:67" x14ac:dyDescent="0.25">
      <c r="A69" s="47">
        <v>46075.475974837973</v>
      </c>
      <c r="B69" s="45" t="s">
        <v>129</v>
      </c>
      <c r="C69" s="45" t="s">
        <v>130</v>
      </c>
      <c r="E69" s="45" t="s">
        <v>109</v>
      </c>
      <c r="M69" s="45" t="s">
        <v>272</v>
      </c>
      <c r="N69" s="45" t="s">
        <v>111</v>
      </c>
      <c r="O69" s="45" t="s">
        <v>143</v>
      </c>
      <c r="P69" s="45" t="s">
        <v>132</v>
      </c>
      <c r="Q69" s="45" t="s">
        <v>132</v>
      </c>
      <c r="R69" s="45" t="s">
        <v>143</v>
      </c>
      <c r="S69" s="45" t="s">
        <v>143</v>
      </c>
      <c r="T69" s="45" t="s">
        <v>133</v>
      </c>
      <c r="U69" s="45" t="s">
        <v>133</v>
      </c>
      <c r="V69" s="45" t="s">
        <v>113</v>
      </c>
      <c r="W69" s="45" t="s">
        <v>133</v>
      </c>
      <c r="X69" s="45" t="s">
        <v>143</v>
      </c>
      <c r="Y69" s="45" t="s">
        <v>132</v>
      </c>
      <c r="Z69" s="45" t="s">
        <v>132</v>
      </c>
      <c r="AA69" s="45" t="s">
        <v>132</v>
      </c>
      <c r="AB69" s="45" t="s">
        <v>143</v>
      </c>
      <c r="AC69" s="45" t="s">
        <v>143</v>
      </c>
      <c r="AD69" s="45" t="s">
        <v>133</v>
      </c>
      <c r="AE69" s="45" t="s">
        <v>133</v>
      </c>
      <c r="AF69" s="45" t="s">
        <v>133</v>
      </c>
      <c r="AG69" s="45" t="s">
        <v>133</v>
      </c>
      <c r="AH69" s="45" t="s">
        <v>143</v>
      </c>
      <c r="AI69" s="45">
        <v>5</v>
      </c>
      <c r="AJ69" s="45" t="s">
        <v>150</v>
      </c>
      <c r="AK69" s="45" t="s">
        <v>134</v>
      </c>
      <c r="AL69" s="45">
        <v>6</v>
      </c>
      <c r="AM69" s="45">
        <v>6</v>
      </c>
      <c r="AN69" s="45">
        <v>2</v>
      </c>
      <c r="AO69" s="45">
        <v>4</v>
      </c>
      <c r="AP69" s="45">
        <v>5</v>
      </c>
      <c r="AQ69" s="45" t="s">
        <v>117</v>
      </c>
      <c r="AR69" s="45" t="s">
        <v>116</v>
      </c>
      <c r="AS69" s="45" t="s">
        <v>117</v>
      </c>
      <c r="AT69" s="45" t="s">
        <v>117</v>
      </c>
      <c r="AU69" s="45">
        <v>5</v>
      </c>
      <c r="AV69" s="45">
        <v>6</v>
      </c>
      <c r="AW69" s="45" t="s">
        <v>145</v>
      </c>
      <c r="AX69" s="45">
        <v>5</v>
      </c>
      <c r="AY69" s="45">
        <v>5</v>
      </c>
      <c r="AZ69" s="45" t="s">
        <v>136</v>
      </c>
      <c r="BA69" s="45">
        <v>5</v>
      </c>
      <c r="BB69" s="45">
        <v>6</v>
      </c>
      <c r="BC69" s="45">
        <v>5</v>
      </c>
      <c r="BD69" s="45">
        <v>2</v>
      </c>
      <c r="BE69" s="45" t="s">
        <v>159</v>
      </c>
      <c r="BF69" s="45">
        <v>5</v>
      </c>
      <c r="BG69" s="45" t="s">
        <v>121</v>
      </c>
      <c r="BH69" s="45">
        <v>5</v>
      </c>
      <c r="BI69" s="45" t="s">
        <v>138</v>
      </c>
      <c r="BJ69" s="45" t="s">
        <v>123</v>
      </c>
      <c r="BK69" s="45" t="s">
        <v>140</v>
      </c>
      <c r="BL69" s="45" t="s">
        <v>141</v>
      </c>
      <c r="BM69" s="45" t="s">
        <v>126</v>
      </c>
      <c r="BN69" s="45" t="s">
        <v>127</v>
      </c>
    </row>
    <row r="70" spans="1:67" x14ac:dyDescent="0.25">
      <c r="A70" s="47">
        <v>46075.527617326392</v>
      </c>
      <c r="B70" s="45" t="s">
        <v>184</v>
      </c>
      <c r="C70" s="45" t="s">
        <v>107</v>
      </c>
      <c r="E70" s="45" t="s">
        <v>108</v>
      </c>
      <c r="F70" s="45" t="s">
        <v>108</v>
      </c>
      <c r="M70" s="45" t="s">
        <v>273</v>
      </c>
      <c r="N70" s="45" t="s">
        <v>111</v>
      </c>
      <c r="O70" s="45" t="s">
        <v>143</v>
      </c>
      <c r="P70" s="45" t="s">
        <v>143</v>
      </c>
      <c r="Q70" s="45" t="s">
        <v>143</v>
      </c>
      <c r="R70" s="45" t="s">
        <v>143</v>
      </c>
      <c r="S70" s="45" t="s">
        <v>132</v>
      </c>
      <c r="T70" s="45" t="s">
        <v>133</v>
      </c>
      <c r="U70" s="45" t="s">
        <v>133</v>
      </c>
      <c r="V70" s="45" t="s">
        <v>133</v>
      </c>
      <c r="W70" s="45" t="s">
        <v>133</v>
      </c>
      <c r="X70" s="45" t="s">
        <v>143</v>
      </c>
      <c r="Y70" s="45" t="s">
        <v>132</v>
      </c>
      <c r="Z70" s="45" t="s">
        <v>132</v>
      </c>
      <c r="AA70" s="45" t="s">
        <v>143</v>
      </c>
      <c r="AB70" s="45" t="s">
        <v>143</v>
      </c>
      <c r="AC70" s="45" t="s">
        <v>132</v>
      </c>
      <c r="AD70" s="45" t="s">
        <v>133</v>
      </c>
      <c r="AE70" s="45" t="s">
        <v>133</v>
      </c>
      <c r="AF70" s="45" t="s">
        <v>133</v>
      </c>
      <c r="AG70" s="45" t="s">
        <v>133</v>
      </c>
      <c r="AH70" s="45" t="s">
        <v>132</v>
      </c>
      <c r="AI70" s="45">
        <v>6</v>
      </c>
      <c r="AJ70" s="45" t="s">
        <v>114</v>
      </c>
      <c r="AK70" s="45" t="s">
        <v>115</v>
      </c>
      <c r="AL70" s="45">
        <v>4</v>
      </c>
      <c r="AM70" s="45">
        <v>6</v>
      </c>
      <c r="AN70" s="45">
        <v>7</v>
      </c>
      <c r="AO70" s="45">
        <v>6</v>
      </c>
      <c r="AP70" s="45">
        <v>4</v>
      </c>
      <c r="AQ70" s="45" t="s">
        <v>116</v>
      </c>
      <c r="AR70" s="45" t="s">
        <v>117</v>
      </c>
      <c r="AS70" s="45" t="s">
        <v>117</v>
      </c>
      <c r="AT70" s="45" t="s">
        <v>151</v>
      </c>
      <c r="AU70" s="45">
        <v>3</v>
      </c>
      <c r="AV70" s="45">
        <v>7</v>
      </c>
      <c r="AW70" s="45" t="s">
        <v>118</v>
      </c>
      <c r="AX70" s="45">
        <v>5</v>
      </c>
      <c r="AY70" s="45">
        <v>5</v>
      </c>
      <c r="AZ70" s="45" t="s">
        <v>119</v>
      </c>
      <c r="BA70" s="45">
        <v>6</v>
      </c>
      <c r="BB70" s="45">
        <v>5</v>
      </c>
      <c r="BC70" s="45">
        <v>1</v>
      </c>
      <c r="BD70" s="45">
        <v>1</v>
      </c>
      <c r="BE70" s="45" t="s">
        <v>159</v>
      </c>
      <c r="BF70" s="45">
        <v>5</v>
      </c>
      <c r="BG70" s="45" t="s">
        <v>121</v>
      </c>
      <c r="BH70" s="45">
        <v>4</v>
      </c>
      <c r="BI70" s="45" t="s">
        <v>122</v>
      </c>
      <c r="BJ70" s="45" t="s">
        <v>139</v>
      </c>
      <c r="BK70" s="45" t="s">
        <v>124</v>
      </c>
      <c r="BL70" s="45" t="s">
        <v>125</v>
      </c>
      <c r="BM70" s="45" t="s">
        <v>248</v>
      </c>
      <c r="BN70" s="45" t="s">
        <v>172</v>
      </c>
    </row>
    <row r="71" spans="1:67" x14ac:dyDescent="0.25">
      <c r="A71" s="47">
        <v>46075.595958171303</v>
      </c>
      <c r="B71" s="45" t="s">
        <v>226</v>
      </c>
      <c r="BI71" s="45" t="s">
        <v>122</v>
      </c>
      <c r="BJ71" s="45" t="s">
        <v>139</v>
      </c>
      <c r="BK71" s="45" t="s">
        <v>140</v>
      </c>
      <c r="BL71" s="45" t="s">
        <v>192</v>
      </c>
      <c r="BM71" s="45" t="s">
        <v>197</v>
      </c>
      <c r="BN71" s="45" t="s">
        <v>127</v>
      </c>
    </row>
    <row r="72" spans="1:67" x14ac:dyDescent="0.25">
      <c r="A72" s="47">
        <v>46076.477154826389</v>
      </c>
      <c r="B72" s="45" t="s">
        <v>129</v>
      </c>
      <c r="C72" s="45" t="s">
        <v>148</v>
      </c>
      <c r="D72" s="45" t="s">
        <v>109</v>
      </c>
      <c r="E72" s="45" t="s">
        <v>109</v>
      </c>
      <c r="K72" s="45" t="s">
        <v>109</v>
      </c>
      <c r="M72" s="45" t="s">
        <v>274</v>
      </c>
      <c r="N72" s="45" t="s">
        <v>161</v>
      </c>
      <c r="O72" s="45" t="s">
        <v>133</v>
      </c>
      <c r="P72" s="45" t="s">
        <v>133</v>
      </c>
      <c r="Q72" s="45" t="s">
        <v>133</v>
      </c>
      <c r="R72" s="45" t="s">
        <v>133</v>
      </c>
      <c r="S72" s="45" t="s">
        <v>133</v>
      </c>
      <c r="T72" s="45" t="s">
        <v>133</v>
      </c>
      <c r="U72" s="45" t="s">
        <v>133</v>
      </c>
      <c r="V72" s="45" t="s">
        <v>133</v>
      </c>
      <c r="W72" s="45" t="s">
        <v>133</v>
      </c>
      <c r="X72" s="45" t="s">
        <v>132</v>
      </c>
      <c r="Y72" s="45" t="s">
        <v>133</v>
      </c>
      <c r="Z72" s="45" t="s">
        <v>133</v>
      </c>
      <c r="AA72" s="45" t="s">
        <v>133</v>
      </c>
      <c r="AB72" s="45" t="s">
        <v>133</v>
      </c>
      <c r="AC72" s="45" t="s">
        <v>133</v>
      </c>
      <c r="AD72" s="45" t="s">
        <v>133</v>
      </c>
      <c r="AE72" s="45" t="s">
        <v>133</v>
      </c>
      <c r="AF72" s="45" t="s">
        <v>133</v>
      </c>
      <c r="AG72" s="45" t="s">
        <v>133</v>
      </c>
      <c r="AH72" s="45" t="s">
        <v>132</v>
      </c>
      <c r="AI72" s="45">
        <v>5</v>
      </c>
      <c r="AJ72" s="45" t="s">
        <v>114</v>
      </c>
      <c r="AK72" s="45" t="s">
        <v>115</v>
      </c>
      <c r="AL72" s="45">
        <v>5</v>
      </c>
      <c r="AM72" s="45">
        <v>7</v>
      </c>
      <c r="AN72" s="45">
        <v>7</v>
      </c>
      <c r="AO72" s="45">
        <v>5</v>
      </c>
      <c r="AP72" s="45">
        <v>7</v>
      </c>
      <c r="AQ72" s="45" t="s">
        <v>116</v>
      </c>
      <c r="AR72" s="45" t="s">
        <v>116</v>
      </c>
      <c r="AS72" s="45" t="s">
        <v>116</v>
      </c>
      <c r="AT72" s="45" t="s">
        <v>116</v>
      </c>
      <c r="AU72" s="45">
        <v>7</v>
      </c>
      <c r="AV72" s="45">
        <v>5</v>
      </c>
      <c r="AW72" s="45" t="s">
        <v>135</v>
      </c>
      <c r="AX72" s="45">
        <v>6</v>
      </c>
      <c r="AY72" s="45">
        <v>5</v>
      </c>
      <c r="AZ72" s="45" t="s">
        <v>119</v>
      </c>
      <c r="BA72" s="45">
        <v>6</v>
      </c>
      <c r="BB72" s="45">
        <v>7</v>
      </c>
      <c r="BC72" s="45">
        <v>4</v>
      </c>
      <c r="BD72" s="45">
        <v>5</v>
      </c>
      <c r="BE72" s="45" t="s">
        <v>137</v>
      </c>
      <c r="BF72" s="45">
        <v>6</v>
      </c>
      <c r="BG72" s="45" t="s">
        <v>121</v>
      </c>
      <c r="BH72" s="45">
        <v>5</v>
      </c>
      <c r="BI72" s="45" t="s">
        <v>221</v>
      </c>
      <c r="BJ72" s="45" t="s">
        <v>123</v>
      </c>
      <c r="BK72" s="45" t="s">
        <v>196</v>
      </c>
      <c r="BL72" s="45" t="s">
        <v>177</v>
      </c>
      <c r="BM72" s="45" t="s">
        <v>126</v>
      </c>
      <c r="BN72" s="45" t="s">
        <v>187</v>
      </c>
    </row>
    <row r="73" spans="1:67" x14ac:dyDescent="0.25">
      <c r="A73" s="47">
        <v>46076.663218391201</v>
      </c>
      <c r="B73" s="45" t="s">
        <v>165</v>
      </c>
      <c r="C73" s="45" t="s">
        <v>148</v>
      </c>
      <c r="E73" s="45" t="s">
        <v>108</v>
      </c>
      <c r="F73" s="45" t="s">
        <v>180</v>
      </c>
      <c r="M73" s="45" t="s">
        <v>275</v>
      </c>
      <c r="N73" s="45" t="s">
        <v>161</v>
      </c>
      <c r="O73" s="45" t="s">
        <v>143</v>
      </c>
      <c r="P73" s="45" t="s">
        <v>143</v>
      </c>
      <c r="Q73" s="45" t="s">
        <v>133</v>
      </c>
      <c r="R73" s="45" t="s">
        <v>143</v>
      </c>
      <c r="S73" s="45" t="s">
        <v>133</v>
      </c>
      <c r="T73" s="45" t="s">
        <v>133</v>
      </c>
      <c r="U73" s="45" t="s">
        <v>133</v>
      </c>
      <c r="V73" s="45" t="s">
        <v>133</v>
      </c>
      <c r="W73" s="45" t="s">
        <v>143</v>
      </c>
      <c r="X73" s="45" t="s">
        <v>143</v>
      </c>
      <c r="Y73" s="45" t="s">
        <v>143</v>
      </c>
      <c r="Z73" s="45" t="s">
        <v>143</v>
      </c>
      <c r="AA73" s="45" t="s">
        <v>143</v>
      </c>
      <c r="AB73" s="45" t="s">
        <v>143</v>
      </c>
      <c r="AC73" s="45" t="s">
        <v>133</v>
      </c>
      <c r="AD73" s="45" t="s">
        <v>133</v>
      </c>
      <c r="AE73" s="45" t="s">
        <v>133</v>
      </c>
      <c r="AF73" s="45" t="s">
        <v>143</v>
      </c>
      <c r="AG73" s="45" t="s">
        <v>143</v>
      </c>
      <c r="AH73" s="45" t="s">
        <v>133</v>
      </c>
      <c r="AI73" s="45">
        <v>6</v>
      </c>
      <c r="AJ73" s="45" t="s">
        <v>191</v>
      </c>
      <c r="AK73" s="45" t="s">
        <v>115</v>
      </c>
      <c r="AL73" s="45">
        <v>4</v>
      </c>
      <c r="AM73" s="45">
        <v>7</v>
      </c>
      <c r="AN73" s="45">
        <v>7</v>
      </c>
      <c r="AO73" s="45">
        <v>7</v>
      </c>
      <c r="AP73" s="45">
        <v>5</v>
      </c>
      <c r="AQ73" s="45" t="s">
        <v>117</v>
      </c>
      <c r="AR73" s="45" t="s">
        <v>116</v>
      </c>
      <c r="AS73" s="45" t="s">
        <v>117</v>
      </c>
      <c r="AT73" s="45" t="s">
        <v>117</v>
      </c>
      <c r="AU73" s="45">
        <v>5</v>
      </c>
      <c r="AV73" s="45">
        <v>5</v>
      </c>
      <c r="AW73" s="45" t="s">
        <v>210</v>
      </c>
      <c r="AX73" s="45">
        <v>5</v>
      </c>
      <c r="AY73" s="45">
        <v>5</v>
      </c>
      <c r="AZ73" s="45" t="s">
        <v>169</v>
      </c>
      <c r="BA73" s="45">
        <v>6</v>
      </c>
      <c r="BB73" s="45">
        <v>7</v>
      </c>
      <c r="BC73" s="45">
        <v>5</v>
      </c>
      <c r="BD73" s="45">
        <v>4</v>
      </c>
      <c r="BE73" s="45" t="s">
        <v>159</v>
      </c>
      <c r="BF73" s="45">
        <v>5</v>
      </c>
      <c r="BG73" s="45" t="s">
        <v>121</v>
      </c>
      <c r="BH73" s="45">
        <v>6</v>
      </c>
      <c r="BI73" s="45" t="s">
        <v>175</v>
      </c>
      <c r="BJ73" s="45" t="s">
        <v>139</v>
      </c>
      <c r="BK73" s="45" t="s">
        <v>196</v>
      </c>
      <c r="BL73" s="45" t="s">
        <v>177</v>
      </c>
      <c r="BM73" s="45" t="s">
        <v>126</v>
      </c>
      <c r="BN73" s="45" t="s">
        <v>172</v>
      </c>
    </row>
    <row r="74" spans="1:67" x14ac:dyDescent="0.25">
      <c r="A74" s="47">
        <v>46076.683839641213</v>
      </c>
      <c r="B74" s="45" t="s">
        <v>184</v>
      </c>
      <c r="C74" s="45" t="s">
        <v>130</v>
      </c>
      <c r="E74" s="45" t="s">
        <v>109</v>
      </c>
      <c r="K74" s="45" t="s">
        <v>109</v>
      </c>
      <c r="M74" s="45" t="s">
        <v>276</v>
      </c>
      <c r="N74" s="45" t="s">
        <v>161</v>
      </c>
      <c r="O74" s="45" t="s">
        <v>132</v>
      </c>
      <c r="P74" s="45" t="s">
        <v>132</v>
      </c>
      <c r="Q74" s="45" t="s">
        <v>132</v>
      </c>
      <c r="R74" s="45" t="s">
        <v>132</v>
      </c>
      <c r="S74" s="45" t="s">
        <v>132</v>
      </c>
      <c r="T74" s="45" t="s">
        <v>132</v>
      </c>
      <c r="U74" s="45" t="s">
        <v>143</v>
      </c>
      <c r="V74" s="45" t="s">
        <v>143</v>
      </c>
      <c r="W74" s="45" t="s">
        <v>143</v>
      </c>
      <c r="X74" s="45" t="s">
        <v>143</v>
      </c>
      <c r="Y74" s="45" t="s">
        <v>143</v>
      </c>
      <c r="Z74" s="45" t="s">
        <v>143</v>
      </c>
      <c r="AA74" s="45" t="s">
        <v>143</v>
      </c>
      <c r="AB74" s="45" t="s">
        <v>132</v>
      </c>
      <c r="AC74" s="45" t="s">
        <v>143</v>
      </c>
      <c r="AD74" s="45" t="s">
        <v>143</v>
      </c>
      <c r="AE74" s="45" t="s">
        <v>143</v>
      </c>
      <c r="AF74" s="45" t="s">
        <v>132</v>
      </c>
      <c r="AG74" s="45" t="s">
        <v>143</v>
      </c>
      <c r="AH74" s="45" t="s">
        <v>143</v>
      </c>
      <c r="AI74" s="45">
        <v>7</v>
      </c>
      <c r="AJ74" s="45" t="s">
        <v>150</v>
      </c>
      <c r="AK74" s="45" t="s">
        <v>134</v>
      </c>
      <c r="AL74" s="45">
        <v>6</v>
      </c>
      <c r="AM74" s="45">
        <v>6</v>
      </c>
      <c r="AN74" s="45">
        <v>6</v>
      </c>
      <c r="AO74" s="45">
        <v>3</v>
      </c>
      <c r="AP74" s="45">
        <v>3</v>
      </c>
      <c r="AQ74" s="45" t="s">
        <v>117</v>
      </c>
      <c r="AR74" s="45" t="s">
        <v>117</v>
      </c>
      <c r="AS74" s="45" t="s">
        <v>151</v>
      </c>
      <c r="AT74" s="45" t="s">
        <v>117</v>
      </c>
      <c r="AU74" s="45">
        <v>4</v>
      </c>
      <c r="AV74" s="45">
        <v>4</v>
      </c>
      <c r="AW74" s="45" t="s">
        <v>168</v>
      </c>
      <c r="AX74" s="45">
        <v>5</v>
      </c>
      <c r="AY74" s="45">
        <v>4</v>
      </c>
      <c r="AZ74" s="45" t="s">
        <v>155</v>
      </c>
      <c r="BA74" s="45">
        <v>6</v>
      </c>
      <c r="BB74" s="45">
        <v>5</v>
      </c>
      <c r="BC74" s="45">
        <v>5</v>
      </c>
      <c r="BD74" s="45">
        <v>5</v>
      </c>
      <c r="BE74" s="45" t="s">
        <v>137</v>
      </c>
      <c r="BF74" s="45">
        <v>6</v>
      </c>
      <c r="BG74" s="45" t="s">
        <v>189</v>
      </c>
      <c r="BH74" s="45">
        <v>6</v>
      </c>
      <c r="BI74" s="45" t="s">
        <v>221</v>
      </c>
      <c r="BJ74" s="45" t="s">
        <v>139</v>
      </c>
      <c r="BK74" s="45" t="s">
        <v>196</v>
      </c>
      <c r="BL74" s="45" t="s">
        <v>177</v>
      </c>
      <c r="BM74" s="45" t="s">
        <v>126</v>
      </c>
      <c r="BN74" s="45" t="s">
        <v>127</v>
      </c>
    </row>
    <row r="75" spans="1:67" x14ac:dyDescent="0.25">
      <c r="A75" s="47">
        <v>46076.70179997685</v>
      </c>
      <c r="B75" s="45" t="s">
        <v>184</v>
      </c>
      <c r="C75" s="45" t="s">
        <v>107</v>
      </c>
      <c r="F75" s="45" t="s">
        <v>108</v>
      </c>
      <c r="M75" s="45" t="s">
        <v>277</v>
      </c>
      <c r="N75" s="45" t="s">
        <v>111</v>
      </c>
      <c r="O75" s="45" t="s">
        <v>133</v>
      </c>
      <c r="P75" s="45" t="s">
        <v>133</v>
      </c>
      <c r="Q75" s="45" t="s">
        <v>132</v>
      </c>
      <c r="R75" s="45" t="s">
        <v>133</v>
      </c>
      <c r="S75" s="45" t="s">
        <v>133</v>
      </c>
      <c r="T75" s="45" t="s">
        <v>133</v>
      </c>
      <c r="U75" s="45" t="s">
        <v>133</v>
      </c>
      <c r="V75" s="45" t="s">
        <v>133</v>
      </c>
      <c r="W75" s="45" t="s">
        <v>112</v>
      </c>
      <c r="X75" s="45" t="s">
        <v>133</v>
      </c>
      <c r="Y75" s="45" t="s">
        <v>133</v>
      </c>
      <c r="Z75" s="45" t="s">
        <v>133</v>
      </c>
      <c r="AA75" s="45" t="s">
        <v>132</v>
      </c>
      <c r="AB75" s="45" t="s">
        <v>133</v>
      </c>
      <c r="AC75" s="45" t="s">
        <v>133</v>
      </c>
      <c r="AD75" s="45" t="s">
        <v>133</v>
      </c>
      <c r="AE75" s="45" t="s">
        <v>133</v>
      </c>
      <c r="AF75" s="45" t="s">
        <v>133</v>
      </c>
      <c r="AG75" s="45" t="s">
        <v>112</v>
      </c>
      <c r="AH75" s="45" t="s">
        <v>133</v>
      </c>
      <c r="AI75" s="45">
        <v>5</v>
      </c>
      <c r="AJ75" s="45" t="s">
        <v>167</v>
      </c>
      <c r="AK75" s="45" t="s">
        <v>174</v>
      </c>
      <c r="AL75" s="45">
        <v>5</v>
      </c>
      <c r="AM75" s="45">
        <v>7</v>
      </c>
      <c r="AN75" s="45">
        <v>7</v>
      </c>
      <c r="AO75" s="45">
        <v>4</v>
      </c>
      <c r="AP75" s="45">
        <v>1</v>
      </c>
      <c r="AQ75" s="45" t="s">
        <v>171</v>
      </c>
      <c r="AR75" s="45" t="s">
        <v>116</v>
      </c>
      <c r="AS75" s="45" t="s">
        <v>171</v>
      </c>
      <c r="AT75" s="45" t="s">
        <v>171</v>
      </c>
      <c r="AU75" s="45">
        <v>1</v>
      </c>
      <c r="AV75" s="45">
        <v>1</v>
      </c>
      <c r="AW75" s="45" t="s">
        <v>251</v>
      </c>
      <c r="AX75" s="45">
        <v>7</v>
      </c>
      <c r="AY75" s="45">
        <v>7</v>
      </c>
      <c r="AZ75" s="45" t="s">
        <v>169</v>
      </c>
      <c r="BA75" s="45">
        <v>7</v>
      </c>
      <c r="BB75" s="45">
        <v>7</v>
      </c>
      <c r="BC75" s="45">
        <v>1</v>
      </c>
      <c r="BD75" s="45">
        <v>1</v>
      </c>
      <c r="BE75" s="45" t="s">
        <v>159</v>
      </c>
      <c r="BF75" s="45">
        <v>1</v>
      </c>
      <c r="BG75" s="45" t="s">
        <v>121</v>
      </c>
      <c r="BH75" s="45">
        <v>4</v>
      </c>
      <c r="BI75" s="45" t="s">
        <v>122</v>
      </c>
      <c r="BJ75" s="45" t="s">
        <v>123</v>
      </c>
      <c r="BK75" s="45" t="s">
        <v>196</v>
      </c>
      <c r="BL75" s="45" t="s">
        <v>278</v>
      </c>
      <c r="BM75" s="45" t="s">
        <v>126</v>
      </c>
      <c r="BN75" s="45" t="s">
        <v>172</v>
      </c>
    </row>
    <row r="76" spans="1:67" x14ac:dyDescent="0.25">
      <c r="A76" s="47">
        <v>46076.737562824077</v>
      </c>
      <c r="B76" s="45" t="s">
        <v>129</v>
      </c>
      <c r="C76" s="45" t="s">
        <v>148</v>
      </c>
      <c r="E76" s="45" t="s">
        <v>108</v>
      </c>
      <c r="F76" s="45" t="s">
        <v>108</v>
      </c>
      <c r="K76" s="45" t="s">
        <v>109</v>
      </c>
      <c r="M76" s="45" t="s">
        <v>279</v>
      </c>
      <c r="N76" s="45" t="s">
        <v>161</v>
      </c>
      <c r="O76" s="45" t="s">
        <v>133</v>
      </c>
      <c r="P76" s="45" t="s">
        <v>143</v>
      </c>
      <c r="Q76" s="45" t="s">
        <v>132</v>
      </c>
      <c r="R76" s="45" t="s">
        <v>143</v>
      </c>
      <c r="S76" s="45" t="s">
        <v>133</v>
      </c>
      <c r="T76" s="45" t="s">
        <v>133</v>
      </c>
      <c r="U76" s="45" t="s">
        <v>133</v>
      </c>
      <c r="V76" s="45" t="s">
        <v>133</v>
      </c>
      <c r="W76" s="45" t="s">
        <v>143</v>
      </c>
      <c r="X76" s="45" t="s">
        <v>133</v>
      </c>
      <c r="Y76" s="45" t="s">
        <v>143</v>
      </c>
      <c r="Z76" s="45" t="s">
        <v>143</v>
      </c>
      <c r="AA76" s="45" t="s">
        <v>132</v>
      </c>
      <c r="AB76" s="45" t="s">
        <v>143</v>
      </c>
      <c r="AC76" s="45" t="s">
        <v>133</v>
      </c>
      <c r="AD76" s="45" t="s">
        <v>133</v>
      </c>
      <c r="AE76" s="45" t="s">
        <v>133</v>
      </c>
      <c r="AF76" s="45" t="s">
        <v>133</v>
      </c>
      <c r="AG76" s="45" t="s">
        <v>143</v>
      </c>
      <c r="AH76" s="45" t="s">
        <v>143</v>
      </c>
      <c r="AI76" s="45">
        <v>5</v>
      </c>
      <c r="AJ76" s="45" t="s">
        <v>220</v>
      </c>
      <c r="AK76" s="45" t="s">
        <v>115</v>
      </c>
      <c r="AL76" s="45">
        <v>7</v>
      </c>
      <c r="AM76" s="45">
        <v>4</v>
      </c>
      <c r="AN76" s="45">
        <v>6</v>
      </c>
      <c r="AO76" s="45">
        <v>6</v>
      </c>
      <c r="AP76" s="45">
        <v>7</v>
      </c>
      <c r="AQ76" s="45" t="s">
        <v>116</v>
      </c>
      <c r="AR76" s="45" t="s">
        <v>116</v>
      </c>
      <c r="AS76" s="45" t="s">
        <v>116</v>
      </c>
      <c r="AT76" s="45" t="s">
        <v>116</v>
      </c>
      <c r="AU76" s="45">
        <v>4</v>
      </c>
      <c r="AV76" s="45">
        <v>6</v>
      </c>
      <c r="AW76" s="45" t="s">
        <v>135</v>
      </c>
      <c r="AX76" s="45">
        <v>6</v>
      </c>
      <c r="AY76" s="45">
        <v>5</v>
      </c>
      <c r="AZ76" s="45" t="s">
        <v>136</v>
      </c>
      <c r="BA76" s="45">
        <v>4</v>
      </c>
      <c r="BB76" s="45">
        <v>6</v>
      </c>
      <c r="BC76" s="45">
        <v>6</v>
      </c>
      <c r="BD76" s="45">
        <v>3</v>
      </c>
      <c r="BE76" s="45" t="s">
        <v>280</v>
      </c>
      <c r="BF76" s="45">
        <v>6</v>
      </c>
      <c r="BG76" s="45" t="s">
        <v>121</v>
      </c>
      <c r="BH76" s="45">
        <v>6</v>
      </c>
      <c r="BI76" s="45" t="s">
        <v>195</v>
      </c>
      <c r="BJ76" s="45" t="s">
        <v>139</v>
      </c>
      <c r="BK76" s="45" t="s">
        <v>196</v>
      </c>
      <c r="BL76" s="45" t="s">
        <v>177</v>
      </c>
      <c r="BM76" s="45" t="s">
        <v>281</v>
      </c>
      <c r="BN76" s="45" t="s">
        <v>172</v>
      </c>
    </row>
    <row r="77" spans="1:67" x14ac:dyDescent="0.25">
      <c r="A77" s="47">
        <v>46076.756817650457</v>
      </c>
      <c r="B77" s="45" t="s">
        <v>165</v>
      </c>
      <c r="C77" s="45" t="s">
        <v>130</v>
      </c>
      <c r="F77" s="45" t="s">
        <v>108</v>
      </c>
      <c r="L77" s="45" t="s">
        <v>109</v>
      </c>
      <c r="M77" s="45" t="s">
        <v>282</v>
      </c>
      <c r="N77" s="45" t="s">
        <v>161</v>
      </c>
      <c r="O77" s="45" t="s">
        <v>143</v>
      </c>
      <c r="P77" s="45" t="s">
        <v>132</v>
      </c>
      <c r="Q77" s="45" t="s">
        <v>143</v>
      </c>
      <c r="R77" s="45" t="s">
        <v>132</v>
      </c>
      <c r="S77" s="45" t="s">
        <v>143</v>
      </c>
      <c r="T77" s="45" t="s">
        <v>143</v>
      </c>
      <c r="U77" s="45" t="s">
        <v>133</v>
      </c>
      <c r="V77" s="45" t="s">
        <v>132</v>
      </c>
      <c r="W77" s="45" t="s">
        <v>143</v>
      </c>
      <c r="X77" s="45" t="s">
        <v>132</v>
      </c>
      <c r="Y77" s="45" t="s">
        <v>132</v>
      </c>
      <c r="Z77" s="45" t="s">
        <v>132</v>
      </c>
      <c r="AA77" s="45" t="s">
        <v>143</v>
      </c>
      <c r="AB77" s="45" t="s">
        <v>132</v>
      </c>
      <c r="AC77" s="45" t="s">
        <v>143</v>
      </c>
      <c r="AD77" s="45" t="s">
        <v>143</v>
      </c>
      <c r="AE77" s="45" t="s">
        <v>133</v>
      </c>
      <c r="AF77" s="45" t="s">
        <v>143</v>
      </c>
      <c r="AG77" s="45" t="s">
        <v>133</v>
      </c>
      <c r="AH77" s="45" t="s">
        <v>143</v>
      </c>
      <c r="AI77" s="45">
        <v>5</v>
      </c>
      <c r="AJ77" s="45" t="s">
        <v>150</v>
      </c>
      <c r="AK77" s="45" t="s">
        <v>134</v>
      </c>
      <c r="AL77" s="45">
        <v>4</v>
      </c>
      <c r="AM77" s="45">
        <v>6</v>
      </c>
      <c r="AN77" s="45">
        <v>5</v>
      </c>
      <c r="AO77" s="45">
        <v>5</v>
      </c>
      <c r="AP77" s="45">
        <v>5</v>
      </c>
      <c r="AQ77" s="45" t="s">
        <v>117</v>
      </c>
      <c r="AR77" s="45" t="s">
        <v>116</v>
      </c>
      <c r="AS77" s="45" t="s">
        <v>117</v>
      </c>
      <c r="AT77" s="45" t="s">
        <v>117</v>
      </c>
      <c r="AU77" s="45">
        <v>3</v>
      </c>
      <c r="AV77" s="45">
        <v>3</v>
      </c>
      <c r="AW77" s="45" t="s">
        <v>118</v>
      </c>
      <c r="AX77" s="45">
        <v>6</v>
      </c>
      <c r="AY77" s="45">
        <v>6</v>
      </c>
      <c r="AZ77" s="45" t="s">
        <v>119</v>
      </c>
      <c r="BA77" s="45">
        <v>5</v>
      </c>
      <c r="BB77" s="45">
        <v>6</v>
      </c>
      <c r="BC77" s="45">
        <v>5</v>
      </c>
      <c r="BD77" s="45">
        <v>2</v>
      </c>
      <c r="BE77" s="45" t="s">
        <v>137</v>
      </c>
      <c r="BF77" s="45">
        <v>6</v>
      </c>
      <c r="BG77" s="45" t="s">
        <v>121</v>
      </c>
      <c r="BH77" s="45">
        <v>6</v>
      </c>
      <c r="BI77" s="45" t="s">
        <v>244</v>
      </c>
      <c r="BJ77" s="45" t="s">
        <v>139</v>
      </c>
      <c r="BK77" s="45" t="s">
        <v>196</v>
      </c>
      <c r="BL77" s="45" t="s">
        <v>177</v>
      </c>
      <c r="BM77" s="45" t="s">
        <v>208</v>
      </c>
      <c r="BN77" s="45" t="s">
        <v>127</v>
      </c>
      <c r="BO77" s="45" t="s">
        <v>159</v>
      </c>
    </row>
    <row r="78" spans="1:67" x14ac:dyDescent="0.25">
      <c r="A78" s="47">
        <v>46076.757993900457</v>
      </c>
      <c r="B78" s="45" t="s">
        <v>129</v>
      </c>
      <c r="C78" s="45" t="s">
        <v>107</v>
      </c>
      <c r="F78" s="45" t="s">
        <v>109</v>
      </c>
      <c r="M78" s="45" t="s">
        <v>283</v>
      </c>
      <c r="N78" s="45" t="s">
        <v>111</v>
      </c>
      <c r="O78" s="45" t="s">
        <v>112</v>
      </c>
      <c r="P78" s="45" t="s">
        <v>143</v>
      </c>
      <c r="Q78" s="45" t="s">
        <v>133</v>
      </c>
      <c r="R78" s="45" t="s">
        <v>133</v>
      </c>
      <c r="S78" s="45" t="s">
        <v>133</v>
      </c>
      <c r="T78" s="45" t="s">
        <v>133</v>
      </c>
      <c r="U78" s="45" t="s">
        <v>133</v>
      </c>
      <c r="V78" s="45" t="s">
        <v>133</v>
      </c>
      <c r="W78" s="45" t="s">
        <v>133</v>
      </c>
      <c r="X78" s="45" t="s">
        <v>143</v>
      </c>
      <c r="Y78" s="45" t="s">
        <v>112</v>
      </c>
      <c r="Z78" s="45" t="s">
        <v>143</v>
      </c>
      <c r="AA78" s="45" t="s">
        <v>143</v>
      </c>
      <c r="AB78" s="45" t="s">
        <v>133</v>
      </c>
      <c r="AC78" s="45" t="s">
        <v>133</v>
      </c>
      <c r="AD78" s="45" t="s">
        <v>133</v>
      </c>
      <c r="AE78" s="45" t="s">
        <v>133</v>
      </c>
      <c r="AF78" s="45" t="s">
        <v>133</v>
      </c>
      <c r="AG78" s="45" t="s">
        <v>133</v>
      </c>
      <c r="AH78" s="45" t="s">
        <v>133</v>
      </c>
      <c r="AI78" s="45">
        <v>3</v>
      </c>
      <c r="AJ78" s="45" t="s">
        <v>191</v>
      </c>
      <c r="AK78" s="45" t="s">
        <v>162</v>
      </c>
      <c r="AL78" s="45">
        <v>7</v>
      </c>
      <c r="AM78" s="45">
        <v>7</v>
      </c>
      <c r="AN78" s="45">
        <v>7</v>
      </c>
      <c r="AO78" s="45">
        <v>7</v>
      </c>
      <c r="AP78" s="45">
        <v>7</v>
      </c>
      <c r="AQ78" s="45" t="s">
        <v>117</v>
      </c>
      <c r="AR78" s="45" t="s">
        <v>116</v>
      </c>
      <c r="AS78" s="45" t="s">
        <v>151</v>
      </c>
      <c r="AT78" s="45" t="s">
        <v>116</v>
      </c>
      <c r="AU78" s="45">
        <v>7</v>
      </c>
      <c r="AV78" s="45">
        <v>4</v>
      </c>
      <c r="AW78" s="45" t="s">
        <v>135</v>
      </c>
      <c r="AX78" s="45">
        <v>2</v>
      </c>
      <c r="AY78" s="45">
        <v>2</v>
      </c>
      <c r="AZ78" s="45" t="s">
        <v>169</v>
      </c>
      <c r="BA78" s="45">
        <v>7</v>
      </c>
      <c r="BB78" s="45">
        <v>7</v>
      </c>
      <c r="BC78" s="45">
        <v>4</v>
      </c>
      <c r="BD78" s="45">
        <v>1</v>
      </c>
      <c r="BE78" s="45" t="s">
        <v>137</v>
      </c>
      <c r="BF78" s="45">
        <v>5</v>
      </c>
      <c r="BG78" s="45" t="s">
        <v>121</v>
      </c>
      <c r="BH78" s="45">
        <v>3</v>
      </c>
      <c r="BI78" s="45" t="s">
        <v>221</v>
      </c>
      <c r="BJ78" s="45" t="s">
        <v>139</v>
      </c>
      <c r="BK78" s="45" t="s">
        <v>196</v>
      </c>
      <c r="BL78" s="45" t="s">
        <v>177</v>
      </c>
      <c r="BM78" s="45" t="s">
        <v>126</v>
      </c>
      <c r="BN78" s="45" t="s">
        <v>172</v>
      </c>
    </row>
    <row r="79" spans="1:67" x14ac:dyDescent="0.25">
      <c r="A79" s="47">
        <v>46076.884953067129</v>
      </c>
      <c r="B79" s="45" t="s">
        <v>106</v>
      </c>
      <c r="C79" s="45" t="s">
        <v>148</v>
      </c>
      <c r="E79" s="45" t="s">
        <v>109</v>
      </c>
      <c r="F79" s="45" t="s">
        <v>109</v>
      </c>
      <c r="M79" s="45" t="s">
        <v>283</v>
      </c>
      <c r="N79" s="45" t="s">
        <v>111</v>
      </c>
      <c r="O79" s="45" t="s">
        <v>132</v>
      </c>
      <c r="P79" s="45" t="s">
        <v>132</v>
      </c>
      <c r="Q79" s="45" t="s">
        <v>132</v>
      </c>
      <c r="R79" s="45" t="s">
        <v>132</v>
      </c>
      <c r="S79" s="45" t="s">
        <v>113</v>
      </c>
      <c r="T79" s="45" t="s">
        <v>143</v>
      </c>
      <c r="U79" s="45" t="s">
        <v>133</v>
      </c>
      <c r="V79" s="45" t="s">
        <v>133</v>
      </c>
      <c r="W79" s="45" t="s">
        <v>133</v>
      </c>
      <c r="X79" s="45" t="s">
        <v>132</v>
      </c>
      <c r="Y79" s="45" t="s">
        <v>132</v>
      </c>
      <c r="Z79" s="45" t="s">
        <v>132</v>
      </c>
      <c r="AA79" s="45" t="s">
        <v>143</v>
      </c>
      <c r="AB79" s="45" t="s">
        <v>143</v>
      </c>
      <c r="AC79" s="45" t="s">
        <v>143</v>
      </c>
      <c r="AD79" s="45" t="s">
        <v>143</v>
      </c>
      <c r="AE79" s="45" t="s">
        <v>143</v>
      </c>
      <c r="AF79" s="45" t="s">
        <v>133</v>
      </c>
      <c r="AG79" s="45" t="s">
        <v>133</v>
      </c>
      <c r="AH79" s="45" t="s">
        <v>132</v>
      </c>
      <c r="AI79" s="45">
        <v>5</v>
      </c>
      <c r="AJ79" s="45" t="s">
        <v>114</v>
      </c>
      <c r="AK79" s="45" t="s">
        <v>115</v>
      </c>
      <c r="AL79" s="45">
        <v>6</v>
      </c>
      <c r="AM79" s="45">
        <v>7</v>
      </c>
      <c r="AN79" s="45">
        <v>7</v>
      </c>
      <c r="AO79" s="45">
        <v>7</v>
      </c>
      <c r="AP79" s="45">
        <v>5</v>
      </c>
      <c r="AQ79" s="45" t="s">
        <v>117</v>
      </c>
      <c r="AR79" s="45" t="s">
        <v>116</v>
      </c>
      <c r="AS79" s="45" t="s">
        <v>116</v>
      </c>
      <c r="AT79" s="45" t="s">
        <v>117</v>
      </c>
      <c r="AU79" s="45">
        <v>5</v>
      </c>
      <c r="AV79" s="45">
        <v>7</v>
      </c>
      <c r="AW79" s="45" t="s">
        <v>118</v>
      </c>
      <c r="AX79" s="45">
        <v>4</v>
      </c>
      <c r="AY79" s="45">
        <v>6</v>
      </c>
      <c r="AZ79" s="45" t="s">
        <v>169</v>
      </c>
      <c r="BA79" s="45">
        <v>7</v>
      </c>
      <c r="BB79" s="45">
        <v>6</v>
      </c>
      <c r="BC79" s="45">
        <v>5</v>
      </c>
      <c r="BD79" s="45">
        <v>5</v>
      </c>
      <c r="BE79" s="45" t="s">
        <v>137</v>
      </c>
      <c r="BF79" s="45">
        <v>7</v>
      </c>
      <c r="BG79" s="45" t="s">
        <v>121</v>
      </c>
      <c r="BH79" s="45">
        <v>5</v>
      </c>
      <c r="BI79" s="45" t="s">
        <v>221</v>
      </c>
      <c r="BJ79" s="45" t="s">
        <v>123</v>
      </c>
      <c r="BK79" s="45" t="s">
        <v>196</v>
      </c>
      <c r="BL79" s="45" t="s">
        <v>177</v>
      </c>
      <c r="BM79" s="45" t="s">
        <v>126</v>
      </c>
      <c r="BN79" s="45" t="s">
        <v>172</v>
      </c>
    </row>
    <row r="80" spans="1:67" x14ac:dyDescent="0.25">
      <c r="A80" s="47">
        <v>46077.281938159722</v>
      </c>
      <c r="B80" s="45" t="s">
        <v>226</v>
      </c>
      <c r="BI80" s="45" t="s">
        <v>221</v>
      </c>
      <c r="BJ80" s="45" t="s">
        <v>123</v>
      </c>
      <c r="BK80" s="45" t="s">
        <v>196</v>
      </c>
      <c r="BL80" s="45" t="s">
        <v>177</v>
      </c>
      <c r="BM80" s="45" t="s">
        <v>197</v>
      </c>
      <c r="BN80" s="45" t="s">
        <v>172</v>
      </c>
    </row>
    <row r="81" spans="1:67" x14ac:dyDescent="0.25">
      <c r="A81" s="47">
        <v>46077.370951597222</v>
      </c>
      <c r="B81" s="45" t="s">
        <v>129</v>
      </c>
      <c r="C81" s="45" t="s">
        <v>148</v>
      </c>
      <c r="E81" s="45" t="s">
        <v>108</v>
      </c>
      <c r="F81" s="45" t="s">
        <v>108</v>
      </c>
      <c r="K81" s="45" t="s">
        <v>109</v>
      </c>
      <c r="M81" s="45" t="s">
        <v>163</v>
      </c>
      <c r="N81" s="45" t="s">
        <v>111</v>
      </c>
      <c r="O81" s="45" t="s">
        <v>132</v>
      </c>
      <c r="P81" s="45" t="s">
        <v>143</v>
      </c>
      <c r="Q81" s="45" t="s">
        <v>113</v>
      </c>
      <c r="R81" s="45" t="s">
        <v>113</v>
      </c>
      <c r="S81" s="45" t="s">
        <v>132</v>
      </c>
      <c r="T81" s="45" t="s">
        <v>112</v>
      </c>
      <c r="U81" s="45" t="s">
        <v>113</v>
      </c>
      <c r="V81" s="45" t="s">
        <v>133</v>
      </c>
      <c r="W81" s="45" t="s">
        <v>133</v>
      </c>
      <c r="X81" s="45" t="s">
        <v>132</v>
      </c>
      <c r="Y81" s="45" t="s">
        <v>132</v>
      </c>
      <c r="Z81" s="45" t="s">
        <v>132</v>
      </c>
      <c r="AA81" s="45" t="s">
        <v>143</v>
      </c>
      <c r="AB81" s="45" t="s">
        <v>133</v>
      </c>
      <c r="AC81" s="45" t="s">
        <v>132</v>
      </c>
      <c r="AD81" s="45" t="s">
        <v>133</v>
      </c>
      <c r="AE81" s="45" t="s">
        <v>133</v>
      </c>
      <c r="AF81" s="45" t="s">
        <v>113</v>
      </c>
      <c r="AG81" s="45" t="s">
        <v>113</v>
      </c>
      <c r="AH81" s="45" t="s">
        <v>132</v>
      </c>
      <c r="AI81" s="45">
        <v>6</v>
      </c>
      <c r="AJ81" s="45" t="s">
        <v>114</v>
      </c>
      <c r="AK81" s="45" t="s">
        <v>134</v>
      </c>
      <c r="AL81" s="45">
        <v>5</v>
      </c>
      <c r="AM81" s="45">
        <v>7</v>
      </c>
      <c r="AN81" s="45">
        <v>7</v>
      </c>
      <c r="AO81" s="45">
        <v>6</v>
      </c>
      <c r="AP81" s="45">
        <v>1</v>
      </c>
      <c r="AQ81" s="45" t="s">
        <v>117</v>
      </c>
      <c r="AR81" s="45" t="s">
        <v>116</v>
      </c>
      <c r="AS81" s="45" t="s">
        <v>117</v>
      </c>
      <c r="AT81" s="45" t="s">
        <v>171</v>
      </c>
      <c r="AU81" s="45">
        <v>7</v>
      </c>
      <c r="AV81" s="45">
        <v>7</v>
      </c>
      <c r="AW81" s="45" t="s">
        <v>154</v>
      </c>
      <c r="AX81" s="45">
        <v>6</v>
      </c>
      <c r="AY81" s="45">
        <v>6</v>
      </c>
      <c r="AZ81" s="45" t="s">
        <v>119</v>
      </c>
      <c r="BA81" s="45">
        <v>6</v>
      </c>
      <c r="BB81" s="45">
        <v>7</v>
      </c>
      <c r="BC81" s="45">
        <v>5</v>
      </c>
      <c r="BD81" s="45">
        <v>6</v>
      </c>
      <c r="BE81" s="45" t="s">
        <v>137</v>
      </c>
      <c r="BF81" s="45">
        <v>5</v>
      </c>
      <c r="BG81" s="45" t="s">
        <v>121</v>
      </c>
      <c r="BH81" s="45">
        <v>4</v>
      </c>
      <c r="BI81" s="45" t="s">
        <v>122</v>
      </c>
      <c r="BJ81" s="45" t="s">
        <v>139</v>
      </c>
      <c r="BK81" s="45" t="s">
        <v>196</v>
      </c>
      <c r="BL81" s="45" t="s">
        <v>192</v>
      </c>
      <c r="BM81" s="45" t="s">
        <v>126</v>
      </c>
      <c r="BN81" s="45" t="s">
        <v>172</v>
      </c>
    </row>
    <row r="82" spans="1:67" x14ac:dyDescent="0.25">
      <c r="A82" s="47">
        <v>46077.419464317129</v>
      </c>
      <c r="B82" s="45" t="s">
        <v>129</v>
      </c>
      <c r="C82" s="45" t="s">
        <v>130</v>
      </c>
      <c r="E82" s="45" t="s">
        <v>109</v>
      </c>
      <c r="M82" s="45" t="s">
        <v>284</v>
      </c>
      <c r="N82" s="45" t="s">
        <v>161</v>
      </c>
      <c r="O82" s="45" t="s">
        <v>132</v>
      </c>
      <c r="P82" s="45" t="s">
        <v>132</v>
      </c>
      <c r="Q82" s="45" t="s">
        <v>132</v>
      </c>
      <c r="R82" s="45" t="s">
        <v>133</v>
      </c>
      <c r="S82" s="45" t="s">
        <v>133</v>
      </c>
      <c r="T82" s="45" t="s">
        <v>133</v>
      </c>
      <c r="U82" s="45" t="s">
        <v>133</v>
      </c>
      <c r="V82" s="45" t="s">
        <v>133</v>
      </c>
      <c r="W82" s="45" t="s">
        <v>143</v>
      </c>
      <c r="X82" s="45" t="s">
        <v>132</v>
      </c>
      <c r="Y82" s="45" t="s">
        <v>143</v>
      </c>
      <c r="Z82" s="45" t="s">
        <v>143</v>
      </c>
      <c r="AA82" s="45" t="s">
        <v>143</v>
      </c>
      <c r="AB82" s="45" t="s">
        <v>133</v>
      </c>
      <c r="AC82" s="45" t="s">
        <v>133</v>
      </c>
      <c r="AD82" s="45" t="s">
        <v>133</v>
      </c>
      <c r="AE82" s="45" t="s">
        <v>133</v>
      </c>
      <c r="AF82" s="45" t="s">
        <v>133</v>
      </c>
      <c r="AG82" s="45" t="s">
        <v>133</v>
      </c>
      <c r="AH82" s="45" t="s">
        <v>143</v>
      </c>
      <c r="AI82" s="45">
        <v>5</v>
      </c>
      <c r="AJ82" s="45" t="s">
        <v>150</v>
      </c>
      <c r="AK82" s="45" t="s">
        <v>134</v>
      </c>
      <c r="AL82" s="45">
        <v>6</v>
      </c>
      <c r="AM82" s="45">
        <v>6</v>
      </c>
      <c r="AN82" s="45">
        <v>6</v>
      </c>
      <c r="AO82" s="45">
        <v>6</v>
      </c>
      <c r="AP82" s="45">
        <v>6</v>
      </c>
      <c r="AQ82" s="45" t="s">
        <v>116</v>
      </c>
      <c r="AR82" s="45" t="s">
        <v>116</v>
      </c>
      <c r="AS82" s="45" t="s">
        <v>151</v>
      </c>
      <c r="AT82" s="45" t="s">
        <v>116</v>
      </c>
      <c r="AU82" s="45">
        <v>5</v>
      </c>
      <c r="AV82" s="45">
        <v>7</v>
      </c>
      <c r="AW82" s="45" t="s">
        <v>118</v>
      </c>
      <c r="AX82" s="45">
        <v>4</v>
      </c>
      <c r="AY82" s="45">
        <v>4</v>
      </c>
      <c r="AZ82" s="45" t="s">
        <v>119</v>
      </c>
      <c r="BA82" s="45">
        <v>5</v>
      </c>
      <c r="BB82" s="45">
        <v>2</v>
      </c>
      <c r="BC82" s="45">
        <v>4</v>
      </c>
      <c r="BD82" s="45">
        <v>4</v>
      </c>
      <c r="BE82" s="45" t="s">
        <v>137</v>
      </c>
      <c r="BF82" s="45">
        <v>6</v>
      </c>
      <c r="BG82" s="45" t="s">
        <v>121</v>
      </c>
      <c r="BH82" s="45">
        <v>5</v>
      </c>
      <c r="BI82" s="45" t="s">
        <v>138</v>
      </c>
      <c r="BJ82" s="45" t="s">
        <v>139</v>
      </c>
      <c r="BK82" s="45" t="s">
        <v>124</v>
      </c>
      <c r="BL82" s="45" t="s">
        <v>125</v>
      </c>
      <c r="BM82" s="45" t="s">
        <v>126</v>
      </c>
      <c r="BN82" s="45" t="s">
        <v>127</v>
      </c>
    </row>
    <row r="83" spans="1:67" x14ac:dyDescent="0.25">
      <c r="A83" s="47">
        <v>46077.477435532397</v>
      </c>
      <c r="B83" s="45" t="s">
        <v>165</v>
      </c>
      <c r="C83" s="45" t="s">
        <v>107</v>
      </c>
      <c r="F83" s="45" t="s">
        <v>108</v>
      </c>
      <c r="M83" s="45" t="s">
        <v>285</v>
      </c>
      <c r="N83" s="45" t="s">
        <v>111</v>
      </c>
      <c r="O83" s="45" t="s">
        <v>132</v>
      </c>
      <c r="P83" s="45" t="s">
        <v>143</v>
      </c>
      <c r="Q83" s="45" t="s">
        <v>143</v>
      </c>
      <c r="R83" s="45" t="s">
        <v>132</v>
      </c>
      <c r="S83" s="45" t="s">
        <v>133</v>
      </c>
      <c r="T83" s="45" t="s">
        <v>133</v>
      </c>
      <c r="U83" s="45" t="s">
        <v>113</v>
      </c>
      <c r="V83" s="45" t="s">
        <v>113</v>
      </c>
      <c r="W83" s="45" t="s">
        <v>113</v>
      </c>
      <c r="X83" s="45" t="s">
        <v>132</v>
      </c>
      <c r="Y83" s="45" t="s">
        <v>143</v>
      </c>
      <c r="Z83" s="45" t="s">
        <v>133</v>
      </c>
      <c r="AA83" s="45" t="s">
        <v>133</v>
      </c>
      <c r="AB83" s="45" t="s">
        <v>143</v>
      </c>
      <c r="AC83" s="45" t="s">
        <v>133</v>
      </c>
      <c r="AD83" s="45" t="s">
        <v>133</v>
      </c>
      <c r="AE83" s="45" t="s">
        <v>113</v>
      </c>
      <c r="AF83" s="45" t="s">
        <v>113</v>
      </c>
      <c r="AG83" s="45" t="s">
        <v>133</v>
      </c>
      <c r="AH83" s="45" t="s">
        <v>143</v>
      </c>
      <c r="AI83" s="45">
        <v>5</v>
      </c>
      <c r="AJ83" s="45" t="s">
        <v>191</v>
      </c>
      <c r="AK83" s="45" t="s">
        <v>115</v>
      </c>
      <c r="AL83" s="45">
        <v>5</v>
      </c>
      <c r="AM83" s="45">
        <v>6</v>
      </c>
      <c r="AN83" s="45">
        <v>6</v>
      </c>
      <c r="AO83" s="45">
        <v>6</v>
      </c>
      <c r="AP83" s="45">
        <v>4</v>
      </c>
      <c r="AQ83" s="45" t="s">
        <v>117</v>
      </c>
      <c r="AR83" s="45" t="s">
        <v>117</v>
      </c>
      <c r="AS83" s="45" t="s">
        <v>116</v>
      </c>
      <c r="AT83" s="45" t="s">
        <v>117</v>
      </c>
      <c r="AU83" s="45">
        <v>5</v>
      </c>
      <c r="AV83" s="45">
        <v>7</v>
      </c>
      <c r="AW83" s="45" t="s">
        <v>210</v>
      </c>
      <c r="AX83" s="45">
        <v>5</v>
      </c>
      <c r="AY83" s="45">
        <v>4</v>
      </c>
      <c r="AZ83" s="45" t="s">
        <v>119</v>
      </c>
      <c r="BA83" s="45">
        <v>6</v>
      </c>
      <c r="BB83" s="45">
        <v>4</v>
      </c>
      <c r="BC83" s="45">
        <v>4</v>
      </c>
      <c r="BD83" s="45">
        <v>2</v>
      </c>
      <c r="BE83" s="45" t="s">
        <v>137</v>
      </c>
      <c r="BF83" s="45">
        <v>6</v>
      </c>
      <c r="BG83" s="45" t="s">
        <v>121</v>
      </c>
      <c r="BH83" s="45">
        <v>4</v>
      </c>
      <c r="BI83" s="45" t="s">
        <v>244</v>
      </c>
      <c r="BJ83" s="45" t="s">
        <v>139</v>
      </c>
      <c r="BK83" s="45" t="s">
        <v>196</v>
      </c>
      <c r="BL83" s="45" t="s">
        <v>177</v>
      </c>
      <c r="BM83" s="45" t="s">
        <v>126</v>
      </c>
      <c r="BN83" s="45" t="s">
        <v>172</v>
      </c>
      <c r="BO83" s="45" t="s">
        <v>286</v>
      </c>
    </row>
    <row r="84" spans="1:67" x14ac:dyDescent="0.25">
      <c r="A84" s="47">
        <v>46078.917957905091</v>
      </c>
      <c r="B84" s="45" t="s">
        <v>184</v>
      </c>
      <c r="C84" s="45" t="s">
        <v>130</v>
      </c>
      <c r="K84" s="45" t="s">
        <v>109</v>
      </c>
      <c r="M84" s="45" t="s">
        <v>287</v>
      </c>
      <c r="N84" s="45" t="s">
        <v>161</v>
      </c>
      <c r="O84" s="45" t="s">
        <v>113</v>
      </c>
      <c r="P84" s="45" t="s">
        <v>113</v>
      </c>
      <c r="Q84" s="45" t="s">
        <v>132</v>
      </c>
      <c r="R84" s="45" t="s">
        <v>143</v>
      </c>
      <c r="S84" s="45" t="s">
        <v>133</v>
      </c>
      <c r="T84" s="45" t="s">
        <v>133</v>
      </c>
      <c r="U84" s="45" t="s">
        <v>133</v>
      </c>
      <c r="V84" s="45" t="s">
        <v>133</v>
      </c>
      <c r="W84" s="45" t="s">
        <v>133</v>
      </c>
      <c r="X84" s="45" t="s">
        <v>133</v>
      </c>
      <c r="Y84" s="45" t="s">
        <v>133</v>
      </c>
      <c r="Z84" s="45" t="s">
        <v>133</v>
      </c>
      <c r="AA84" s="45" t="s">
        <v>132</v>
      </c>
      <c r="AB84" s="45" t="s">
        <v>132</v>
      </c>
      <c r="AC84" s="45" t="s">
        <v>133</v>
      </c>
      <c r="AD84" s="45" t="s">
        <v>133</v>
      </c>
      <c r="AE84" s="45" t="s">
        <v>133</v>
      </c>
      <c r="AF84" s="45" t="s">
        <v>133</v>
      </c>
      <c r="AG84" s="45" t="s">
        <v>143</v>
      </c>
      <c r="AH84" s="45" t="s">
        <v>133</v>
      </c>
      <c r="AI84" s="45">
        <v>7</v>
      </c>
      <c r="AJ84" s="45" t="s">
        <v>167</v>
      </c>
      <c r="AK84" s="45" t="s">
        <v>134</v>
      </c>
      <c r="AL84" s="45">
        <v>3</v>
      </c>
      <c r="AM84" s="45">
        <v>7</v>
      </c>
      <c r="AN84" s="45">
        <v>7</v>
      </c>
      <c r="AO84" s="45">
        <v>4</v>
      </c>
      <c r="AP84" s="45">
        <v>7</v>
      </c>
      <c r="AQ84" s="45" t="s">
        <v>116</v>
      </c>
      <c r="AR84" s="45" t="s">
        <v>116</v>
      </c>
      <c r="AS84" s="45" t="s">
        <v>151</v>
      </c>
      <c r="AT84" s="45" t="s">
        <v>116</v>
      </c>
      <c r="AU84" s="45">
        <v>7</v>
      </c>
      <c r="AV84" s="45">
        <v>7</v>
      </c>
      <c r="AW84" s="45" t="s">
        <v>210</v>
      </c>
      <c r="AX84" s="45">
        <v>7</v>
      </c>
      <c r="AY84" s="45">
        <v>7</v>
      </c>
      <c r="AZ84" s="45" t="s">
        <v>119</v>
      </c>
      <c r="BA84" s="45">
        <v>7</v>
      </c>
      <c r="BB84" s="45">
        <v>4</v>
      </c>
      <c r="BC84" s="45">
        <v>7</v>
      </c>
      <c r="BD84" s="45">
        <v>1</v>
      </c>
      <c r="BE84" s="45" t="s">
        <v>159</v>
      </c>
      <c r="BF84" s="45">
        <v>7</v>
      </c>
      <c r="BG84" s="45" t="s">
        <v>121</v>
      </c>
      <c r="BH84" s="45">
        <v>5</v>
      </c>
      <c r="BI84" s="45" t="s">
        <v>138</v>
      </c>
      <c r="BJ84" s="45" t="s">
        <v>123</v>
      </c>
      <c r="BK84" s="45" t="s">
        <v>140</v>
      </c>
      <c r="BL84" s="45" t="s">
        <v>125</v>
      </c>
      <c r="BM84" s="45" t="s">
        <v>126</v>
      </c>
      <c r="BN84" s="45" t="s">
        <v>127</v>
      </c>
    </row>
    <row r="85" spans="1:67" x14ac:dyDescent="0.25">
      <c r="A85" s="47">
        <v>46078.921858113426</v>
      </c>
      <c r="B85" s="45" t="s">
        <v>226</v>
      </c>
      <c r="BI85" s="45" t="s">
        <v>122</v>
      </c>
      <c r="BJ85" s="45" t="s">
        <v>139</v>
      </c>
      <c r="BK85" s="45" t="s">
        <v>140</v>
      </c>
      <c r="BL85" s="45" t="s">
        <v>192</v>
      </c>
      <c r="BM85" s="45" t="s">
        <v>288</v>
      </c>
      <c r="BN85" s="45" t="s">
        <v>127</v>
      </c>
    </row>
    <row r="86" spans="1:67" x14ac:dyDescent="0.25">
      <c r="A86" s="47">
        <v>46079.309273645827</v>
      </c>
      <c r="B86" s="45" t="s">
        <v>211</v>
      </c>
      <c r="C86" s="45" t="s">
        <v>107</v>
      </c>
      <c r="F86" s="45" t="s">
        <v>108</v>
      </c>
      <c r="G86" s="45" t="s">
        <v>108</v>
      </c>
      <c r="M86" s="45" t="s">
        <v>212</v>
      </c>
      <c r="N86" s="45" t="s">
        <v>111</v>
      </c>
      <c r="O86" s="45" t="s">
        <v>112</v>
      </c>
      <c r="P86" s="45" t="s">
        <v>113</v>
      </c>
      <c r="Q86" s="45" t="s">
        <v>113</v>
      </c>
      <c r="R86" s="45" t="s">
        <v>113</v>
      </c>
      <c r="S86" s="45" t="s">
        <v>112</v>
      </c>
      <c r="T86" s="45" t="s">
        <v>112</v>
      </c>
      <c r="U86" s="45" t="s">
        <v>112</v>
      </c>
      <c r="V86" s="45" t="s">
        <v>113</v>
      </c>
      <c r="W86" s="45" t="s">
        <v>113</v>
      </c>
      <c r="X86" s="45" t="s">
        <v>113</v>
      </c>
      <c r="Y86" s="45" t="s">
        <v>113</v>
      </c>
      <c r="Z86" s="45" t="s">
        <v>113</v>
      </c>
      <c r="AA86" s="45" t="s">
        <v>112</v>
      </c>
      <c r="AB86" s="45" t="s">
        <v>113</v>
      </c>
      <c r="AC86" s="45" t="s">
        <v>112</v>
      </c>
      <c r="AD86" s="45" t="s">
        <v>112</v>
      </c>
      <c r="AE86" s="45" t="s">
        <v>112</v>
      </c>
      <c r="AF86" s="45" t="s">
        <v>113</v>
      </c>
      <c r="AG86" s="45" t="s">
        <v>113</v>
      </c>
      <c r="AH86" s="45" t="s">
        <v>112</v>
      </c>
      <c r="AI86" s="45">
        <v>1</v>
      </c>
      <c r="AJ86" s="45" t="s">
        <v>220</v>
      </c>
      <c r="AK86" s="45" t="s">
        <v>162</v>
      </c>
      <c r="AL86" s="45">
        <v>5</v>
      </c>
      <c r="AM86" s="45">
        <v>4</v>
      </c>
      <c r="AN86" s="45">
        <v>4</v>
      </c>
      <c r="AO86" s="45">
        <v>4</v>
      </c>
      <c r="AP86" s="45">
        <v>5</v>
      </c>
      <c r="AQ86" s="45" t="s">
        <v>214</v>
      </c>
      <c r="AR86" s="45" t="s">
        <v>171</v>
      </c>
      <c r="AS86" s="45" t="s">
        <v>171</v>
      </c>
      <c r="AT86" s="45" t="s">
        <v>214</v>
      </c>
      <c r="AU86" s="45">
        <v>4</v>
      </c>
      <c r="AV86" s="45">
        <v>4</v>
      </c>
      <c r="AW86" s="45" t="s">
        <v>118</v>
      </c>
      <c r="AX86" s="45">
        <v>4</v>
      </c>
      <c r="AY86" s="45">
        <v>5</v>
      </c>
      <c r="AZ86" s="45" t="s">
        <v>136</v>
      </c>
      <c r="BA86" s="45">
        <v>4</v>
      </c>
      <c r="BB86" s="45">
        <v>5</v>
      </c>
      <c r="BC86" s="45">
        <v>4</v>
      </c>
      <c r="BD86" s="45">
        <v>5</v>
      </c>
      <c r="BE86" s="45" t="s">
        <v>159</v>
      </c>
      <c r="BF86" s="45">
        <v>4</v>
      </c>
      <c r="BG86" s="45" t="s">
        <v>121</v>
      </c>
      <c r="BH86" s="45">
        <v>4</v>
      </c>
      <c r="BI86" s="45" t="s">
        <v>122</v>
      </c>
      <c r="BJ86" s="45" t="s">
        <v>123</v>
      </c>
      <c r="BK86" s="45" t="s">
        <v>140</v>
      </c>
      <c r="BL86" s="45" t="s">
        <v>125</v>
      </c>
      <c r="BM86" s="45" t="s">
        <v>289</v>
      </c>
      <c r="BN86" s="45" t="s">
        <v>187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CB101"/>
  <sheetViews>
    <sheetView tabSelected="1" zoomScaleNormal="100" workbookViewId="0">
      <pane xSplit="1" ySplit="1" topLeftCell="BG2" activePane="bottomRight" state="frozen"/>
      <selection pane="topRight"/>
      <selection pane="bottomLeft"/>
      <selection pane="bottomRight" activeCell="BI11" sqref="BI11:BI68"/>
    </sheetView>
  </sheetViews>
  <sheetFormatPr baseColWidth="10" defaultColWidth="9.140625" defaultRowHeight="15" x14ac:dyDescent="0.25"/>
  <cols>
    <col min="1" max="1" width="18" style="43" customWidth="1"/>
    <col min="2" max="79" width="18" customWidth="1"/>
    <col min="80" max="80" width="24.5703125" customWidth="1"/>
    <col min="81" max="81" width="18.7109375" customWidth="1"/>
    <col min="82" max="82" width="9.5703125" bestFit="1" customWidth="1"/>
  </cols>
  <sheetData>
    <row r="1" spans="1:80" ht="165.75" x14ac:dyDescent="0.25">
      <c r="A1" s="40" t="s">
        <v>39</v>
      </c>
      <c r="B1" s="8" t="s">
        <v>40</v>
      </c>
      <c r="C1" s="8" t="s">
        <v>41</v>
      </c>
      <c r="D1" s="8" t="s">
        <v>42</v>
      </c>
      <c r="E1" s="8" t="s">
        <v>43</v>
      </c>
      <c r="F1" s="8" t="s">
        <v>44</v>
      </c>
      <c r="G1" s="8" t="s">
        <v>45</v>
      </c>
      <c r="H1" s="8" t="s">
        <v>46</v>
      </c>
      <c r="I1" s="8" t="s">
        <v>47</v>
      </c>
      <c r="J1" s="8" t="s">
        <v>48</v>
      </c>
      <c r="K1" s="8" t="s">
        <v>49</v>
      </c>
      <c r="L1" s="8" t="s">
        <v>50</v>
      </c>
      <c r="M1" s="8" t="s">
        <v>51</v>
      </c>
      <c r="N1" s="8" t="s">
        <v>52</v>
      </c>
      <c r="O1" s="8" t="s">
        <v>53</v>
      </c>
      <c r="P1" s="8" t="s">
        <v>54</v>
      </c>
      <c r="Q1" s="8" t="s">
        <v>55</v>
      </c>
      <c r="R1" s="8" t="s">
        <v>56</v>
      </c>
      <c r="S1" s="8" t="s">
        <v>57</v>
      </c>
      <c r="T1" s="8" t="s">
        <v>58</v>
      </c>
      <c r="U1" s="8" t="s">
        <v>59</v>
      </c>
      <c r="V1" s="8" t="s">
        <v>60</v>
      </c>
      <c r="W1" s="8" t="s">
        <v>61</v>
      </c>
      <c r="X1" s="8" t="s">
        <v>62</v>
      </c>
      <c r="Y1" s="8" t="s">
        <v>63</v>
      </c>
      <c r="Z1" s="8" t="s">
        <v>64</v>
      </c>
      <c r="AA1" s="8" t="s">
        <v>65</v>
      </c>
      <c r="AB1" s="8" t="s">
        <v>66</v>
      </c>
      <c r="AC1" s="8" t="s">
        <v>67</v>
      </c>
      <c r="AD1" s="8" t="s">
        <v>68</v>
      </c>
      <c r="AE1" s="8" t="s">
        <v>69</v>
      </c>
      <c r="AF1" s="8" t="s">
        <v>70</v>
      </c>
      <c r="AG1" s="8" t="s">
        <v>71</v>
      </c>
      <c r="AH1" s="8" t="s">
        <v>72</v>
      </c>
      <c r="AI1" s="8" t="s">
        <v>73</v>
      </c>
      <c r="AJ1" s="8" t="s">
        <v>74</v>
      </c>
      <c r="AK1" s="8" t="s">
        <v>75</v>
      </c>
      <c r="AL1" s="8" t="s">
        <v>76</v>
      </c>
      <c r="AM1" s="8" t="s">
        <v>77</v>
      </c>
      <c r="AN1" s="8" t="s">
        <v>78</v>
      </c>
      <c r="AO1" s="8" t="s">
        <v>79</v>
      </c>
      <c r="AP1" s="8" t="s">
        <v>80</v>
      </c>
      <c r="AQ1" s="8" t="s">
        <v>81</v>
      </c>
      <c r="AR1" s="8" t="s">
        <v>82</v>
      </c>
      <c r="AS1" s="8" t="s">
        <v>83</v>
      </c>
      <c r="AT1" s="8" t="s">
        <v>84</v>
      </c>
      <c r="AU1" s="8" t="s">
        <v>85</v>
      </c>
      <c r="AV1" s="8" t="s">
        <v>86</v>
      </c>
      <c r="AW1" s="8" t="s">
        <v>87</v>
      </c>
      <c r="AX1" s="8" t="s">
        <v>88</v>
      </c>
      <c r="AY1" s="8" t="s">
        <v>89</v>
      </c>
      <c r="AZ1" s="8" t="s">
        <v>90</v>
      </c>
      <c r="BA1" s="8" t="s">
        <v>91</v>
      </c>
      <c r="BB1" s="8" t="s">
        <v>92</v>
      </c>
      <c r="BC1" s="8" t="s">
        <v>93</v>
      </c>
      <c r="BD1" s="8" t="s">
        <v>94</v>
      </c>
      <c r="BE1" s="8" t="s">
        <v>95</v>
      </c>
      <c r="BF1" s="8" t="s">
        <v>96</v>
      </c>
      <c r="BG1" s="8" t="s">
        <v>97</v>
      </c>
      <c r="BH1" s="8" t="s">
        <v>98</v>
      </c>
      <c r="BI1" s="8" t="s">
        <v>99</v>
      </c>
      <c r="BJ1" s="8" t="s">
        <v>100</v>
      </c>
      <c r="BK1" s="8" t="s">
        <v>101</v>
      </c>
      <c r="BL1" s="8" t="s">
        <v>102</v>
      </c>
      <c r="BM1" s="8" t="s">
        <v>103</v>
      </c>
      <c r="BN1" s="8" t="s">
        <v>104</v>
      </c>
      <c r="BO1" s="8" t="s">
        <v>105</v>
      </c>
      <c r="BP1" s="8" t="s">
        <v>290</v>
      </c>
      <c r="BQ1" s="8" t="s">
        <v>291</v>
      </c>
      <c r="BR1" s="8" t="s">
        <v>292</v>
      </c>
      <c r="BS1" s="8" t="s">
        <v>293</v>
      </c>
      <c r="BT1" s="8" t="s">
        <v>294</v>
      </c>
      <c r="BU1" s="8" t="s">
        <v>295</v>
      </c>
      <c r="BV1" s="8" t="s">
        <v>296</v>
      </c>
      <c r="BW1" s="8" t="s">
        <v>297</v>
      </c>
      <c r="BX1" s="8" t="s">
        <v>298</v>
      </c>
      <c r="BY1" s="50" t="s">
        <v>299</v>
      </c>
      <c r="BZ1" s="8" t="s">
        <v>300</v>
      </c>
      <c r="CA1" s="51" t="s">
        <v>301</v>
      </c>
      <c r="CB1" s="8" t="s">
        <v>647</v>
      </c>
    </row>
    <row r="2" spans="1:80" x14ac:dyDescent="0.25">
      <c r="A2" s="41">
        <f t="array" ref="A2:BO68">_xlfn._xlws.FILTER(
  Form_Responses[],
  ('DONNEES BRUTES non filtrées'!BG2:BG86="4. Neutre")
  * (
      ISNUMBER(SEARCH("audit",'DONNEES BRUTES non filtrées'!BM2:BM86))
    + ISNUMBER(SEARCH("commissariat aux comptes",'DONNEES BRUTES non filtrées'!BM2:BM86))
    + ISNUMBER(SEARCH("cac",'DONNEES BRUTES non filtrées'!BM2:BM86))
  )
)</f>
        <v>46035.408825578706</v>
      </c>
      <c r="B2" s="9" t="str">
        <v>3. Rarement (1 à 3 fois par mois)</v>
      </c>
      <c r="C2" s="9" t="str">
        <v>Outils grand public (ex: ChatGPT, Gemini )</v>
      </c>
      <c r="D2" s="9">
        <v>0</v>
      </c>
      <c r="E2" s="9" t="str">
        <v>Version grand public</v>
      </c>
      <c r="F2" s="9" t="str">
        <v>Version grand public</v>
      </c>
      <c r="G2" s="9" t="str">
        <v>Version grand public</v>
      </c>
      <c r="H2" s="9">
        <v>0</v>
      </c>
      <c r="I2" s="9">
        <v>0</v>
      </c>
      <c r="J2" s="9" t="str">
        <v>Version entreprise</v>
      </c>
      <c r="K2" s="9">
        <v>0</v>
      </c>
      <c r="L2" s="9">
        <v>0</v>
      </c>
      <c r="M2" s="9" t="str">
        <v>Reformulation ou traduction de documents</v>
      </c>
      <c r="N2" s="9" t="str">
        <v>De manière VOLONTAIRE (vous avez choisi vous-même)</v>
      </c>
      <c r="O2" s="9" t="str">
        <v>1. Pas du tout utile</v>
      </c>
      <c r="P2" s="9" t="str">
        <v>2. Peu utile</v>
      </c>
      <c r="Q2" s="9" t="str">
        <v>2. Peu utile</v>
      </c>
      <c r="R2" s="9" t="str">
        <v>1. Pas du tout utile</v>
      </c>
      <c r="S2" s="9" t="str">
        <v>2. Peu utile</v>
      </c>
      <c r="T2" s="9" t="str">
        <v>1. Pas du tout utile</v>
      </c>
      <c r="U2" s="9" t="str">
        <v>1. Pas du tout utile</v>
      </c>
      <c r="V2" s="9" t="str">
        <v>1. Pas du tout utile</v>
      </c>
      <c r="W2" s="9" t="str">
        <v>2. Peu utile</v>
      </c>
      <c r="X2" s="9" t="str">
        <v>2. Peu utile</v>
      </c>
      <c r="Y2" s="9" t="str">
        <v>1. Pas du tout utile</v>
      </c>
      <c r="Z2" s="9" t="str">
        <v>1. Pas du tout utile</v>
      </c>
      <c r="AA2" s="9" t="str">
        <v>2. Peu utile</v>
      </c>
      <c r="AB2" s="9" t="str">
        <v>1. Pas du tout utile</v>
      </c>
      <c r="AC2" s="9" t="str">
        <v>1. Pas du tout utile</v>
      </c>
      <c r="AD2" s="9" t="str">
        <v>1. Pas du tout utile</v>
      </c>
      <c r="AE2" s="9" t="str">
        <v>1. Pas du tout utile</v>
      </c>
      <c r="AF2" s="9" t="str">
        <v>2. Peu utile</v>
      </c>
      <c r="AG2" s="9" t="str">
        <v>2. Peu utile</v>
      </c>
      <c r="AH2" s="9" t="str">
        <v>1. Pas du tout utile</v>
      </c>
      <c r="AI2" s="9">
        <v>2</v>
      </c>
      <c r="AJ2" s="9" t="str">
        <v>5. Plutôt facile (Assez intuitif)</v>
      </c>
      <c r="AK2" s="9" t="str">
        <v>5. Plutôt d'accord (S'intègre assez bien)</v>
      </c>
      <c r="AL2" s="9">
        <v>2</v>
      </c>
      <c r="AM2" s="9">
        <v>7</v>
      </c>
      <c r="AN2" s="9">
        <v>7</v>
      </c>
      <c r="AO2" s="9">
        <v>4</v>
      </c>
      <c r="AP2" s="9">
        <v>7</v>
      </c>
      <c r="AQ2" s="9" t="str">
        <v>5. Très important</v>
      </c>
      <c r="AR2" s="9" t="str">
        <v>5. Très important</v>
      </c>
      <c r="AS2" s="9" t="str">
        <v>4. Important</v>
      </c>
      <c r="AT2" s="9" t="str">
        <v>5. Très important</v>
      </c>
      <c r="AU2" s="9">
        <v>4</v>
      </c>
      <c r="AV2" s="9">
        <v>5</v>
      </c>
      <c r="AW2" s="9" t="str">
        <v>4. Moyenne (Environ une journée de formation cumulée)</v>
      </c>
      <c r="AX2" s="9">
        <v>7</v>
      </c>
      <c r="AY2" s="9">
        <v>7</v>
      </c>
      <c r="AZ2" s="9" t="str">
        <v>2. En désaccord (Je contrôle la quasi-totalité des éléments)</v>
      </c>
      <c r="BA2" s="9">
        <v>6</v>
      </c>
      <c r="BB2" s="9">
        <v>7</v>
      </c>
      <c r="BC2" s="9">
        <v>1</v>
      </c>
      <c r="BD2" s="9">
        <v>1</v>
      </c>
      <c r="BE2" s="9" t="str">
        <v>Je compte réduire l’utilisation de l’IA</v>
      </c>
      <c r="BF2" s="9">
        <v>1</v>
      </c>
      <c r="BG2" s="9" t="str">
        <v>4. Neutre</v>
      </c>
      <c r="BH2" s="9">
        <v>1</v>
      </c>
      <c r="BI2" s="9" t="str">
        <v>26-35</v>
      </c>
      <c r="BJ2" s="9" t="str">
        <v>Femme</v>
      </c>
      <c r="BK2" s="9" t="str">
        <v>Senior</v>
      </c>
      <c r="BL2" s="9" t="str">
        <v>2 - 3 ans</v>
      </c>
      <c r="BM2" s="9" t="str">
        <v>Audit Financier</v>
      </c>
      <c r="BN2" s="9" t="str">
        <v>Cabinet international</v>
      </c>
      <c r="BO2" s="9" t="str">
        <v xml:space="preserve">L’IA est une bonne tentative mais le cerveau humain reste meilleur, dans un métier d’audit financier qui est très sensible on peut utiliser l’IA pour nous informer sur des lois, de la comptabilité, des méthodes de calculs etc mais jamais pour émettre un rapport d’audit, le comissaire aux compte est un professionnel dans son domaine qui a fait plusieurs années d’études et d’expérience impossible qu’un rebot soit plus performant que lui. </v>
      </c>
      <c r="BP2" s="9">
        <f>IF(ISNUMBER($AI$2),ROUND((((($AI$2-1)*(4/6))+1)),4),"")</f>
        <v>1.6667000000000001</v>
      </c>
      <c r="BQ2" s="9">
        <f>IF(ISNUMBER($AL$2),8-$AL$2,"")</f>
        <v>6</v>
      </c>
      <c r="BR2" s="9">
        <f>IFERROR(8-VALUE(LEFT($AZ$2,1)),"")</f>
        <v>6</v>
      </c>
      <c r="BS2" s="9">
        <f>IF(ISNUMBER($BC$2),8-$BC$2,"")</f>
        <v>7</v>
      </c>
      <c r="BT2" s="9">
        <f>IF(ISNUMBER($BD$2),8-$BD$2,"")</f>
        <v>7</v>
      </c>
      <c r="BU2" s="9">
        <f>IFERROR(ROUND(AVERAGE(VALUE(LEFT($O$2,1)),VALUE(LEFT($P$2,1)),VALUE(LEFT($Q$2,1)),VALUE(LEFT($R$2,1)),VALUE(LEFT($S$2,1)),VALUE(LEFT($T$2,1)),VALUE(LEFT($U$2,1)),VALUE(LEFT($V$2,1)),VALUE(LEFT($W$2,1)),VALUE(LEFT($X$2,1)),VALUE(LEFT($Y$2,1)),VALUE(LEFT($Z$2,1)),VALUE(LEFT($AA$2,1)),VALUE(LEFT($AB$2,1)),VALUE(LEFT($AC$2,1)),VALUE(LEFT($AD$2,1)),VALUE(LEFT($AE$2,1)),VALUE(LEFT($AF$2,1)),VALUE(LEFT($AG$2,1)),VALUE(LEFT($AH$2,1)),$BP$2),4),"")</f>
        <v>1.4127000000000001</v>
      </c>
      <c r="BV2" s="9">
        <f>IFERROR(ROUND(AVERAGE(VALUE(LEFT($AJ$2,1)),VALUE(LEFT($AK$2,1)),$BQ$2),4),"")</f>
        <v>5.3333000000000004</v>
      </c>
      <c r="BW2" s="9">
        <f>IFERROR(ROUND(AVERAGE($AM$2,$AN$2,$AO$2,$AP$2),4),"")</f>
        <v>6.25</v>
      </c>
      <c r="BX2" s="9">
        <f>IFERROR(ROUND(AVERAGE(VALUE(LEFT($AW$2,1)),$AX$2,$AY$2),4),"")</f>
        <v>6</v>
      </c>
      <c r="BY2" s="9">
        <f>IFERROR(ROUND(AVERAGE($BR$2,$BA$2,$BB$2,$BS$2,$BT$2),4),"")</f>
        <v>6.6</v>
      </c>
      <c r="BZ2" s="9" t="str">
        <f>IF(OR($BK$2="Junior",$BK$2="Stagiaire",$BK$2="Alternant"),"Junior",IF(OR($BK$2="Superviseur",$BK$2="Superviseur ",$BK$2="Senior",$BK$2="Senior Manager",$BK$2="Manager"),"Senior-Manager",IF(OR($BK$2="Associe",$BK$2="Associé"),"Associe","Autre")))</f>
        <v>Senior-Manager</v>
      </c>
      <c r="CA2" s="9" t="b">
        <f>AND(NOT(ISNUMBER(SEARCH("Jamais",$B$2))),$BG$2="4. Neutre")</f>
        <v>1</v>
      </c>
      <c r="CB2">
        <f>VALUE(LEFT(B2,1))</f>
        <v>3</v>
      </c>
    </row>
    <row r="3" spans="1:80" x14ac:dyDescent="0.25">
      <c r="A3" s="42">
        <v>46036.706273900461</v>
      </c>
      <c r="B3" s="10" t="str">
        <v>5. Régulièrement (Plusieurs fois par semaine)</v>
      </c>
      <c r="C3" s="10" t="str">
        <v>Outils fournis/agréés par le cabinet (ex: Copilot sécurisé)</v>
      </c>
      <c r="D3" s="10">
        <v>0</v>
      </c>
      <c r="E3" s="10" t="str">
        <v>Version grand public</v>
      </c>
      <c r="F3" s="10">
        <v>0</v>
      </c>
      <c r="G3" s="10">
        <v>0</v>
      </c>
      <c r="H3" s="10">
        <v>0</v>
      </c>
      <c r="I3" s="10">
        <v>0</v>
      </c>
      <c r="J3" s="10">
        <v>0</v>
      </c>
      <c r="K3" s="10">
        <v>0</v>
      </c>
      <c r="L3" s="10">
        <v>0</v>
      </c>
      <c r="M3" s="10" t="str">
        <v>Recherche d'informations ou de points techniques, Rédaction (rapports, synthèses, notes, mails), Reformulation ou traduction de documents</v>
      </c>
      <c r="N3" s="10" t="str">
        <v>De manière VOLONTAIRE (vous avez choisi vous-même)</v>
      </c>
      <c r="O3" s="10" t="str">
        <v>1. Pas du tout utile</v>
      </c>
      <c r="P3" s="10" t="str">
        <v>2. Peu utile</v>
      </c>
      <c r="Q3" s="10" t="str">
        <v>5. Très utile</v>
      </c>
      <c r="R3" s="10" t="str">
        <v>2. Peu utile</v>
      </c>
      <c r="S3" s="10" t="str">
        <v>2. Peu utile</v>
      </c>
      <c r="T3" s="10" t="str">
        <v>1. Pas du tout utile</v>
      </c>
      <c r="U3" s="10" t="str">
        <v>1. Pas du tout utile</v>
      </c>
      <c r="V3" s="10" t="str">
        <v>1. Pas du tout utile</v>
      </c>
      <c r="W3" s="10" t="str">
        <v>1. Pas du tout utile</v>
      </c>
      <c r="X3" s="10" t="str">
        <v>3. Neutre</v>
      </c>
      <c r="Y3" s="10" t="str">
        <v>1. Pas du tout utile</v>
      </c>
      <c r="Z3" s="10" t="str">
        <v>2. Peu utile</v>
      </c>
      <c r="AA3" s="10" t="str">
        <v>5. Très utile</v>
      </c>
      <c r="AB3" s="10" t="str">
        <v>2. Peu utile</v>
      </c>
      <c r="AC3" s="10" t="str">
        <v>2. Peu utile</v>
      </c>
      <c r="AD3" s="10" t="str">
        <v>1. Pas du tout utile</v>
      </c>
      <c r="AE3" s="10" t="str">
        <v>1. Pas du tout utile</v>
      </c>
      <c r="AF3" s="10" t="str">
        <v>1. Pas du tout utile</v>
      </c>
      <c r="AG3" s="10" t="str">
        <v>1. Pas du tout utile</v>
      </c>
      <c r="AH3" s="10" t="str">
        <v>3. Neutre</v>
      </c>
      <c r="AI3" s="10">
        <v>6</v>
      </c>
      <c r="AJ3" s="10" t="str">
        <v>5. Plutôt facile (Assez intuitif)</v>
      </c>
      <c r="AK3" s="10" t="str">
        <v>6. D'accord (S'intègre facilement)</v>
      </c>
      <c r="AL3" s="10">
        <v>4</v>
      </c>
      <c r="AM3" s="10">
        <v>7</v>
      </c>
      <c r="AN3" s="10">
        <v>4</v>
      </c>
      <c r="AO3" s="10">
        <v>7</v>
      </c>
      <c r="AP3" s="10">
        <v>7</v>
      </c>
      <c r="AQ3" s="10" t="str">
        <v>5. Très important</v>
      </c>
      <c r="AR3" s="10" t="str">
        <v>4. Important</v>
      </c>
      <c r="AS3" s="10" t="str">
        <v>4. Important</v>
      </c>
      <c r="AT3" s="10" t="str">
        <v>5. Très important</v>
      </c>
      <c r="AU3" s="10">
        <v>4</v>
      </c>
      <c r="AV3" s="10">
        <v>4</v>
      </c>
      <c r="AW3" s="10" t="str">
        <v>3. Faible (Moins de 5 heures de formation au total)</v>
      </c>
      <c r="AX3" s="10">
        <v>5</v>
      </c>
      <c r="AY3" s="10">
        <v>5</v>
      </c>
      <c r="AZ3" s="10" t="str">
        <v>3. Plutôt en désaccord (Je procède à une revue importante)</v>
      </c>
      <c r="BA3" s="10">
        <v>5</v>
      </c>
      <c r="BB3" s="10">
        <v>6</v>
      </c>
      <c r="BC3" s="10">
        <v>5</v>
      </c>
      <c r="BD3" s="10">
        <v>3</v>
      </c>
      <c r="BE3" s="10" t="str">
        <v>Oui</v>
      </c>
      <c r="BF3" s="10">
        <v>5</v>
      </c>
      <c r="BG3" s="10" t="str">
        <v>4. Neutre</v>
      </c>
      <c r="BH3" s="10">
        <v>6</v>
      </c>
      <c r="BI3" s="10" t="str">
        <v>18-25</v>
      </c>
      <c r="BJ3" s="10" t="str">
        <v>Homme</v>
      </c>
      <c r="BK3" s="10" t="str">
        <v>Junior</v>
      </c>
      <c r="BL3" s="10" t="str">
        <v>Moins de 2 ans</v>
      </c>
      <c r="BM3" s="10" t="str">
        <v>Audit Financier</v>
      </c>
      <c r="BN3" s="10" t="str">
        <v>Cabinet international</v>
      </c>
      <c r="BO3" s="10">
        <v>0</v>
      </c>
      <c r="BP3" s="10">
        <f>IF(ISNUMBER($AI$3),ROUND((((($AI$3-1)*(4/6))+1)),4),"")</f>
        <v>4.3333000000000004</v>
      </c>
      <c r="BQ3" s="10">
        <f>IF(ISNUMBER($AL$3),8-$AL$3,"")</f>
        <v>4</v>
      </c>
      <c r="BR3" s="10">
        <f>IFERROR(8-VALUE(LEFT($AZ$3,1)),"")</f>
        <v>5</v>
      </c>
      <c r="BS3" s="10">
        <f>IF(ISNUMBER($BC$3),8-$BC$3,"")</f>
        <v>3</v>
      </c>
      <c r="BT3" s="10">
        <f>IF(ISNUMBER($BD$3),8-$BD$3,"")</f>
        <v>5</v>
      </c>
      <c r="BU3" s="10">
        <f>IFERROR(ROUND(AVERAGE(VALUE(LEFT($O$3,1)),VALUE(LEFT($P$3,1)),VALUE(LEFT($Q$3,1)),VALUE(LEFT($R$3,1)),VALUE(LEFT($S$3,1)),VALUE(LEFT($T$3,1)),VALUE(LEFT($U$3,1)),VALUE(LEFT($V$3,1)),VALUE(LEFT($W$3,1)),VALUE(LEFT($X$3,1)),VALUE(LEFT($Y$3,1)),VALUE(LEFT($Z$3,1)),VALUE(LEFT($AA$3,1)),VALUE(LEFT($AB$3,1)),VALUE(LEFT($AC$3,1)),VALUE(LEFT($AD$3,1)),VALUE(LEFT($AE$3,1)),VALUE(LEFT($AF$3,1)),VALUE(LEFT($AG$3,1)),VALUE(LEFT($AH$3,1)),$BP$3),4),"")</f>
        <v>2.0158999999999998</v>
      </c>
      <c r="BV3" s="10">
        <f>IFERROR(ROUND(AVERAGE(VALUE(LEFT($AJ$3,1)),VALUE(LEFT($AK$3,1)),$BQ$3),4),"")</f>
        <v>5</v>
      </c>
      <c r="BW3" s="10">
        <f>IFERROR(ROUND(AVERAGE($AM$3,$AN$3,$AO$3,$AP$3),4),"")</f>
        <v>6.25</v>
      </c>
      <c r="BX3" s="10">
        <f>IFERROR(ROUND(AVERAGE(VALUE(LEFT($AW$3,1)),$AX$3,$AY$3),4),"")</f>
        <v>4.3333000000000004</v>
      </c>
      <c r="BY3" s="10">
        <f>IFERROR(ROUND(AVERAGE($BR$3,$BA$3,$BB$3,$BS$3,$BT$3),4),"")</f>
        <v>4.8</v>
      </c>
      <c r="BZ3" s="10" t="str">
        <f>IF(OR($BK$3="Junior",$BK$3="Stagiaire",$BK$3="Alternant"),"Junior",IF(OR($BK$3="Superviseur",$BK$3="Superviseur ",$BK$3="Senior",$BK$3="Senior Manager",$BK$3="Manager"),"Senior-Manager",IF(OR($BK$3="Associe",$BK$3="Associé"),"Associe","Autre")))</f>
        <v>Junior</v>
      </c>
      <c r="CA3" s="10" t="b">
        <f>AND(NOT(ISNUMBER(SEARCH("Jamais",$B$3))),$BG$3="4. Neutre")</f>
        <v>1</v>
      </c>
      <c r="CB3">
        <f t="shared" ref="CB3:CB66" si="0">VALUE(LEFT(B3,1))</f>
        <v>5</v>
      </c>
    </row>
    <row r="4" spans="1:80" x14ac:dyDescent="0.25">
      <c r="A4" s="41">
        <v>46036.707386817128</v>
      </c>
      <c r="B4" s="9" t="str">
        <v>5. Régulièrement (Plusieurs fois par semaine)</v>
      </c>
      <c r="C4" s="9" t="str">
        <v>Outils fournis/agréés par le cabinet (ex: Copilot sécurisé)</v>
      </c>
      <c r="D4" s="9">
        <v>0</v>
      </c>
      <c r="E4" s="9" t="str">
        <v>Version entreprise</v>
      </c>
      <c r="F4" s="9" t="str">
        <v>Version grand public</v>
      </c>
      <c r="G4" s="9">
        <v>0</v>
      </c>
      <c r="H4" s="9">
        <v>0</v>
      </c>
      <c r="I4" s="9">
        <v>0</v>
      </c>
      <c r="J4" s="9">
        <v>0</v>
      </c>
      <c r="K4" s="9" t="str">
        <v>Version entreprise</v>
      </c>
      <c r="L4" s="9">
        <v>0</v>
      </c>
      <c r="M4" s="9" t="str">
        <v>Rapprochement/Comparaison de documents, Correction et mise en cohérence de documents, Rédaction (rapports, synthèses, notes, mails), Préparation de données (format, structuration, harmonisation des valeurs)</v>
      </c>
      <c r="N4" s="9" t="str">
        <v>De manière VOLONTAIRE (vous avez choisi vous-même)</v>
      </c>
      <c r="O4" s="9" t="str">
        <v>4. Utile</v>
      </c>
      <c r="P4" s="9" t="str">
        <v>4. Utile</v>
      </c>
      <c r="Q4" s="9" t="str">
        <v>5. Très utile</v>
      </c>
      <c r="R4" s="9" t="str">
        <v>2. Peu utile</v>
      </c>
      <c r="S4" s="9" t="str">
        <v>2. Peu utile</v>
      </c>
      <c r="T4" s="9" t="str">
        <v>3. Neutre</v>
      </c>
      <c r="U4" s="9" t="str">
        <v>3. Neutre</v>
      </c>
      <c r="V4" s="9" t="str">
        <v>3. Neutre</v>
      </c>
      <c r="W4" s="9" t="str">
        <v>3. Neutre</v>
      </c>
      <c r="X4" s="9" t="str">
        <v>4. Utile</v>
      </c>
      <c r="Y4" s="9" t="str">
        <v>4. Utile</v>
      </c>
      <c r="Z4" s="9" t="str">
        <v>4. Utile</v>
      </c>
      <c r="AA4" s="9" t="str">
        <v>4. Utile</v>
      </c>
      <c r="AB4" s="9" t="str">
        <v>4. Utile</v>
      </c>
      <c r="AC4" s="9" t="str">
        <v>2. Peu utile</v>
      </c>
      <c r="AD4" s="9" t="str">
        <v>2. Peu utile</v>
      </c>
      <c r="AE4" s="9" t="str">
        <v>2. Peu utile</v>
      </c>
      <c r="AF4" s="9" t="str">
        <v>2. Peu utile</v>
      </c>
      <c r="AG4" s="9" t="str">
        <v>4. Utile</v>
      </c>
      <c r="AH4" s="9" t="str">
        <v>4. Utile</v>
      </c>
      <c r="AI4" s="9">
        <v>7</v>
      </c>
      <c r="AJ4" s="9" t="str">
        <v>5. Plutôt facile (Assez intuitif)</v>
      </c>
      <c r="AK4" s="9" t="str">
        <v>1. Tout à fait en désaccord (Friction totale / Inutilisable)</v>
      </c>
      <c r="AL4" s="9">
        <v>5</v>
      </c>
      <c r="AM4" s="9">
        <v>1</v>
      </c>
      <c r="AN4" s="9">
        <v>4</v>
      </c>
      <c r="AO4" s="9">
        <v>4</v>
      </c>
      <c r="AP4" s="9">
        <v>6</v>
      </c>
      <c r="AQ4" s="9" t="str">
        <v>4. Important</v>
      </c>
      <c r="AR4" s="9" t="str">
        <v>4. Important</v>
      </c>
      <c r="AS4" s="9" t="str">
        <v>4. Important</v>
      </c>
      <c r="AT4" s="9" t="str">
        <v>4. Important</v>
      </c>
      <c r="AU4" s="9">
        <v>5</v>
      </c>
      <c r="AV4" s="9">
        <v>5</v>
      </c>
      <c r="AW4" s="9" t="str">
        <v>5. Solide (Plusieurs jours de formation ou modules suivis)</v>
      </c>
      <c r="AX4" s="9">
        <v>6</v>
      </c>
      <c r="AY4" s="9">
        <v>5</v>
      </c>
      <c r="AZ4" s="9" t="str">
        <v>4. Neutre (Le niveau de vérification dépend de la complexité)</v>
      </c>
      <c r="BA4" s="9">
        <v>5</v>
      </c>
      <c r="BB4" s="9">
        <v>4</v>
      </c>
      <c r="BC4" s="9">
        <v>6</v>
      </c>
      <c r="BD4" s="9">
        <v>4</v>
      </c>
      <c r="BE4" s="9" t="str">
        <v>Oui</v>
      </c>
      <c r="BF4" s="9">
        <v>7</v>
      </c>
      <c r="BG4" s="9" t="str">
        <v>4. Neutre</v>
      </c>
      <c r="BH4" s="9">
        <v>3</v>
      </c>
      <c r="BI4" s="9" t="str">
        <v>18-25</v>
      </c>
      <c r="BJ4" s="9" t="str">
        <v>Femme</v>
      </c>
      <c r="BK4" s="9" t="str">
        <v>Junior</v>
      </c>
      <c r="BL4" s="9" t="str">
        <v>Moins de 2 ans</v>
      </c>
      <c r="BM4" s="9" t="str">
        <v>Audit Financier</v>
      </c>
      <c r="BN4" s="9" t="str">
        <v>Cabinet international</v>
      </c>
      <c r="BO4" s="9">
        <v>0</v>
      </c>
      <c r="BP4" s="9">
        <f>IF(ISNUMBER($AI$4),ROUND((((($AI$4-1)*(4/6))+1)),4),"")</f>
        <v>5</v>
      </c>
      <c r="BQ4" s="9">
        <f>IF(ISNUMBER($AL$4),8-$AL$4,"")</f>
        <v>3</v>
      </c>
      <c r="BR4" s="9">
        <f>IFERROR(8-VALUE(LEFT($AZ$4,1)),"")</f>
        <v>4</v>
      </c>
      <c r="BS4" s="9">
        <f>IF(ISNUMBER($BC$4),8-$BC$4,"")</f>
        <v>2</v>
      </c>
      <c r="BT4" s="9">
        <f>IF(ISNUMBER($BD$4),8-$BD$4,"")</f>
        <v>4</v>
      </c>
      <c r="BU4" s="9">
        <f>IFERROR(ROUND(AVERAGE(VALUE(LEFT($O$4,1)),VALUE(LEFT($P$4,1)),VALUE(LEFT($Q$4,1)),VALUE(LEFT($R$4,1)),VALUE(LEFT($S$4,1)),VALUE(LEFT($T$4,1)),VALUE(LEFT($U$4,1)),VALUE(LEFT($V$4,1)),VALUE(LEFT($W$4,1)),VALUE(LEFT($X$4,1)),VALUE(LEFT($Y$4,1)),VALUE(LEFT($Z$4,1)),VALUE(LEFT($AA$4,1)),VALUE(LEFT($AB$4,1)),VALUE(LEFT($AC$4,1)),VALUE(LEFT($AD$4,1)),VALUE(LEFT($AE$4,1)),VALUE(LEFT($AF$4,1)),VALUE(LEFT($AG$4,1)),VALUE(LEFT($AH$4,1)),$BP$4),4),"")</f>
        <v>3.3332999999999999</v>
      </c>
      <c r="BV4" s="9">
        <f>IFERROR(ROUND(AVERAGE(VALUE(LEFT($AJ$4,1)),VALUE(LEFT($AK$4,1)),$BQ$4),4),"")</f>
        <v>3</v>
      </c>
      <c r="BW4" s="9">
        <f>IFERROR(ROUND(AVERAGE($AM$4,$AN$4,$AO$4,$AP$4),4),"")</f>
        <v>3.75</v>
      </c>
      <c r="BX4" s="9">
        <f>IFERROR(ROUND(AVERAGE(VALUE(LEFT($AW$4,1)),$AX$4,$AY$4),4),"")</f>
        <v>5.3333000000000004</v>
      </c>
      <c r="BY4" s="9">
        <f>IFERROR(ROUND(AVERAGE($BR$4,$BA$4,$BB$4,$BS$4,$BT$4),4),"")</f>
        <v>3.8</v>
      </c>
      <c r="BZ4" s="9" t="str">
        <f>IF(OR($BK$4="Junior",$BK$4="Stagiaire",$BK$4="Alternant"),"Junior",IF(OR($BK$4="Superviseur",$BK$4="Superviseur ",$BK$4="Senior",$BK$4="Senior Manager",$BK$4="Manager"),"Senior-Manager",IF(OR($BK$4="Associe",$BK$4="Associé"),"Associe","Autre")))</f>
        <v>Junior</v>
      </c>
      <c r="CA4" s="9" t="b">
        <f>AND(NOT(ISNUMBER(SEARCH("Jamais",$B$4))),$BG$4="4. Neutre")</f>
        <v>1</v>
      </c>
      <c r="CB4">
        <f t="shared" si="0"/>
        <v>5</v>
      </c>
    </row>
    <row r="5" spans="1:80" x14ac:dyDescent="0.25">
      <c r="A5" s="42">
        <v>46036.712242337962</v>
      </c>
      <c r="B5" s="10" t="str">
        <v>7. Très fréquemment (Plusieurs fois par jour)</v>
      </c>
      <c r="C5" s="10" t="str">
        <v>Usage mix des deux</v>
      </c>
      <c r="D5" s="10">
        <v>0</v>
      </c>
      <c r="E5" s="10" t="str">
        <v>Version entreprise</v>
      </c>
      <c r="F5" s="10" t="str">
        <v>Version grand public</v>
      </c>
      <c r="G5" s="10" t="str">
        <v>Version grand public</v>
      </c>
      <c r="H5" s="10">
        <v>0</v>
      </c>
      <c r="I5" s="10">
        <v>0</v>
      </c>
      <c r="J5" s="10">
        <v>0</v>
      </c>
      <c r="K5" s="10" t="str">
        <v>Version entreprise</v>
      </c>
      <c r="L5" s="10">
        <v>0</v>
      </c>
      <c r="M5" s="10" t="str">
        <v>Automatisation et création de scripts (SQL, VBA), Recherche d'informations ou de points techniques, Analyse de données et génération d'insights, Rédaction (rapports, synthèses, notes, mails), Évaluation du contrôle interne, Préparation de données (format, structuration, harmonisation des valeurs)</v>
      </c>
      <c r="N5" s="10" t="str">
        <v>De manière VOLONTAIRE (vous avez choisi vous-même)</v>
      </c>
      <c r="O5" s="10" t="str">
        <v>5. Très utile</v>
      </c>
      <c r="P5" s="10" t="str">
        <v>5. Très utile</v>
      </c>
      <c r="Q5" s="10" t="str">
        <v>5. Très utile</v>
      </c>
      <c r="R5" s="10" t="str">
        <v>3. Neutre</v>
      </c>
      <c r="S5" s="10" t="str">
        <v>5. Très utile</v>
      </c>
      <c r="T5" s="10" t="str">
        <v>3. Neutre</v>
      </c>
      <c r="U5" s="10" t="str">
        <v>3. Neutre</v>
      </c>
      <c r="V5" s="10" t="str">
        <v>3. Neutre</v>
      </c>
      <c r="W5" s="10" t="str">
        <v>4. Utile</v>
      </c>
      <c r="X5" s="10" t="str">
        <v>5. Très utile</v>
      </c>
      <c r="Y5" s="10" t="str">
        <v>5. Très utile</v>
      </c>
      <c r="Z5" s="10" t="str">
        <v>4. Utile</v>
      </c>
      <c r="AA5" s="10" t="str">
        <v>5. Très utile</v>
      </c>
      <c r="AB5" s="10" t="str">
        <v>4. Utile</v>
      </c>
      <c r="AC5" s="10" t="str">
        <v>5. Très utile</v>
      </c>
      <c r="AD5" s="10" t="str">
        <v>3. Neutre</v>
      </c>
      <c r="AE5" s="10" t="str">
        <v>3. Neutre</v>
      </c>
      <c r="AF5" s="10" t="str">
        <v>3. Neutre</v>
      </c>
      <c r="AG5" s="10" t="str">
        <v>3. Neutre</v>
      </c>
      <c r="AH5" s="10" t="str">
        <v>5. Très utile</v>
      </c>
      <c r="AI5" s="10">
        <v>7</v>
      </c>
      <c r="AJ5" s="10" t="str">
        <v>6. Facile (Maîtrise rapide)</v>
      </c>
      <c r="AK5" s="10" t="str">
        <v>6. D'accord (S'intègre facilement)</v>
      </c>
      <c r="AL5" s="10">
        <v>4</v>
      </c>
      <c r="AM5" s="10">
        <v>4</v>
      </c>
      <c r="AN5" s="10">
        <v>7</v>
      </c>
      <c r="AO5" s="10">
        <v>5</v>
      </c>
      <c r="AP5" s="10">
        <v>6</v>
      </c>
      <c r="AQ5" s="10" t="str">
        <v>3. Moyennement important</v>
      </c>
      <c r="AR5" s="10" t="str">
        <v>5. Très important</v>
      </c>
      <c r="AS5" s="10" t="str">
        <v>4. Important</v>
      </c>
      <c r="AT5" s="10" t="str">
        <v>4. Important</v>
      </c>
      <c r="AU5" s="10">
        <v>4</v>
      </c>
      <c r="AV5" s="10">
        <v>6</v>
      </c>
      <c r="AW5" s="10" t="str">
        <v>3. Faible (Moins de 5 heures de formation au total)</v>
      </c>
      <c r="AX5" s="10">
        <v>5</v>
      </c>
      <c r="AY5" s="10">
        <v>4</v>
      </c>
      <c r="AZ5" s="10" t="str">
        <v>4. Neutre (Le niveau de vérification dépend de la complexité)</v>
      </c>
      <c r="BA5" s="10">
        <v>4</v>
      </c>
      <c r="BB5" s="10">
        <v>6</v>
      </c>
      <c r="BC5" s="10">
        <v>6</v>
      </c>
      <c r="BD5" s="10">
        <v>4</v>
      </c>
      <c r="BE5" s="10" t="str">
        <v>Oui</v>
      </c>
      <c r="BF5" s="10">
        <v>6</v>
      </c>
      <c r="BG5" s="10" t="str">
        <v>4. Neutre</v>
      </c>
      <c r="BH5" s="10">
        <v>5</v>
      </c>
      <c r="BI5" s="10" t="str">
        <v>18-25</v>
      </c>
      <c r="BJ5" s="10" t="str">
        <v>Homme</v>
      </c>
      <c r="BK5" s="10" t="str">
        <v>Junior</v>
      </c>
      <c r="BL5" s="10" t="str">
        <v>Moins de 2 ans</v>
      </c>
      <c r="BM5" s="10" t="str">
        <v>Audit IT</v>
      </c>
      <c r="BN5" s="10" t="str">
        <v>Cabinet international</v>
      </c>
      <c r="BO5" s="10">
        <v>0</v>
      </c>
      <c r="BP5" s="10">
        <f>IF(ISNUMBER($AI$5),ROUND((((($AI$5-1)*(4/6))+1)),4),"")</f>
        <v>5</v>
      </c>
      <c r="BQ5" s="10">
        <f>IF(ISNUMBER($AL$5),8-$AL$5,"")</f>
        <v>4</v>
      </c>
      <c r="BR5" s="10">
        <f>IFERROR(8-VALUE(LEFT($AZ$5,1)),"")</f>
        <v>4</v>
      </c>
      <c r="BS5" s="10">
        <f>IF(ISNUMBER($BC$5),8-$BC$5,"")</f>
        <v>2</v>
      </c>
      <c r="BT5" s="10">
        <f>IF(ISNUMBER($BD$5),8-$BD$5,"")</f>
        <v>4</v>
      </c>
      <c r="BU5" s="10">
        <f>IFERROR(ROUND(AVERAGE(VALUE(LEFT($O$5,1)),VALUE(LEFT($P$5,1)),VALUE(LEFT($Q$5,1)),VALUE(LEFT($R$5,1)),VALUE(LEFT($S$5,1)),VALUE(LEFT($T$5,1)),VALUE(LEFT($U$5,1)),VALUE(LEFT($V$5,1)),VALUE(LEFT($W$5,1)),VALUE(LEFT($X$5,1)),VALUE(LEFT($Y$5,1)),VALUE(LEFT($Z$5,1)),VALUE(LEFT($AA$5,1)),VALUE(LEFT($AB$5,1)),VALUE(LEFT($AC$5,1)),VALUE(LEFT($AD$5,1)),VALUE(LEFT($AE$5,1)),VALUE(LEFT($AF$5,1)),VALUE(LEFT($AG$5,1)),VALUE(LEFT($AH$5,1)),$BP$5),4),"")</f>
        <v>4.0952000000000002</v>
      </c>
      <c r="BV5" s="10">
        <f>IFERROR(ROUND(AVERAGE(VALUE(LEFT($AJ$5,1)),VALUE(LEFT($AK$5,1)),$BQ$5),4),"")</f>
        <v>5.3333000000000004</v>
      </c>
      <c r="BW5" s="10">
        <f>IFERROR(ROUND(AVERAGE($AM$5,$AN$5,$AO$5,$AP$5),4),"")</f>
        <v>5.5</v>
      </c>
      <c r="BX5" s="10">
        <f>IFERROR(ROUND(AVERAGE(VALUE(LEFT($AW$5,1)),$AX$5,$AY$5),4),"")</f>
        <v>4</v>
      </c>
      <c r="BY5" s="10">
        <f>IFERROR(ROUND(AVERAGE($BR$5,$BA$5,$BB$5,$BS$5,$BT$5),4),"")</f>
        <v>4</v>
      </c>
      <c r="BZ5" s="10" t="str">
        <f>IF(OR($BK$5="Junior",$BK$5="Stagiaire",$BK$5="Alternant"),"Junior",IF(OR($BK$5="Superviseur",$BK$5="Superviseur ",$BK$5="Senior",$BK$5="Senior Manager",$BK$5="Manager"),"Senior-Manager",IF(OR($BK$5="Associe",$BK$5="Associé"),"Associe","Autre")))</f>
        <v>Junior</v>
      </c>
      <c r="CA5" s="10" t="b">
        <f>AND(NOT(ISNUMBER(SEARCH("Jamais",$B$5))),$BG$5="4. Neutre")</f>
        <v>1</v>
      </c>
      <c r="CB5">
        <f t="shared" si="0"/>
        <v>7</v>
      </c>
    </row>
    <row r="6" spans="1:80" x14ac:dyDescent="0.25">
      <c r="A6" s="41">
        <v>46036.712948518521</v>
      </c>
      <c r="B6" s="9" t="str">
        <v>5. Régulièrement (Plusieurs fois par semaine)</v>
      </c>
      <c r="C6" s="9" t="str">
        <v>Outils fournis/agréés par le cabinet (ex: Copilot sécurisé)</v>
      </c>
      <c r="D6" s="9">
        <v>0</v>
      </c>
      <c r="E6" s="9" t="str">
        <v>Version entreprise</v>
      </c>
      <c r="F6" s="9">
        <v>0</v>
      </c>
      <c r="G6" s="9">
        <v>0</v>
      </c>
      <c r="H6" s="9">
        <v>0</v>
      </c>
      <c r="I6" s="9">
        <v>0</v>
      </c>
      <c r="J6" s="9">
        <v>0</v>
      </c>
      <c r="K6" s="9">
        <v>0</v>
      </c>
      <c r="L6" s="9">
        <v>0</v>
      </c>
      <c r="M6" s="9" t="str">
        <v>Reformulation ou traduction de documents, Préparation de données (format, structuration, harmonisation des valeurs), Recherche d'informations ou de points techniques</v>
      </c>
      <c r="N6" s="9" t="str">
        <v>De manière VOLONTAIRE (vous avez choisi vous-même)</v>
      </c>
      <c r="O6" s="9" t="str">
        <v>5. Très utile</v>
      </c>
      <c r="P6" s="9" t="str">
        <v>5. Très utile</v>
      </c>
      <c r="Q6" s="9" t="str">
        <v>4. Utile</v>
      </c>
      <c r="R6" s="9" t="str">
        <v>5. Très utile</v>
      </c>
      <c r="S6" s="9" t="str">
        <v>5. Très utile</v>
      </c>
      <c r="T6" s="9" t="str">
        <v>4. Utile</v>
      </c>
      <c r="U6" s="9" t="str">
        <v>1. Pas du tout utile</v>
      </c>
      <c r="V6" s="9" t="str">
        <v>4. Utile</v>
      </c>
      <c r="W6" s="9" t="str">
        <v>4. Utile</v>
      </c>
      <c r="X6" s="9" t="str">
        <v>5. Très utile</v>
      </c>
      <c r="Y6" s="9" t="str">
        <v>5. Très utile</v>
      </c>
      <c r="Z6" s="9" t="str">
        <v>5. Très utile</v>
      </c>
      <c r="AA6" s="9" t="str">
        <v>5. Très utile</v>
      </c>
      <c r="AB6" s="9" t="str">
        <v>5. Très utile</v>
      </c>
      <c r="AC6" s="9" t="str">
        <v>5. Très utile</v>
      </c>
      <c r="AD6" s="9" t="str">
        <v>5. Très utile</v>
      </c>
      <c r="AE6" s="9" t="str">
        <v>5. Très utile</v>
      </c>
      <c r="AF6" s="9" t="str">
        <v>5. Très utile</v>
      </c>
      <c r="AG6" s="9" t="str">
        <v>5. Très utile</v>
      </c>
      <c r="AH6" s="9" t="str">
        <v>5. Très utile</v>
      </c>
      <c r="AI6" s="9">
        <v>6</v>
      </c>
      <c r="AJ6" s="9" t="str">
        <v>6. Facile (Maîtrise rapide)</v>
      </c>
      <c r="AK6" s="9" t="str">
        <v>6. D'accord (S'intègre facilement)</v>
      </c>
      <c r="AL6" s="9">
        <v>3</v>
      </c>
      <c r="AM6" s="9">
        <v>6</v>
      </c>
      <c r="AN6" s="9">
        <v>6</v>
      </c>
      <c r="AO6" s="9">
        <v>6</v>
      </c>
      <c r="AP6" s="9">
        <v>4</v>
      </c>
      <c r="AQ6" s="9" t="str">
        <v>5. Très important</v>
      </c>
      <c r="AR6" s="9" t="str">
        <v>5. Très important</v>
      </c>
      <c r="AS6" s="9" t="str">
        <v>5. Très important</v>
      </c>
      <c r="AT6" s="9" t="str">
        <v>5. Très important</v>
      </c>
      <c r="AU6" s="9">
        <v>6</v>
      </c>
      <c r="AV6" s="9">
        <v>7</v>
      </c>
      <c r="AW6" s="9" t="str">
        <v>1. Aucune</v>
      </c>
      <c r="AX6" s="9">
        <v>5</v>
      </c>
      <c r="AY6" s="9">
        <v>6</v>
      </c>
      <c r="AZ6" s="9" t="str">
        <v>5. Plutôt d'accord (Je vérifie uniquement les points clés)</v>
      </c>
      <c r="BA6" s="9">
        <v>4</v>
      </c>
      <c r="BB6" s="9">
        <v>6</v>
      </c>
      <c r="BC6" s="9">
        <v>5</v>
      </c>
      <c r="BD6" s="9">
        <v>2</v>
      </c>
      <c r="BE6" s="9" t="str">
        <v>aucune idée</v>
      </c>
      <c r="BF6" s="9">
        <v>4</v>
      </c>
      <c r="BG6" s="9" t="str">
        <v>4. Neutre</v>
      </c>
      <c r="BH6" s="9">
        <v>5</v>
      </c>
      <c r="BI6" s="9" t="str">
        <v>18-25</v>
      </c>
      <c r="BJ6" s="9" t="str">
        <v>Homme</v>
      </c>
      <c r="BK6" s="9" t="str">
        <v>Stagiaire</v>
      </c>
      <c r="BL6" s="9" t="str">
        <v>Moins de 2 ans</v>
      </c>
      <c r="BM6" s="9" t="str">
        <v>Audit Financier</v>
      </c>
      <c r="BN6" s="9" t="str">
        <v>Cabinet international</v>
      </c>
      <c r="BO6" s="9">
        <v>0</v>
      </c>
      <c r="BP6" s="9">
        <f>IF(ISNUMBER($AI$6),ROUND((((($AI$6-1)*(4/6))+1)),4),"")</f>
        <v>4.3333000000000004</v>
      </c>
      <c r="BQ6" s="9">
        <f>IF(ISNUMBER($AL$6),8-$AL$6,"")</f>
        <v>5</v>
      </c>
      <c r="BR6" s="9">
        <f>IFERROR(8-VALUE(LEFT($AZ$6,1)),"")</f>
        <v>3</v>
      </c>
      <c r="BS6" s="9">
        <f>IF(ISNUMBER($BC$6),8-$BC$6,"")</f>
        <v>3</v>
      </c>
      <c r="BT6" s="9">
        <f>IF(ISNUMBER($BD$6),8-$BD$6,"")</f>
        <v>6</v>
      </c>
      <c r="BU6" s="9">
        <f>IFERROR(ROUND(AVERAGE(VALUE(LEFT($O$6,1)),VALUE(LEFT($P$6,1)),VALUE(LEFT($Q$6,1)),VALUE(LEFT($R$6,1)),VALUE(LEFT($S$6,1)),VALUE(LEFT($T$6,1)),VALUE(LEFT($U$6,1)),VALUE(LEFT($V$6,1)),VALUE(LEFT($W$6,1)),VALUE(LEFT($X$6,1)),VALUE(LEFT($Y$6,1)),VALUE(LEFT($Z$6,1)),VALUE(LEFT($AA$6,1)),VALUE(LEFT($AB$6,1)),VALUE(LEFT($AC$6,1)),VALUE(LEFT($AD$6,1)),VALUE(LEFT($AE$6,1)),VALUE(LEFT($AF$6,1)),VALUE(LEFT($AG$6,1)),VALUE(LEFT($AH$6,1)),$BP$6),4),"")</f>
        <v>4.5872999999999999</v>
      </c>
      <c r="BV6" s="9">
        <f>IFERROR(ROUND(AVERAGE(VALUE(LEFT($AJ$6,1)),VALUE(LEFT($AK$6,1)),$BQ$6),4),"")</f>
        <v>5.6666999999999996</v>
      </c>
      <c r="BW6" s="9">
        <f>IFERROR(ROUND(AVERAGE($AM$6,$AN$6,$AO$6,$AP$6),4),"")</f>
        <v>5.5</v>
      </c>
      <c r="BX6" s="9">
        <f>IFERROR(ROUND(AVERAGE(VALUE(LEFT($AW$6,1)),$AX$6,$AY$6),4),"")</f>
        <v>4</v>
      </c>
      <c r="BY6" s="9">
        <f>IFERROR(ROUND(AVERAGE($BR$6,$BA$6,$BB$6,$BS$6,$BT$6),4),"")</f>
        <v>4.4000000000000004</v>
      </c>
      <c r="BZ6" s="9" t="str">
        <f>IF(OR($BK$6="Junior",$BK$6="Stagiaire",$BK$6="Alternant"),"Junior",IF(OR($BK$6="Superviseur",$BK$6="Superviseur ",$BK$6="Senior",$BK$6="Senior Manager",$BK$6="Manager"),"Senior-Manager",IF(OR($BK$6="Associe",$BK$6="Associé"),"Associe","Autre")))</f>
        <v>Junior</v>
      </c>
      <c r="CA6" s="9" t="b">
        <f>AND(NOT(ISNUMBER(SEARCH("Jamais",$B$6))),$BG$6="4. Neutre")</f>
        <v>1</v>
      </c>
      <c r="CB6">
        <f t="shared" si="0"/>
        <v>5</v>
      </c>
    </row>
    <row r="7" spans="1:80" x14ac:dyDescent="0.25">
      <c r="A7" s="42">
        <v>46036.71583533565</v>
      </c>
      <c r="B7" s="10" t="str">
        <v>5. Régulièrement (Plusieurs fois par semaine)</v>
      </c>
      <c r="C7" s="10" t="str">
        <v>Outils fournis/agréés par le cabinet (ex: Copilot sécurisé)</v>
      </c>
      <c r="D7" s="10">
        <v>0</v>
      </c>
      <c r="E7" s="10" t="str">
        <v>Version entreprise</v>
      </c>
      <c r="F7" s="10">
        <v>0</v>
      </c>
      <c r="G7" s="10">
        <v>0</v>
      </c>
      <c r="H7" s="10">
        <v>0</v>
      </c>
      <c r="I7" s="10">
        <v>0</v>
      </c>
      <c r="J7" s="10">
        <v>0</v>
      </c>
      <c r="K7" s="10">
        <v>0</v>
      </c>
      <c r="L7" s="10">
        <v>0</v>
      </c>
      <c r="M7" s="10" t="str">
        <v>Reformulation ou traduction de documents, Rédaction (rapports, synthèses, notes, mails), Préparation de données (format, structuration, harmonisation des valeurs), Correction et mise en cohérence de documents</v>
      </c>
      <c r="N7" s="10" t="str">
        <v>De manière VOLONTAIRE (vous avez choisi vous-même)</v>
      </c>
      <c r="O7" s="10" t="str">
        <v>3. Neutre</v>
      </c>
      <c r="P7" s="10" t="str">
        <v>5. Très utile</v>
      </c>
      <c r="Q7" s="10" t="str">
        <v>5. Très utile</v>
      </c>
      <c r="R7" s="10" t="str">
        <v>3. Neutre</v>
      </c>
      <c r="S7" s="10" t="str">
        <v>1. Pas du tout utile</v>
      </c>
      <c r="T7" s="10" t="str">
        <v>1. Pas du tout utile</v>
      </c>
      <c r="U7" s="10" t="str">
        <v>1. Pas du tout utile</v>
      </c>
      <c r="V7" s="10" t="str">
        <v>1. Pas du tout utile</v>
      </c>
      <c r="W7" s="10" t="str">
        <v>1. Pas du tout utile</v>
      </c>
      <c r="X7" s="10" t="str">
        <v>4. Utile</v>
      </c>
      <c r="Y7" s="10" t="str">
        <v>4. Utile</v>
      </c>
      <c r="Z7" s="10" t="str">
        <v>5. Très utile</v>
      </c>
      <c r="AA7" s="10" t="str">
        <v>5. Très utile</v>
      </c>
      <c r="AB7" s="10" t="str">
        <v>3. Neutre</v>
      </c>
      <c r="AC7" s="10" t="str">
        <v>1. Pas du tout utile</v>
      </c>
      <c r="AD7" s="10" t="str">
        <v>1. Pas du tout utile</v>
      </c>
      <c r="AE7" s="10" t="str">
        <v>1. Pas du tout utile</v>
      </c>
      <c r="AF7" s="10" t="str">
        <v>1. Pas du tout utile</v>
      </c>
      <c r="AG7" s="10" t="str">
        <v>1. Pas du tout utile</v>
      </c>
      <c r="AH7" s="10" t="str">
        <v>1. Pas du tout utile</v>
      </c>
      <c r="AI7" s="10">
        <v>5</v>
      </c>
      <c r="AJ7" s="10" t="str">
        <v>5. Plutôt facile (Assez intuitif)</v>
      </c>
      <c r="AK7" s="10" t="str">
        <v>5. Plutôt d'accord (S'intègre assez bien)</v>
      </c>
      <c r="AL7" s="10">
        <v>5</v>
      </c>
      <c r="AM7" s="10">
        <v>5</v>
      </c>
      <c r="AN7" s="10">
        <v>5</v>
      </c>
      <c r="AO7" s="10">
        <v>4</v>
      </c>
      <c r="AP7" s="10">
        <v>2</v>
      </c>
      <c r="AQ7" s="10" t="str">
        <v>5. Très important</v>
      </c>
      <c r="AR7" s="10" t="str">
        <v>5. Très important</v>
      </c>
      <c r="AS7" s="10" t="str">
        <v>5. Très important</v>
      </c>
      <c r="AT7" s="10" t="str">
        <v>5. Très important</v>
      </c>
      <c r="AU7" s="10">
        <v>4</v>
      </c>
      <c r="AV7" s="10">
        <v>5</v>
      </c>
      <c r="AW7" s="10" t="str">
        <v>4. Moyenne (Environ une journée de formation cumulée)</v>
      </c>
      <c r="AX7" s="10">
        <v>6</v>
      </c>
      <c r="AY7" s="10">
        <v>6</v>
      </c>
      <c r="AZ7" s="10" t="str">
        <v>2. En désaccord (Je contrôle la quasi-totalité des éléments)</v>
      </c>
      <c r="BA7" s="10">
        <v>6</v>
      </c>
      <c r="BB7" s="10">
        <v>6</v>
      </c>
      <c r="BC7" s="10">
        <v>5</v>
      </c>
      <c r="BD7" s="10">
        <v>2</v>
      </c>
      <c r="BE7" s="10" t="str">
        <v>Non</v>
      </c>
      <c r="BF7" s="10">
        <v>4</v>
      </c>
      <c r="BG7" s="10" t="str">
        <v>4. Neutre</v>
      </c>
      <c r="BH7" s="10">
        <v>4</v>
      </c>
      <c r="BI7" s="10" t="str">
        <v>18-25</v>
      </c>
      <c r="BJ7" s="10" t="str">
        <v>Femme</v>
      </c>
      <c r="BK7" s="10" t="str">
        <v>Junior</v>
      </c>
      <c r="BL7" s="10" t="str">
        <v>Moins de 2 ans</v>
      </c>
      <c r="BM7" s="10" t="str">
        <v>Audit Financier</v>
      </c>
      <c r="BN7" s="10" t="str">
        <v>Cabinet international</v>
      </c>
      <c r="BO7" s="10">
        <v>0</v>
      </c>
      <c r="BP7" s="10">
        <f>IF(ISNUMBER($AI$7),ROUND((((($AI$7-1)*(4/6))+1)),4),"")</f>
        <v>3.6667000000000001</v>
      </c>
      <c r="BQ7" s="10">
        <f>IF(ISNUMBER($AL$7),8-$AL$7,"")</f>
        <v>3</v>
      </c>
      <c r="BR7" s="10">
        <f>IFERROR(8-VALUE(LEFT($AZ$7,1)),"")</f>
        <v>6</v>
      </c>
      <c r="BS7" s="10">
        <f>IF(ISNUMBER($BC$7),8-$BC$7,"")</f>
        <v>3</v>
      </c>
      <c r="BT7" s="10">
        <f>IF(ISNUMBER($BD$7),8-$BD$7,"")</f>
        <v>6</v>
      </c>
      <c r="BU7" s="10">
        <f>IFERROR(ROUND(AVERAGE(VALUE(LEFT($O$7,1)),VALUE(LEFT($P$7,1)),VALUE(LEFT($Q$7,1)),VALUE(LEFT($R$7,1)),VALUE(LEFT($S$7,1)),VALUE(LEFT($T$7,1)),VALUE(LEFT($U$7,1)),VALUE(LEFT($V$7,1)),VALUE(LEFT($W$7,1)),VALUE(LEFT($X$7,1)),VALUE(LEFT($Y$7,1)),VALUE(LEFT($Z$7,1)),VALUE(LEFT($AA$7,1)),VALUE(LEFT($AB$7,1)),VALUE(LEFT($AC$7,1)),VALUE(LEFT($AD$7,1)),VALUE(LEFT($AE$7,1)),VALUE(LEFT($AF$7,1)),VALUE(LEFT($AG$7,1)),VALUE(LEFT($AH$7,1)),$BP$7),4),"")</f>
        <v>2.4603000000000002</v>
      </c>
      <c r="BV7" s="10">
        <f>IFERROR(ROUND(AVERAGE(VALUE(LEFT($AJ$7,1)),VALUE(LEFT($AK$7,1)),$BQ$7),4),"")</f>
        <v>4.3333000000000004</v>
      </c>
      <c r="BW7" s="10">
        <f>IFERROR(ROUND(AVERAGE($AM$7,$AN$7,$AO$7,$AP$7),4),"")</f>
        <v>4</v>
      </c>
      <c r="BX7" s="10">
        <f>IFERROR(ROUND(AVERAGE(VALUE(LEFT($AW$7,1)),$AX$7,$AY$7),4),"")</f>
        <v>5.3333000000000004</v>
      </c>
      <c r="BY7" s="10">
        <f>IFERROR(ROUND(AVERAGE($BR$7,$BA$7,$BB$7,$BS$7,$BT$7),4),"")</f>
        <v>5.4</v>
      </c>
      <c r="BZ7" s="10" t="str">
        <f>IF(OR($BK$7="Junior",$BK$7="Stagiaire",$BK$7="Alternant"),"Junior",IF(OR($BK$7="Superviseur",$BK$7="Superviseur ",$BK$7="Senior",$BK$7="Senior Manager",$BK$7="Manager"),"Senior-Manager",IF(OR($BK$7="Associe",$BK$7="Associé"),"Associe","Autre")))</f>
        <v>Junior</v>
      </c>
      <c r="CA7" s="10" t="b">
        <f>AND(NOT(ISNUMBER(SEARCH("Jamais",$B$7))),$BG$7="4. Neutre")</f>
        <v>1</v>
      </c>
      <c r="CB7">
        <f t="shared" si="0"/>
        <v>5</v>
      </c>
    </row>
    <row r="8" spans="1:80" x14ac:dyDescent="0.25">
      <c r="A8" s="41">
        <v>46036.721204953697</v>
      </c>
      <c r="B8" s="9" t="str">
        <v>3. Rarement (1 à 3 fois par mois)</v>
      </c>
      <c r="C8" s="9" t="str">
        <v>Outils fournis/agréés par le cabinet (ex: Copilot sécurisé)</v>
      </c>
      <c r="D8" s="9">
        <v>0</v>
      </c>
      <c r="E8" s="9" t="str">
        <v>Version entreprise</v>
      </c>
      <c r="F8" s="9">
        <v>0</v>
      </c>
      <c r="G8" s="9">
        <v>0</v>
      </c>
      <c r="H8" s="9">
        <v>0</v>
      </c>
      <c r="I8" s="9">
        <v>0</v>
      </c>
      <c r="J8" s="9">
        <v>0</v>
      </c>
      <c r="K8" s="9">
        <v>0</v>
      </c>
      <c r="L8" s="9">
        <v>0</v>
      </c>
      <c r="M8" s="9" t="str">
        <v>Formules Excel, aide pour l'utilisation des outils Microsoft</v>
      </c>
      <c r="N8" s="9" t="str">
        <v>De manière RECOMMANDÉE (cabinet encourage, mais facultatif)</v>
      </c>
      <c r="O8" s="9" t="str">
        <v>3. Neutre</v>
      </c>
      <c r="P8" s="9" t="str">
        <v>5. Très utile</v>
      </c>
      <c r="Q8" s="9" t="str">
        <v>4. Utile</v>
      </c>
      <c r="R8" s="9" t="str">
        <v>4. Utile</v>
      </c>
      <c r="S8" s="9" t="str">
        <v>3. Neutre</v>
      </c>
      <c r="T8" s="9" t="str">
        <v>1. Pas du tout utile</v>
      </c>
      <c r="U8" s="9" t="str">
        <v>1. Pas du tout utile</v>
      </c>
      <c r="V8" s="9" t="str">
        <v>1. Pas du tout utile</v>
      </c>
      <c r="W8" s="9" t="str">
        <v>3. Neutre</v>
      </c>
      <c r="X8" s="9" t="str">
        <v>4. Utile</v>
      </c>
      <c r="Y8" s="9" t="str">
        <v>3. Neutre</v>
      </c>
      <c r="Z8" s="9" t="str">
        <v>4. Utile</v>
      </c>
      <c r="AA8" s="9" t="str">
        <v>4. Utile</v>
      </c>
      <c r="AB8" s="9" t="str">
        <v>4. Utile</v>
      </c>
      <c r="AC8" s="9" t="str">
        <v>3. Neutre</v>
      </c>
      <c r="AD8" s="9" t="str">
        <v>1. Pas du tout utile</v>
      </c>
      <c r="AE8" s="9" t="str">
        <v>1. Pas du tout utile</v>
      </c>
      <c r="AF8" s="9" t="str">
        <v>1. Pas du tout utile</v>
      </c>
      <c r="AG8" s="9" t="str">
        <v>3. Neutre</v>
      </c>
      <c r="AH8" s="9" t="str">
        <v>4. Utile</v>
      </c>
      <c r="AI8" s="9">
        <v>5</v>
      </c>
      <c r="AJ8" s="9" t="str">
        <v>6. Facile (Maîtrise rapide)</v>
      </c>
      <c r="AK8" s="9" t="str">
        <v>3. Plutôt en désaccord (Demande un effort conscient)</v>
      </c>
      <c r="AL8" s="9">
        <v>6</v>
      </c>
      <c r="AM8" s="9">
        <v>7</v>
      </c>
      <c r="AN8" s="9">
        <v>6</v>
      </c>
      <c r="AO8" s="9">
        <v>6</v>
      </c>
      <c r="AP8" s="9">
        <v>2</v>
      </c>
      <c r="AQ8" s="9" t="str">
        <v>5. Très important</v>
      </c>
      <c r="AR8" s="9" t="str">
        <v>5. Très important</v>
      </c>
      <c r="AS8" s="9" t="str">
        <v>4. Important</v>
      </c>
      <c r="AT8" s="9" t="str">
        <v>3. Moyennement important</v>
      </c>
      <c r="AU8" s="9">
        <v>6</v>
      </c>
      <c r="AV8" s="9">
        <v>7</v>
      </c>
      <c r="AW8" s="9" t="str">
        <v>4. Moyenne (Environ une journée de formation cumulée)</v>
      </c>
      <c r="AX8" s="9">
        <v>4</v>
      </c>
      <c r="AY8" s="9">
        <v>4</v>
      </c>
      <c r="AZ8" s="9" t="str">
        <v>2. En désaccord (Je contrôle la quasi-totalité des éléments)</v>
      </c>
      <c r="BA8" s="9">
        <v>7</v>
      </c>
      <c r="BB8" s="9">
        <v>5</v>
      </c>
      <c r="BC8" s="9">
        <v>5</v>
      </c>
      <c r="BD8" s="9">
        <v>2</v>
      </c>
      <c r="BE8" s="9" t="str">
        <v>Oui</v>
      </c>
      <c r="BF8" s="9">
        <v>6</v>
      </c>
      <c r="BG8" s="9" t="str">
        <v>4. Neutre</v>
      </c>
      <c r="BH8" s="9">
        <v>4</v>
      </c>
      <c r="BI8" s="9" t="str">
        <v>26-35</v>
      </c>
      <c r="BJ8" s="9" t="str">
        <v>Femme</v>
      </c>
      <c r="BK8" s="9" t="str">
        <v>Junior</v>
      </c>
      <c r="BL8" s="9" t="str">
        <v>Moins de 2 ans</v>
      </c>
      <c r="BM8" s="9" t="str">
        <v>Audit Financier</v>
      </c>
      <c r="BN8" s="9" t="str">
        <v>Cabinet international</v>
      </c>
      <c r="BO8" s="9">
        <v>0</v>
      </c>
      <c r="BP8" s="9">
        <f>IF(ISNUMBER($AI$8),ROUND((((($AI$8-1)*(4/6))+1)),4),"")</f>
        <v>3.6667000000000001</v>
      </c>
      <c r="BQ8" s="9">
        <f>IF(ISNUMBER($AL$8),8-$AL$8,"")</f>
        <v>2</v>
      </c>
      <c r="BR8" s="9">
        <f>IFERROR(8-VALUE(LEFT($AZ$8,1)),"")</f>
        <v>6</v>
      </c>
      <c r="BS8" s="9">
        <f>IF(ISNUMBER($BC$8),8-$BC$8,"")</f>
        <v>3</v>
      </c>
      <c r="BT8" s="9">
        <f>IF(ISNUMBER($BD$8),8-$BD$8,"")</f>
        <v>6</v>
      </c>
      <c r="BU8" s="9">
        <f>IFERROR(ROUND(AVERAGE(VALUE(LEFT($O$8,1)),VALUE(LEFT($P$8,1)),VALUE(LEFT($Q$8,1)),VALUE(LEFT($R$8,1)),VALUE(LEFT($S$8,1)),VALUE(LEFT($T$8,1)),VALUE(LEFT($U$8,1)),VALUE(LEFT($V$8,1)),VALUE(LEFT($W$8,1)),VALUE(LEFT($X$8,1)),VALUE(LEFT($Y$8,1)),VALUE(LEFT($Z$8,1)),VALUE(LEFT($AA$8,1)),VALUE(LEFT($AB$8,1)),VALUE(LEFT($AC$8,1)),VALUE(LEFT($AD$8,1)),VALUE(LEFT($AE$8,1)),VALUE(LEFT($AF$8,1)),VALUE(LEFT($AG$8,1)),VALUE(LEFT($AH$8,1)),$BP$8),4),"")</f>
        <v>2.8889</v>
      </c>
      <c r="BV8" s="9">
        <f>IFERROR(ROUND(AVERAGE(VALUE(LEFT($AJ$8,1)),VALUE(LEFT($AK$8,1)),$BQ$8),4),"")</f>
        <v>3.6667000000000001</v>
      </c>
      <c r="BW8" s="9">
        <f>IFERROR(ROUND(AVERAGE($AM$8,$AN$8,$AO$8,$AP$8),4),"")</f>
        <v>5.25</v>
      </c>
      <c r="BX8" s="9">
        <f>IFERROR(ROUND(AVERAGE(VALUE(LEFT($AW$8,1)),$AX$8,$AY$8),4),"")</f>
        <v>4</v>
      </c>
      <c r="BY8" s="9">
        <f>IFERROR(ROUND(AVERAGE($BR$8,$BA$8,$BB$8,$BS$8,$BT$8),4),"")</f>
        <v>5.4</v>
      </c>
      <c r="BZ8" s="9" t="str">
        <f>IF(OR($BK$8="Junior",$BK$8="Stagiaire",$BK$8="Alternant"),"Junior",IF(OR($BK$8="Superviseur",$BK$8="Superviseur ",$BK$8="Senior",$BK$8="Senior Manager",$BK$8="Manager"),"Senior-Manager",IF(OR($BK$8="Associe",$BK$8="Associé"),"Associe","Autre")))</f>
        <v>Junior</v>
      </c>
      <c r="CA8" s="9" t="b">
        <f>AND(NOT(ISNUMBER(SEARCH("Jamais",$B$8))),$BG$8="4. Neutre")</f>
        <v>1</v>
      </c>
      <c r="CB8">
        <f t="shared" si="0"/>
        <v>3</v>
      </c>
    </row>
    <row r="9" spans="1:80" x14ac:dyDescent="0.25">
      <c r="A9" s="42">
        <v>46036.725362488432</v>
      </c>
      <c r="B9" s="10" t="str">
        <v>3. Rarement (1 à 3 fois par mois)</v>
      </c>
      <c r="C9" s="10" t="str">
        <v>Outils fournis/agréés par le cabinet (ex: Copilot sécurisé)</v>
      </c>
      <c r="D9" s="10">
        <v>0</v>
      </c>
      <c r="E9" s="10" t="str">
        <v>Version entreprise</v>
      </c>
      <c r="F9" s="10">
        <v>0</v>
      </c>
      <c r="G9" s="10">
        <v>0</v>
      </c>
      <c r="H9" s="10">
        <v>0</v>
      </c>
      <c r="I9" s="10">
        <v>0</v>
      </c>
      <c r="J9" s="10">
        <v>0</v>
      </c>
      <c r="K9" s="10">
        <v>0</v>
      </c>
      <c r="L9" s="10">
        <v>0</v>
      </c>
      <c r="M9" s="10" t="str">
        <v>Reformulation ou traduction de documents, Recherche d'informations ou de points techniques</v>
      </c>
      <c r="N9" s="10" t="str">
        <v>De manière RECOMMANDÉE (cabinet encourage, mais facultatif)</v>
      </c>
      <c r="O9" s="10" t="str">
        <v>4. Utile</v>
      </c>
      <c r="P9" s="10" t="str">
        <v>4. Utile</v>
      </c>
      <c r="Q9" s="10" t="str">
        <v>2. Peu utile</v>
      </c>
      <c r="R9" s="10" t="str">
        <v>2. Peu utile</v>
      </c>
      <c r="S9" s="10" t="str">
        <v>3. Neutre</v>
      </c>
      <c r="T9" s="10" t="str">
        <v>1. Pas du tout utile</v>
      </c>
      <c r="U9" s="10" t="str">
        <v>1. Pas du tout utile</v>
      </c>
      <c r="V9" s="10" t="str">
        <v>1. Pas du tout utile</v>
      </c>
      <c r="W9" s="10" t="str">
        <v>2. Peu utile</v>
      </c>
      <c r="X9" s="10" t="str">
        <v>4. Utile</v>
      </c>
      <c r="Y9" s="10" t="str">
        <v>4. Utile</v>
      </c>
      <c r="Z9" s="10" t="str">
        <v>3. Neutre</v>
      </c>
      <c r="AA9" s="10" t="str">
        <v>2. Peu utile</v>
      </c>
      <c r="AB9" s="10" t="str">
        <v>2. Peu utile</v>
      </c>
      <c r="AC9" s="10" t="str">
        <v>2. Peu utile</v>
      </c>
      <c r="AD9" s="10" t="str">
        <v>2. Peu utile</v>
      </c>
      <c r="AE9" s="10" t="str">
        <v>1. Pas du tout utile</v>
      </c>
      <c r="AF9" s="10" t="str">
        <v>2. Peu utile</v>
      </c>
      <c r="AG9" s="10" t="str">
        <v>2. Peu utile</v>
      </c>
      <c r="AH9" s="10" t="str">
        <v>4. Utile</v>
      </c>
      <c r="AI9" s="10">
        <v>4</v>
      </c>
      <c r="AJ9" s="10" t="str">
        <v>6. Facile (Maîtrise rapide)</v>
      </c>
      <c r="AK9" s="10" t="str">
        <v>5. Plutôt d'accord (S'intègre assez bien)</v>
      </c>
      <c r="AL9" s="10">
        <v>3</v>
      </c>
      <c r="AM9" s="10">
        <v>7</v>
      </c>
      <c r="AN9" s="10">
        <v>3</v>
      </c>
      <c r="AO9" s="10">
        <v>7</v>
      </c>
      <c r="AP9" s="10">
        <v>7</v>
      </c>
      <c r="AQ9" s="10" t="str">
        <v>5. Très important</v>
      </c>
      <c r="AR9" s="10" t="str">
        <v>5. Très important</v>
      </c>
      <c r="AS9" s="10" t="str">
        <v>4. Important</v>
      </c>
      <c r="AT9" s="10" t="str">
        <v>3. Moyennement important</v>
      </c>
      <c r="AU9" s="10">
        <v>6</v>
      </c>
      <c r="AV9" s="10">
        <v>5</v>
      </c>
      <c r="AW9" s="10" t="str">
        <v>3. Faible (Moins de 5 heures de formation au total)</v>
      </c>
      <c r="AX9" s="10">
        <v>5</v>
      </c>
      <c r="AY9" s="10">
        <v>5</v>
      </c>
      <c r="AZ9" s="10" t="str">
        <v>4. Neutre (Le niveau de vérification dépend de la complexité)</v>
      </c>
      <c r="BA9" s="10">
        <v>5</v>
      </c>
      <c r="BB9" s="10">
        <v>4</v>
      </c>
      <c r="BC9" s="10">
        <v>5</v>
      </c>
      <c r="BD9" s="10">
        <v>2</v>
      </c>
      <c r="BE9" s="10" t="str">
        <v>Non</v>
      </c>
      <c r="BF9" s="10">
        <v>3</v>
      </c>
      <c r="BG9" s="10" t="str">
        <v>4. Neutre</v>
      </c>
      <c r="BH9" s="10">
        <v>5</v>
      </c>
      <c r="BI9" s="10" t="str">
        <v>18-25</v>
      </c>
      <c r="BJ9" s="10" t="str">
        <v>Homme</v>
      </c>
      <c r="BK9" s="10" t="str">
        <v>Alternant</v>
      </c>
      <c r="BL9" s="10" t="str">
        <v>Moins de 2 ans</v>
      </c>
      <c r="BM9" s="10" t="str">
        <v>Audit Financier</v>
      </c>
      <c r="BN9" s="10" t="str">
        <v>Cabinet international</v>
      </c>
      <c r="BO9" s="10">
        <v>0</v>
      </c>
      <c r="BP9" s="10">
        <f>IF(ISNUMBER($AI$9),ROUND((((($AI$9-1)*(4/6))+1)),4),"")</f>
        <v>3</v>
      </c>
      <c r="BQ9" s="10">
        <f>IF(ISNUMBER($AL$9),8-$AL$9,"")</f>
        <v>5</v>
      </c>
      <c r="BR9" s="10">
        <f>IFERROR(8-VALUE(LEFT($AZ$9,1)),"")</f>
        <v>4</v>
      </c>
      <c r="BS9" s="10">
        <f>IF(ISNUMBER($BC$9),8-$BC$9,"")</f>
        <v>3</v>
      </c>
      <c r="BT9" s="10">
        <f>IF(ISNUMBER($BD$9),8-$BD$9,"")</f>
        <v>6</v>
      </c>
      <c r="BU9" s="10">
        <f>IFERROR(ROUND(AVERAGE(VALUE(LEFT($O$9,1)),VALUE(LEFT($P$9,1)),VALUE(LEFT($Q$9,1)),VALUE(LEFT($R$9,1)),VALUE(LEFT($S$9,1)),VALUE(LEFT($T$9,1)),VALUE(LEFT($U$9,1)),VALUE(LEFT($V$9,1)),VALUE(LEFT($W$9,1)),VALUE(LEFT($X$9,1)),VALUE(LEFT($Y$9,1)),VALUE(LEFT($Z$9,1)),VALUE(LEFT($AA$9,1)),VALUE(LEFT($AB$9,1)),VALUE(LEFT($AC$9,1)),VALUE(LEFT($AD$9,1)),VALUE(LEFT($AE$9,1)),VALUE(LEFT($AF$9,1)),VALUE(LEFT($AG$9,1)),VALUE(LEFT($AH$9,1)),$BP$9),4),"")</f>
        <v>2.4285999999999999</v>
      </c>
      <c r="BV9" s="10">
        <f>IFERROR(ROUND(AVERAGE(VALUE(LEFT($AJ$9,1)),VALUE(LEFT($AK$9,1)),$BQ$9),4),"")</f>
        <v>5.3333000000000004</v>
      </c>
      <c r="BW9" s="10">
        <f>IFERROR(ROUND(AVERAGE($AM$9,$AN$9,$AO$9,$AP$9),4),"")</f>
        <v>6</v>
      </c>
      <c r="BX9" s="10">
        <f>IFERROR(ROUND(AVERAGE(VALUE(LEFT($AW$9,1)),$AX$9,$AY$9),4),"")</f>
        <v>4.3333000000000004</v>
      </c>
      <c r="BY9" s="10">
        <f>IFERROR(ROUND(AVERAGE($BR$9,$BA$9,$BB$9,$BS$9,$BT$9),4),"")</f>
        <v>4.4000000000000004</v>
      </c>
      <c r="BZ9" s="10" t="str">
        <f>IF(OR($BK$9="Junior",$BK$9="Stagiaire",$BK$9="Alternant"),"Junior",IF(OR($BK$9="Superviseur",$BK$9="Superviseur ",$BK$9="Senior",$BK$9="Senior Manager",$BK$9="Manager"),"Senior-Manager",IF(OR($BK$9="Associe",$BK$9="Associé"),"Associe","Autre")))</f>
        <v>Junior</v>
      </c>
      <c r="CA9" s="10" t="b">
        <f>AND(NOT(ISNUMBER(SEARCH("Jamais",$B$9))),$BG$9="4. Neutre")</f>
        <v>1</v>
      </c>
      <c r="CB9">
        <f t="shared" si="0"/>
        <v>3</v>
      </c>
    </row>
    <row r="10" spans="1:80" x14ac:dyDescent="0.25">
      <c r="A10" s="41">
        <v>46036.86744347222</v>
      </c>
      <c r="B10" s="9" t="str">
        <v>4. Parfois (Environ une fois par semaine)</v>
      </c>
      <c r="C10" s="9" t="str">
        <v>Usage mix des deux</v>
      </c>
      <c r="D10" s="9">
        <v>0</v>
      </c>
      <c r="E10" s="9" t="str">
        <v>Version entreprise</v>
      </c>
      <c r="F10" s="9" t="str">
        <v>Version grand public</v>
      </c>
      <c r="G10" s="9">
        <v>0</v>
      </c>
      <c r="H10" s="9">
        <v>0</v>
      </c>
      <c r="I10" s="9">
        <v>0</v>
      </c>
      <c r="J10" s="9">
        <v>0</v>
      </c>
      <c r="K10" s="9">
        <v>0</v>
      </c>
      <c r="L10" s="9">
        <v>0</v>
      </c>
      <c r="M10" s="9" t="str">
        <v>Revue d'estimations comptables (provisions, dépréciations), Reformulation ou traduction de documents, Rapprochement/Comparaison de documents, Aide à la décision, Rédaction (rapports, synthèses, notes, mails)</v>
      </c>
      <c r="N10" s="9" t="str">
        <v>De manière VOLONTAIRE (vous avez choisi vous-même)</v>
      </c>
      <c r="O10" s="9" t="str">
        <v>2. Peu utile</v>
      </c>
      <c r="P10" s="9" t="str">
        <v>4. Utile</v>
      </c>
      <c r="Q10" s="9" t="str">
        <v>5. Très utile</v>
      </c>
      <c r="R10" s="9" t="str">
        <v>3. Neutre</v>
      </c>
      <c r="S10" s="9" t="str">
        <v>4. Utile</v>
      </c>
      <c r="T10" s="9" t="str">
        <v>3. Neutre</v>
      </c>
      <c r="U10" s="9" t="str">
        <v>3. Neutre</v>
      </c>
      <c r="V10" s="9" t="str">
        <v>4. Utile</v>
      </c>
      <c r="W10" s="9" t="str">
        <v>4. Utile</v>
      </c>
      <c r="X10" s="9" t="str">
        <v>3. Neutre</v>
      </c>
      <c r="Y10" s="9" t="str">
        <v>1. Pas du tout utile</v>
      </c>
      <c r="Z10" s="9" t="str">
        <v>1. Pas du tout utile</v>
      </c>
      <c r="AA10" s="9" t="str">
        <v>1. Pas du tout utile</v>
      </c>
      <c r="AB10" s="9" t="str">
        <v>1. Pas du tout utile</v>
      </c>
      <c r="AC10" s="9" t="str">
        <v>1. Pas du tout utile</v>
      </c>
      <c r="AD10" s="9" t="str">
        <v>1. Pas du tout utile</v>
      </c>
      <c r="AE10" s="9" t="str">
        <v>1. Pas du tout utile</v>
      </c>
      <c r="AF10" s="9" t="str">
        <v>1. Pas du tout utile</v>
      </c>
      <c r="AG10" s="9" t="str">
        <v>1. Pas du tout utile</v>
      </c>
      <c r="AH10" s="9" t="str">
        <v>1. Pas du tout utile</v>
      </c>
      <c r="AI10" s="9">
        <v>7</v>
      </c>
      <c r="AJ10" s="9" t="str">
        <v>7. Très facile (Instinctif / Sans aide)</v>
      </c>
      <c r="AK10" s="9" t="str">
        <v>6. D'accord (S'intègre facilement)</v>
      </c>
      <c r="AL10" s="9">
        <v>3</v>
      </c>
      <c r="AM10" s="9">
        <v>5</v>
      </c>
      <c r="AN10" s="9">
        <v>7</v>
      </c>
      <c r="AO10" s="9">
        <v>7</v>
      </c>
      <c r="AP10" s="9">
        <v>7</v>
      </c>
      <c r="AQ10" s="9" t="str">
        <v>4. Important</v>
      </c>
      <c r="AR10" s="9" t="str">
        <v>4. Important</v>
      </c>
      <c r="AS10" s="9" t="str">
        <v>4. Important</v>
      </c>
      <c r="AT10" s="9" t="str">
        <v>4. Important</v>
      </c>
      <c r="AU10" s="9">
        <v>5</v>
      </c>
      <c r="AV10" s="9">
        <v>7</v>
      </c>
      <c r="AW10" s="9" t="str">
        <v>6. Approfondie (Parcours certifiant ou auto-formation technique longue)</v>
      </c>
      <c r="AX10" s="9">
        <v>4</v>
      </c>
      <c r="AY10" s="9">
        <v>4</v>
      </c>
      <c r="AZ10" s="9" t="str">
        <v>1. Pas du tout d’accord (Je vérifie systématiquement chaque détail)</v>
      </c>
      <c r="BA10" s="9">
        <v>6</v>
      </c>
      <c r="BB10" s="9">
        <v>5</v>
      </c>
      <c r="BC10" s="9">
        <v>5</v>
      </c>
      <c r="BD10" s="9">
        <v>6</v>
      </c>
      <c r="BE10" s="9" t="str">
        <v>Oui</v>
      </c>
      <c r="BF10" s="9">
        <v>7</v>
      </c>
      <c r="BG10" s="9" t="str">
        <v>4. Neutre</v>
      </c>
      <c r="BH10" s="9" t="str">
        <v>NA</v>
      </c>
      <c r="BI10" s="9" t="str">
        <v>18-25</v>
      </c>
      <c r="BJ10" s="9" t="str">
        <v>Femme</v>
      </c>
      <c r="BK10" s="9" t="str">
        <v>Junior</v>
      </c>
      <c r="BL10" s="9" t="str">
        <v>Moins de 2 ans</v>
      </c>
      <c r="BM10" s="9" t="str">
        <v>Audit Financier</v>
      </c>
      <c r="BN10" s="9" t="str">
        <v>Cabinet international</v>
      </c>
      <c r="BO10" s="9">
        <v>0</v>
      </c>
      <c r="BP10" s="9">
        <f>IF(ISNUMBER($AI$10),ROUND((((($AI$10-1)*(4/6))+1)),4),"")</f>
        <v>5</v>
      </c>
      <c r="BQ10" s="9">
        <f>IF(ISNUMBER($AL$10),8-$AL$10,"")</f>
        <v>5</v>
      </c>
      <c r="BR10" s="9">
        <f>IFERROR(8-VALUE(LEFT($AZ$10,1)),"")</f>
        <v>7</v>
      </c>
      <c r="BS10" s="9">
        <f>IF(ISNUMBER($BC$10),8-$BC$10,"")</f>
        <v>3</v>
      </c>
      <c r="BT10" s="9">
        <f>IF(ISNUMBER($BD$10),8-$BD$10,"")</f>
        <v>2</v>
      </c>
      <c r="BU10" s="9">
        <f>IFERROR(ROUND(AVERAGE(VALUE(LEFT($O$10,1)),VALUE(LEFT($P$10,1)),VALUE(LEFT($Q$10,1)),VALUE(LEFT($R$10,1)),VALUE(LEFT($S$10,1)),VALUE(LEFT($T$10,1)),VALUE(LEFT($U$10,1)),VALUE(LEFT($V$10,1)),VALUE(LEFT($W$10,1)),VALUE(LEFT($X$10,1)),VALUE(LEFT($Y$10,1)),VALUE(LEFT($Z$10,1)),VALUE(LEFT($AA$10,1)),VALUE(LEFT($AB$10,1)),VALUE(LEFT($AC$10,1)),VALUE(LEFT($AD$10,1)),VALUE(LEFT($AE$10,1)),VALUE(LEFT($AF$10,1)),VALUE(LEFT($AG$10,1)),VALUE(LEFT($AH$10,1)),$BP$10),4),"")</f>
        <v>2.3809999999999998</v>
      </c>
      <c r="BV10" s="9">
        <f>IFERROR(ROUND(AVERAGE(VALUE(LEFT($AJ$10,1)),VALUE(LEFT($AK$10,1)),$BQ$10),4),"")</f>
        <v>6</v>
      </c>
      <c r="BW10" s="9">
        <f>IFERROR(ROUND(AVERAGE($AM$10,$AN$10,$AO$10,$AP$10),4),"")</f>
        <v>6.5</v>
      </c>
      <c r="BX10" s="9">
        <f>IFERROR(ROUND(AVERAGE(VALUE(LEFT($AW$10,1)),$AX$10,$AY$10),4),"")</f>
        <v>4.6666999999999996</v>
      </c>
      <c r="BY10" s="9">
        <f>IFERROR(ROUND(AVERAGE($BR$10,$BA$10,$BB$10,$BS$10,$BT$10),4),"")</f>
        <v>4.5999999999999996</v>
      </c>
      <c r="BZ10" s="9" t="str">
        <f>IF(OR($BK$10="Junior",$BK$10="Stagiaire",$BK$10="Alternant"),"Junior",IF(OR($BK$10="Superviseur",$BK$10="Superviseur ",$BK$10="Senior",$BK$10="Senior Manager",$BK$10="Manager"),"Senior-Manager",IF(OR($BK$10="Associe",$BK$10="Associé"),"Associe","Autre")))</f>
        <v>Junior</v>
      </c>
      <c r="CA10" s="9" t="b">
        <f>AND(NOT(ISNUMBER(SEARCH("Jamais",$B$10))),$BG$10="4. Neutre")</f>
        <v>1</v>
      </c>
      <c r="CB10">
        <f t="shared" si="0"/>
        <v>4</v>
      </c>
    </row>
    <row r="11" spans="1:80" x14ac:dyDescent="0.25">
      <c r="A11" s="42">
        <v>46036.891154849538</v>
      </c>
      <c r="B11" s="10" t="str">
        <v>4. Parfois (Environ une fois par semaine)</v>
      </c>
      <c r="C11" s="10" t="str">
        <v>Outils fournis/agréés par le cabinet (ex: Copilot sécurisé)</v>
      </c>
      <c r="D11" s="10">
        <v>0</v>
      </c>
      <c r="E11" s="10" t="str">
        <v>Version entreprise</v>
      </c>
      <c r="F11" s="10">
        <v>0</v>
      </c>
      <c r="G11" s="10">
        <v>0</v>
      </c>
      <c r="H11" s="10">
        <v>0</v>
      </c>
      <c r="I11" s="10">
        <v>0</v>
      </c>
      <c r="J11" s="10">
        <v>0</v>
      </c>
      <c r="K11" s="10">
        <v>0</v>
      </c>
      <c r="L11" s="10">
        <v>0</v>
      </c>
      <c r="M11" s="10" t="str">
        <v>Reformulation ou traduction de documents, Recherche d'informations ou de points techniques, Rédaction (rapports, synthèses, notes, mails)</v>
      </c>
      <c r="N11" s="10" t="str">
        <v>De manière VOLONTAIRE (vous avez choisi vous-même)</v>
      </c>
      <c r="O11" s="10" t="str">
        <v>5. Très utile</v>
      </c>
      <c r="P11" s="10" t="str">
        <v>4. Utile</v>
      </c>
      <c r="Q11" s="10" t="str">
        <v>5. Très utile</v>
      </c>
      <c r="R11" s="10" t="str">
        <v>3. Neutre</v>
      </c>
      <c r="S11" s="10" t="str">
        <v>4. Utile</v>
      </c>
      <c r="T11" s="10" t="str">
        <v>2. Peu utile</v>
      </c>
      <c r="U11" s="10" t="str">
        <v>2. Peu utile</v>
      </c>
      <c r="V11" s="10" t="str">
        <v>3. Neutre</v>
      </c>
      <c r="W11" s="10" t="str">
        <v>3. Neutre</v>
      </c>
      <c r="X11" s="10" t="str">
        <v>3. Neutre</v>
      </c>
      <c r="Y11" s="10" t="str">
        <v>4. Utile</v>
      </c>
      <c r="Z11" s="10" t="str">
        <v>5. Très utile</v>
      </c>
      <c r="AA11" s="10" t="str">
        <v>5. Très utile</v>
      </c>
      <c r="AB11" s="10" t="str">
        <v>3. Neutre</v>
      </c>
      <c r="AC11" s="10" t="str">
        <v>4. Utile</v>
      </c>
      <c r="AD11" s="10" t="str">
        <v>2. Peu utile</v>
      </c>
      <c r="AE11" s="10" t="str">
        <v>2. Peu utile</v>
      </c>
      <c r="AF11" s="10" t="str">
        <v>3. Neutre</v>
      </c>
      <c r="AG11" s="10" t="str">
        <v>4. Utile</v>
      </c>
      <c r="AH11" s="10" t="str">
        <v>3. Neutre</v>
      </c>
      <c r="AI11" s="10">
        <v>7</v>
      </c>
      <c r="AJ11" s="10" t="str">
        <v>7. Très facile (Instinctif / Sans aide)</v>
      </c>
      <c r="AK11" s="10" t="str">
        <v>5. Plutôt d'accord (S'intègre assez bien)</v>
      </c>
      <c r="AL11" s="10">
        <v>3</v>
      </c>
      <c r="AM11" s="10">
        <v>7</v>
      </c>
      <c r="AN11" s="10">
        <v>7</v>
      </c>
      <c r="AO11" s="10">
        <v>1</v>
      </c>
      <c r="AP11" s="10">
        <v>7</v>
      </c>
      <c r="AQ11" s="10" t="str">
        <v>3. Moyennement important</v>
      </c>
      <c r="AR11" s="10" t="str">
        <v>5. Très important</v>
      </c>
      <c r="AS11" s="10" t="str">
        <v>1. Pas du tout important</v>
      </c>
      <c r="AT11" s="10" t="str">
        <v>4. Important</v>
      </c>
      <c r="AU11" s="10">
        <v>6</v>
      </c>
      <c r="AV11" s="10">
        <v>7</v>
      </c>
      <c r="AW11" s="10" t="str">
        <v>3. Faible (Moins de 5 heures de formation au total)</v>
      </c>
      <c r="AX11" s="10">
        <v>5</v>
      </c>
      <c r="AY11" s="10">
        <v>6</v>
      </c>
      <c r="AZ11" s="10" t="str">
        <v>4. Neutre (Le niveau de vérification dépend de la complexité)</v>
      </c>
      <c r="BA11" s="10">
        <v>5</v>
      </c>
      <c r="BB11" s="10">
        <v>6</v>
      </c>
      <c r="BC11" s="10">
        <v>2</v>
      </c>
      <c r="BD11" s="10">
        <v>2</v>
      </c>
      <c r="BE11" s="10" t="str">
        <v>Oui</v>
      </c>
      <c r="BF11" s="10">
        <v>7</v>
      </c>
      <c r="BG11" s="10" t="str">
        <v>4. Neutre</v>
      </c>
      <c r="BH11" s="10">
        <v>5</v>
      </c>
      <c r="BI11" s="10" t="str">
        <v>18-25</v>
      </c>
      <c r="BJ11" s="10" t="str">
        <v>Homme</v>
      </c>
      <c r="BK11" s="10" t="str">
        <v>Junior</v>
      </c>
      <c r="BL11" s="10" t="str">
        <v>Moins de 2 ans</v>
      </c>
      <c r="BM11" s="10" t="str">
        <v>Audit Financier</v>
      </c>
      <c r="BN11" s="10" t="str">
        <v>Cabinet local</v>
      </c>
      <c r="BO11" s="10">
        <v>0</v>
      </c>
      <c r="BP11" s="10">
        <f>IF(ISNUMBER($AI$11),ROUND((((($AI$11-1)*(4/6))+1)),4),"")</f>
        <v>5</v>
      </c>
      <c r="BQ11" s="10">
        <f>IF(ISNUMBER($AL$11),8-$AL$11,"")</f>
        <v>5</v>
      </c>
      <c r="BR11" s="10">
        <f>IFERROR(8-VALUE(LEFT($AZ$11,1)),"")</f>
        <v>4</v>
      </c>
      <c r="BS11" s="10">
        <f>IF(ISNUMBER($BC$11),8-$BC$11,"")</f>
        <v>6</v>
      </c>
      <c r="BT11" s="10">
        <f>IF(ISNUMBER($BD$11),8-$BD$11,"")</f>
        <v>6</v>
      </c>
      <c r="BU11" s="10">
        <f>IFERROR(ROUND(AVERAGE(VALUE(LEFT($O$11,1)),VALUE(LEFT($P$11,1)),VALUE(LEFT($Q$11,1)),VALUE(LEFT($R$11,1)),VALUE(LEFT($S$11,1)),VALUE(LEFT($T$11,1)),VALUE(LEFT($U$11,1)),VALUE(LEFT($V$11,1)),VALUE(LEFT($W$11,1)),VALUE(LEFT($X$11,1)),VALUE(LEFT($Y$11,1)),VALUE(LEFT($Z$11,1)),VALUE(LEFT($AA$11,1)),VALUE(LEFT($AB$11,1)),VALUE(LEFT($AC$11,1)),VALUE(LEFT($AD$11,1)),VALUE(LEFT($AE$11,1)),VALUE(LEFT($AF$11,1)),VALUE(LEFT($AG$11,1)),VALUE(LEFT($AH$11,1)),$BP$11),4),"")</f>
        <v>3.5238</v>
      </c>
      <c r="BV11" s="10">
        <f>IFERROR(ROUND(AVERAGE(VALUE(LEFT($AJ$11,1)),VALUE(LEFT($AK$11,1)),$BQ$11),4),"")</f>
        <v>5.6666999999999996</v>
      </c>
      <c r="BW11" s="10">
        <f>IFERROR(ROUND(AVERAGE($AM$11,$AN$11,$AO$11,$AP$11),4),"")</f>
        <v>5.5</v>
      </c>
      <c r="BX11" s="10">
        <f>IFERROR(ROUND(AVERAGE(VALUE(LEFT($AW$11,1)),$AX$11,$AY$11),4),"")</f>
        <v>4.6666999999999996</v>
      </c>
      <c r="BY11" s="10">
        <f>IFERROR(ROUND(AVERAGE($BR$11,$BA$11,$BB$11,$BS$11,$BT$11),4),"")</f>
        <v>5.4</v>
      </c>
      <c r="BZ11" s="10" t="str">
        <f>IF(OR($BK$11="Junior",$BK$11="Stagiaire",$BK$11="Alternant"),"Junior",IF(OR($BK$11="Superviseur",$BK$11="Superviseur ",$BK$11="Senior",$BK$11="Senior Manager",$BK$11="Manager"),"Senior-Manager",IF(OR($BK$11="Associe",$BK$11="Associé"),"Associe","Autre")))</f>
        <v>Junior</v>
      </c>
      <c r="CA11" s="10" t="b">
        <f>AND(NOT(ISNUMBER(SEARCH("Jamais",$B$11))),$BG$11="4. Neutre")</f>
        <v>1</v>
      </c>
      <c r="CB11">
        <f t="shared" si="0"/>
        <v>4</v>
      </c>
    </row>
    <row r="12" spans="1:80" x14ac:dyDescent="0.25">
      <c r="A12" s="41">
        <v>46037.416446180563</v>
      </c>
      <c r="B12" s="9" t="str">
        <v>7. Très fréquemment (Plusieurs fois par jour)</v>
      </c>
      <c r="C12" s="9" t="str">
        <v>Usage mix des deux</v>
      </c>
      <c r="D12" s="9">
        <v>0</v>
      </c>
      <c r="E12" s="9" t="str">
        <v>Version entreprise</v>
      </c>
      <c r="F12" s="9" t="str">
        <v>Version grand public</v>
      </c>
      <c r="G12" s="9" t="str">
        <v>Version grand public</v>
      </c>
      <c r="H12" s="9">
        <v>0</v>
      </c>
      <c r="I12" s="9">
        <v>0</v>
      </c>
      <c r="J12" s="9" t="str">
        <v>Version entreprise</v>
      </c>
      <c r="K12" s="9" t="str">
        <v>Version entreprise</v>
      </c>
      <c r="L12" s="9">
        <v>0</v>
      </c>
      <c r="M12" s="9" t="str">
        <v>Évaluation du contrôle interne, Automatisation et création de scripts (SQL, VBA), Reformulation ou traduction de documents, Rédaction (rapports, synthèses, notes, mails)</v>
      </c>
      <c r="N12" s="9" t="str">
        <v>De manière VOLONTAIRE (vous avez choisi vous-même)</v>
      </c>
      <c r="O12" s="9" t="str">
        <v>1. Pas du tout utile</v>
      </c>
      <c r="P12" s="9" t="str">
        <v>3. Neutre</v>
      </c>
      <c r="Q12" s="9" t="str">
        <v>5. Très utile</v>
      </c>
      <c r="R12" s="9" t="str">
        <v>5. Très utile</v>
      </c>
      <c r="S12" s="9" t="str">
        <v>5. Très utile</v>
      </c>
      <c r="T12" s="9" t="str">
        <v>3. Neutre</v>
      </c>
      <c r="U12" s="9" t="str">
        <v>2. Peu utile</v>
      </c>
      <c r="V12" s="9" t="str">
        <v>2. Peu utile</v>
      </c>
      <c r="W12" s="9" t="str">
        <v>1. Pas du tout utile</v>
      </c>
      <c r="X12" s="9" t="str">
        <v>3. Neutre</v>
      </c>
      <c r="Y12" s="9" t="str">
        <v>4. Utile</v>
      </c>
      <c r="Z12" s="9" t="str">
        <v>4. Utile</v>
      </c>
      <c r="AA12" s="9" t="str">
        <v>4. Utile</v>
      </c>
      <c r="AB12" s="9" t="str">
        <v>4. Utile</v>
      </c>
      <c r="AC12" s="9" t="str">
        <v>5. Très utile</v>
      </c>
      <c r="AD12" s="9" t="str">
        <v>2. Peu utile</v>
      </c>
      <c r="AE12" s="9" t="str">
        <v>2. Peu utile</v>
      </c>
      <c r="AF12" s="9" t="str">
        <v>4. Utile</v>
      </c>
      <c r="AG12" s="9" t="str">
        <v>3. Neutre</v>
      </c>
      <c r="AH12" s="9" t="str">
        <v>4. Utile</v>
      </c>
      <c r="AI12" s="9">
        <v>5</v>
      </c>
      <c r="AJ12" s="9" t="str">
        <v>7. Très facile (Instinctif / Sans aide)</v>
      </c>
      <c r="AK12" s="9" t="str">
        <v>6. D'accord (S'intègre facilement)</v>
      </c>
      <c r="AL12" s="9">
        <v>5</v>
      </c>
      <c r="AM12" s="9">
        <v>7</v>
      </c>
      <c r="AN12" s="9">
        <v>7</v>
      </c>
      <c r="AO12" s="9">
        <v>7</v>
      </c>
      <c r="AP12" s="9">
        <v>7</v>
      </c>
      <c r="AQ12" s="9" t="str">
        <v>5. Très important</v>
      </c>
      <c r="AR12" s="9" t="str">
        <v>5. Très important</v>
      </c>
      <c r="AS12" s="9" t="str">
        <v>5. Très important</v>
      </c>
      <c r="AT12" s="9" t="str">
        <v>5. Très important</v>
      </c>
      <c r="AU12" s="9">
        <v>4</v>
      </c>
      <c r="AV12" s="9">
        <v>6</v>
      </c>
      <c r="AW12" s="9" t="str">
        <v>3. Faible (Moins de 5 heures de formation au total)</v>
      </c>
      <c r="AX12" s="9">
        <v>6</v>
      </c>
      <c r="AY12" s="9">
        <v>6</v>
      </c>
      <c r="AZ12" s="9" t="str">
        <v>4. Neutre (Le niveau de vérification dépend de la complexité)</v>
      </c>
      <c r="BA12" s="9">
        <v>7</v>
      </c>
      <c r="BB12" s="9">
        <v>7</v>
      </c>
      <c r="BC12" s="9">
        <v>7</v>
      </c>
      <c r="BD12" s="9">
        <v>2</v>
      </c>
      <c r="BE12" s="9" t="str">
        <v>Oui</v>
      </c>
      <c r="BF12" s="9">
        <v>7</v>
      </c>
      <c r="BG12" s="9" t="str">
        <v>4. Neutre</v>
      </c>
      <c r="BH12" s="9">
        <v>7</v>
      </c>
      <c r="BI12" s="9" t="str">
        <v>18-25</v>
      </c>
      <c r="BJ12" s="9" t="str">
        <v>Homme</v>
      </c>
      <c r="BK12" s="9" t="str">
        <v>Junior</v>
      </c>
      <c r="BL12" s="9" t="str">
        <v>2 - 3 ans</v>
      </c>
      <c r="BM12" s="9" t="str">
        <v>Audit Financier</v>
      </c>
      <c r="BN12" s="9" t="str">
        <v>Cabinet local</v>
      </c>
      <c r="BO12" s="9">
        <v>0</v>
      </c>
      <c r="BP12" s="9">
        <f>IF(ISNUMBER($AI$12),ROUND((((($AI$12-1)*(4/6))+1)),4),"")</f>
        <v>3.6667000000000001</v>
      </c>
      <c r="BQ12" s="9">
        <f>IF(ISNUMBER($AL$12),8-$AL$12,"")</f>
        <v>3</v>
      </c>
      <c r="BR12" s="9">
        <f>IFERROR(8-VALUE(LEFT($AZ$12,1)),"")</f>
        <v>4</v>
      </c>
      <c r="BS12" s="9">
        <f>IF(ISNUMBER($BC$12),8-$BC$12,"")</f>
        <v>1</v>
      </c>
      <c r="BT12" s="9">
        <f>IF(ISNUMBER($BD$12),8-$BD$12,"")</f>
        <v>6</v>
      </c>
      <c r="BU12" s="9">
        <f>IFERROR(ROUND(AVERAGE(VALUE(LEFT($O$12,1)),VALUE(LEFT($P$12,1)),VALUE(LEFT($Q$12,1)),VALUE(LEFT($R$12,1)),VALUE(LEFT($S$12,1)),VALUE(LEFT($T$12,1)),VALUE(LEFT($U$12,1)),VALUE(LEFT($V$12,1)),VALUE(LEFT($W$12,1)),VALUE(LEFT($X$12,1)),VALUE(LEFT($Y$12,1)),VALUE(LEFT($Z$12,1)),VALUE(LEFT($AA$12,1)),VALUE(LEFT($AB$12,1)),VALUE(LEFT($AC$12,1)),VALUE(LEFT($AD$12,1)),VALUE(LEFT($AE$12,1)),VALUE(LEFT($AF$12,1)),VALUE(LEFT($AG$12,1)),VALUE(LEFT($AH$12,1)),$BP$12),4),"")</f>
        <v>3.3174999999999999</v>
      </c>
      <c r="BV12" s="9">
        <f>IFERROR(ROUND(AVERAGE(VALUE(LEFT($AJ$12,1)),VALUE(LEFT($AK$12,1)),$BQ$12),4),"")</f>
        <v>5.3333000000000004</v>
      </c>
      <c r="BW12" s="9">
        <f>IFERROR(ROUND(AVERAGE($AM$12,$AN$12,$AO$12,$AP$12),4),"")</f>
        <v>7</v>
      </c>
      <c r="BX12" s="9">
        <f>IFERROR(ROUND(AVERAGE(VALUE(LEFT($AW$12,1)),$AX$12,$AY$12),4),"")</f>
        <v>5</v>
      </c>
      <c r="BY12" s="9">
        <f>IFERROR(ROUND(AVERAGE($BR$12,$BA$12,$BB$12,$BS$12,$BT$12),4),"")</f>
        <v>5</v>
      </c>
      <c r="BZ12" s="9" t="str">
        <f>IF(OR($BK$12="Junior",$BK$12="Stagiaire",$BK$12="Alternant"),"Junior",IF(OR($BK$12="Superviseur",$BK$12="Superviseur ",$BK$12="Senior",$BK$12="Senior Manager",$BK$12="Manager"),"Senior-Manager",IF(OR($BK$12="Associe",$BK$12="Associé"),"Associe","Autre")))</f>
        <v>Junior</v>
      </c>
      <c r="CA12" s="9" t="b">
        <f>AND(NOT(ISNUMBER(SEARCH("Jamais",$B$12))),$BG$12="4. Neutre")</f>
        <v>1</v>
      </c>
      <c r="CB12">
        <f t="shared" si="0"/>
        <v>7</v>
      </c>
    </row>
    <row r="13" spans="1:80" x14ac:dyDescent="0.25">
      <c r="A13" s="42">
        <v>46037.658125555557</v>
      </c>
      <c r="B13" s="10" t="str">
        <v>7. Très fréquemment (Plusieurs fois par jour)</v>
      </c>
      <c r="C13" s="10" t="str">
        <v>Usage mix des deux</v>
      </c>
      <c r="D13" s="10" t="str">
        <v>Version grand public</v>
      </c>
      <c r="E13" s="10" t="str">
        <v>Version entreprise</v>
      </c>
      <c r="F13" s="10" t="str">
        <v>Version grand public, Version entreprise</v>
      </c>
      <c r="G13" s="10" t="str">
        <v>Version entreprise</v>
      </c>
      <c r="H13" s="10">
        <v>0</v>
      </c>
      <c r="I13" s="10" t="str">
        <v>Version grand public</v>
      </c>
      <c r="J13" s="10" t="str">
        <v>Version entreprise</v>
      </c>
      <c r="K13" s="10">
        <v>0</v>
      </c>
      <c r="L13" s="10">
        <v>0</v>
      </c>
      <c r="M13" s="10" t="str">
        <v>Recherche d'informations ou de points techniques, Correction et mise en cohérence de documents, Analyse de données et génération d'insights, Rédaction (rapports, synthèses, notes, mails), Reformulation ou traduction de documents</v>
      </c>
      <c r="N13" s="10" t="str">
        <v>De manière RECOMMANDÉE (cabinet encourage, mais facultatif)</v>
      </c>
      <c r="O13" s="10" t="str">
        <v>1. Pas du tout utile</v>
      </c>
      <c r="P13" s="10" t="str">
        <v>4. Utile</v>
      </c>
      <c r="Q13" s="10" t="str">
        <v>5. Très utile</v>
      </c>
      <c r="R13" s="10" t="str">
        <v>5. Très utile</v>
      </c>
      <c r="S13" s="10" t="str">
        <v>5. Très utile</v>
      </c>
      <c r="T13" s="10" t="str">
        <v>3. Neutre</v>
      </c>
      <c r="U13" s="10" t="str">
        <v>3. Neutre</v>
      </c>
      <c r="V13" s="10" t="str">
        <v>3. Neutre</v>
      </c>
      <c r="W13" s="10" t="str">
        <v>4. Utile</v>
      </c>
      <c r="X13" s="10" t="str">
        <v>3. Neutre</v>
      </c>
      <c r="Y13" s="10" t="str">
        <v>3. Neutre</v>
      </c>
      <c r="Z13" s="10" t="str">
        <v>4. Utile</v>
      </c>
      <c r="AA13" s="10" t="str">
        <v>5. Très utile</v>
      </c>
      <c r="AB13" s="10" t="str">
        <v>4. Utile</v>
      </c>
      <c r="AC13" s="10" t="str">
        <v>4. Utile</v>
      </c>
      <c r="AD13" s="10" t="str">
        <v>3. Neutre</v>
      </c>
      <c r="AE13" s="10" t="str">
        <v>3. Neutre</v>
      </c>
      <c r="AF13" s="10" t="str">
        <v>3. Neutre</v>
      </c>
      <c r="AG13" s="10" t="str">
        <v>3. Neutre</v>
      </c>
      <c r="AH13" s="10" t="str">
        <v>3. Neutre</v>
      </c>
      <c r="AI13" s="10">
        <v>7</v>
      </c>
      <c r="AJ13" s="10" t="str">
        <v>7. Très facile (Instinctif / Sans aide)</v>
      </c>
      <c r="AK13" s="10" t="str">
        <v>7. Tout à fait d'accord (Automatisme quotidien)</v>
      </c>
      <c r="AL13" s="10">
        <v>2</v>
      </c>
      <c r="AM13" s="10">
        <v>7</v>
      </c>
      <c r="AN13" s="10">
        <v>7</v>
      </c>
      <c r="AO13" s="10">
        <v>5</v>
      </c>
      <c r="AP13" s="10">
        <v>6</v>
      </c>
      <c r="AQ13" s="10" t="str">
        <v>5. Très important</v>
      </c>
      <c r="AR13" s="10" t="str">
        <v>5. Très important</v>
      </c>
      <c r="AS13" s="10" t="str">
        <v>4. Important</v>
      </c>
      <c r="AT13" s="10" t="str">
        <v>4. Important</v>
      </c>
      <c r="AU13" s="10">
        <v>1</v>
      </c>
      <c r="AV13" s="10">
        <v>4</v>
      </c>
      <c r="AW13" s="10" t="str">
        <v>6. Approfondie (Parcours certifiant ou auto-formation technique longue)</v>
      </c>
      <c r="AX13" s="10">
        <v>7</v>
      </c>
      <c r="AY13" s="10">
        <v>7</v>
      </c>
      <c r="AZ13" s="10" t="str">
        <v>1. Pas du tout d’accord (Je vérifie systématiquement chaque détail)</v>
      </c>
      <c r="BA13" s="10">
        <v>6</v>
      </c>
      <c r="BB13" s="10">
        <v>6</v>
      </c>
      <c r="BC13" s="10">
        <v>7</v>
      </c>
      <c r="BD13" s="10">
        <v>1</v>
      </c>
      <c r="BE13" s="10" t="str">
        <v>Oui</v>
      </c>
      <c r="BF13" s="10">
        <v>7</v>
      </c>
      <c r="BG13" s="10" t="str">
        <v>4. Neutre</v>
      </c>
      <c r="BH13" s="10">
        <v>7</v>
      </c>
      <c r="BI13" s="10" t="str">
        <v>26-35</v>
      </c>
      <c r="BJ13" s="10" t="str">
        <v>Homme</v>
      </c>
      <c r="BK13" s="10" t="str">
        <v>Senior Manager</v>
      </c>
      <c r="BL13" s="10" t="str">
        <v>Plus de 10 ans</v>
      </c>
      <c r="BM13" s="10" t="str">
        <v>Audit IT</v>
      </c>
      <c r="BN13" s="10" t="str">
        <v>Cabinet international</v>
      </c>
      <c r="BO13" s="10" t="str">
        <v>Pour moi l'IA générative est comme un super stagiaire : il ne peut pas être responsable et on doit vérifier son travail (car il y a probablement des erreurs). Le plus grand risque selon moi est pour les personnes avec peu d'expérience "métier", qui vont s'appuyer sur l'IA sans être en capacité d'identifier les erreurs.</v>
      </c>
      <c r="BP13" s="10">
        <f>IF(ISNUMBER($AI$13),ROUND((((($AI$13-1)*(4/6))+1)),4),"")</f>
        <v>5</v>
      </c>
      <c r="BQ13" s="10">
        <f>IF(ISNUMBER($AL$13),8-$AL$13,"")</f>
        <v>6</v>
      </c>
      <c r="BR13" s="10">
        <f>IFERROR(8-VALUE(LEFT($AZ$13,1)),"")</f>
        <v>7</v>
      </c>
      <c r="BS13" s="10">
        <f>IF(ISNUMBER($BC$13),8-$BC$13,"")</f>
        <v>1</v>
      </c>
      <c r="BT13" s="10">
        <f>IF(ISNUMBER($BD$13),8-$BD$13,"")</f>
        <v>7</v>
      </c>
      <c r="BU13" s="10">
        <f>IFERROR(ROUND(AVERAGE(VALUE(LEFT($O$13,1)),VALUE(LEFT($P$13,1)),VALUE(LEFT($Q$13,1)),VALUE(LEFT($R$13,1)),VALUE(LEFT($S$13,1)),VALUE(LEFT($T$13,1)),VALUE(LEFT($U$13,1)),VALUE(LEFT($V$13,1)),VALUE(LEFT($W$13,1)),VALUE(LEFT($X$13,1)),VALUE(LEFT($Y$13,1)),VALUE(LEFT($Z$13,1)),VALUE(LEFT($AA$13,1)),VALUE(LEFT($AB$13,1)),VALUE(LEFT($AC$13,1)),VALUE(LEFT($AD$13,1)),VALUE(LEFT($AE$13,1)),VALUE(LEFT($AF$13,1)),VALUE(LEFT($AG$13,1)),VALUE(LEFT($AH$13,1)),$BP$13),4),"")</f>
        <v>3.6190000000000002</v>
      </c>
      <c r="BV13" s="10">
        <f>IFERROR(ROUND(AVERAGE(VALUE(LEFT($AJ$13,1)),VALUE(LEFT($AK$13,1)),$BQ$13),4),"")</f>
        <v>6.6666999999999996</v>
      </c>
      <c r="BW13" s="10">
        <f>IFERROR(ROUND(AVERAGE($AM$13,$AN$13,$AO$13,$AP$13),4),"")</f>
        <v>6.25</v>
      </c>
      <c r="BX13" s="10">
        <f>IFERROR(ROUND(AVERAGE(VALUE(LEFT($AW$13,1)),$AX$13,$AY$13),4),"")</f>
        <v>6.6666999999999996</v>
      </c>
      <c r="BY13" s="10">
        <f>IFERROR(ROUND(AVERAGE($BR$13,$BA$13,$BB$13,$BS$13,$BT$13),4),"")</f>
        <v>5.4</v>
      </c>
      <c r="BZ13" s="10" t="str">
        <f>IF(OR($BK$13="Junior",$BK$13="Stagiaire",$BK$13="Alternant"),"Junior",IF(OR($BK$13="Superviseur",$BK$13="Superviseur ",$BK$13="Senior",$BK$13="Senior Manager",$BK$13="Manager"),"Senior-Manager",IF(OR($BK$13="Associe",$BK$13="Associé"),"Associe","Autre")))</f>
        <v>Senior-Manager</v>
      </c>
      <c r="CA13" s="10" t="b">
        <f>AND(NOT(ISNUMBER(SEARCH("Jamais",$B$13))),$BG$13="4. Neutre")</f>
        <v>1</v>
      </c>
      <c r="CB13">
        <f t="shared" si="0"/>
        <v>7</v>
      </c>
    </row>
    <row r="14" spans="1:80" x14ac:dyDescent="0.25">
      <c r="A14" s="41">
        <v>46038.387719513892</v>
      </c>
      <c r="B14" s="9" t="str">
        <v>6. Quotidiennement (Une fois par jour)</v>
      </c>
      <c r="C14" s="9" t="str">
        <v>Outils fournis/agréés par le cabinet (ex: Copilot sécurisé)</v>
      </c>
      <c r="D14" s="9">
        <v>0</v>
      </c>
      <c r="E14" s="9" t="str">
        <v>Version entreprise</v>
      </c>
      <c r="F14" s="9">
        <v>0</v>
      </c>
      <c r="G14" s="9">
        <v>0</v>
      </c>
      <c r="H14" s="9">
        <v>0</v>
      </c>
      <c r="I14" s="9">
        <v>0</v>
      </c>
      <c r="J14" s="9">
        <v>0</v>
      </c>
      <c r="K14" s="9">
        <v>0</v>
      </c>
      <c r="L14" s="9">
        <v>0</v>
      </c>
      <c r="M14" s="9" t="str">
        <v>Reformulation ou traduction de documents, Rédaction (rapports, synthèses, notes, mails), Automatisation et création de scripts (SQL, VBA)</v>
      </c>
      <c r="N14" s="9" t="str">
        <v>De manière RECOMMANDÉE (cabinet encourage, mais facultatif)</v>
      </c>
      <c r="O14" s="9" t="str">
        <v>5. Très utile</v>
      </c>
      <c r="P14" s="9" t="str">
        <v>5. Très utile</v>
      </c>
      <c r="Q14" s="9" t="str">
        <v>5. Très utile</v>
      </c>
      <c r="R14" s="9" t="str">
        <v>3. Neutre</v>
      </c>
      <c r="S14" s="9" t="str">
        <v>5. Très utile</v>
      </c>
      <c r="T14" s="9" t="str">
        <v>2. Peu utile</v>
      </c>
      <c r="U14" s="9" t="str">
        <v>2. Peu utile</v>
      </c>
      <c r="V14" s="9" t="str">
        <v>2. Peu utile</v>
      </c>
      <c r="W14" s="9" t="str">
        <v>3. Neutre</v>
      </c>
      <c r="X14" s="9" t="str">
        <v>4. Utile</v>
      </c>
      <c r="Y14" s="9" t="str">
        <v>3. Neutre</v>
      </c>
      <c r="Z14" s="9" t="str">
        <v>5. Très utile</v>
      </c>
      <c r="AA14" s="9" t="str">
        <v>5. Très utile</v>
      </c>
      <c r="AB14" s="9" t="str">
        <v>4. Utile</v>
      </c>
      <c r="AC14" s="9" t="str">
        <v>5. Très utile</v>
      </c>
      <c r="AD14" s="9" t="str">
        <v>3. Neutre</v>
      </c>
      <c r="AE14" s="9" t="str">
        <v>1. Pas du tout utile</v>
      </c>
      <c r="AF14" s="9" t="str">
        <v>2. Peu utile</v>
      </c>
      <c r="AG14" s="9" t="str">
        <v>3. Neutre</v>
      </c>
      <c r="AH14" s="9" t="str">
        <v>4. Utile</v>
      </c>
      <c r="AI14" s="9">
        <v>6</v>
      </c>
      <c r="AJ14" s="9" t="str">
        <v>7. Très facile (Instinctif / Sans aide)</v>
      </c>
      <c r="AK14" s="9" t="str">
        <v>6. D'accord (S'intègre facilement)</v>
      </c>
      <c r="AL14" s="9">
        <v>2</v>
      </c>
      <c r="AM14" s="9">
        <v>7</v>
      </c>
      <c r="AN14" s="9">
        <v>4</v>
      </c>
      <c r="AO14" s="9">
        <v>7</v>
      </c>
      <c r="AP14" s="9">
        <v>6</v>
      </c>
      <c r="AQ14" s="9" t="str">
        <v>4. Important</v>
      </c>
      <c r="AR14" s="9" t="str">
        <v>5. Très important</v>
      </c>
      <c r="AS14" s="9" t="str">
        <v>3. Moyennement important</v>
      </c>
      <c r="AT14" s="9" t="str">
        <v>5. Très important</v>
      </c>
      <c r="AU14" s="9">
        <v>4</v>
      </c>
      <c r="AV14" s="9">
        <v>7</v>
      </c>
      <c r="AW14" s="9" t="str">
        <v>6. Approfondie (Parcours certifiant ou auto-formation technique longue)</v>
      </c>
      <c r="AX14" s="9">
        <v>5</v>
      </c>
      <c r="AY14" s="9">
        <v>3</v>
      </c>
      <c r="AZ14" s="9" t="str">
        <v>4. Neutre (Le niveau de vérification dépend de la complexité)</v>
      </c>
      <c r="BA14" s="9">
        <v>5</v>
      </c>
      <c r="BB14" s="9">
        <v>4</v>
      </c>
      <c r="BC14" s="9">
        <v>6</v>
      </c>
      <c r="BD14" s="9">
        <v>3</v>
      </c>
      <c r="BE14" s="9" t="str">
        <v>Non</v>
      </c>
      <c r="BF14" s="9">
        <v>2</v>
      </c>
      <c r="BG14" s="9" t="str">
        <v>4. Neutre</v>
      </c>
      <c r="BH14" s="9">
        <v>6</v>
      </c>
      <c r="BI14" s="9" t="str">
        <v>18-25</v>
      </c>
      <c r="BJ14" s="9" t="str">
        <v>Homme</v>
      </c>
      <c r="BK14" s="9" t="str">
        <v>Junior</v>
      </c>
      <c r="BL14" s="9" t="str">
        <v>6  - 7 ans</v>
      </c>
      <c r="BM14" s="9" t="str">
        <v>Audit Financier</v>
      </c>
      <c r="BN14" s="9" t="str">
        <v>Cabinet régional</v>
      </c>
      <c r="BO14" s="9">
        <v>0</v>
      </c>
      <c r="BP14" s="9">
        <f>IF(ISNUMBER($AI$14),ROUND((((($AI$14-1)*(4/6))+1)),4),"")</f>
        <v>4.3333000000000004</v>
      </c>
      <c r="BQ14" s="9">
        <f>IF(ISNUMBER($AL$14),8-$AL$14,"")</f>
        <v>6</v>
      </c>
      <c r="BR14" s="9">
        <f>IFERROR(8-VALUE(LEFT($AZ$14,1)),"")</f>
        <v>4</v>
      </c>
      <c r="BS14" s="9">
        <f>IF(ISNUMBER($BC$14),8-$BC$14,"")</f>
        <v>2</v>
      </c>
      <c r="BT14" s="9">
        <f>IF(ISNUMBER($BD$14),8-$BD$14,"")</f>
        <v>5</v>
      </c>
      <c r="BU14" s="9">
        <f>IFERROR(ROUND(AVERAGE(VALUE(LEFT($O$14,1)),VALUE(LEFT($P$14,1)),VALUE(LEFT($Q$14,1)),VALUE(LEFT($R$14,1)),VALUE(LEFT($S$14,1)),VALUE(LEFT($T$14,1)),VALUE(LEFT($U$14,1)),VALUE(LEFT($V$14,1)),VALUE(LEFT($W$14,1)),VALUE(LEFT($X$14,1)),VALUE(LEFT($Y$14,1)),VALUE(LEFT($Z$14,1)),VALUE(LEFT($AA$14,1)),VALUE(LEFT($AB$14,1)),VALUE(LEFT($AC$14,1)),VALUE(LEFT($AD$14,1)),VALUE(LEFT($AE$14,1)),VALUE(LEFT($AF$14,1)),VALUE(LEFT($AG$14,1)),VALUE(LEFT($AH$14,1)),$BP$14),4),"")</f>
        <v>3.5872999999999999</v>
      </c>
      <c r="BV14" s="9">
        <f>IFERROR(ROUND(AVERAGE(VALUE(LEFT($AJ$14,1)),VALUE(LEFT($AK$14,1)),$BQ$14),4),"")</f>
        <v>6.3333000000000004</v>
      </c>
      <c r="BW14" s="9">
        <f>IFERROR(ROUND(AVERAGE($AM$14,$AN$14,$AO$14,$AP$14),4),"")</f>
        <v>6</v>
      </c>
      <c r="BX14" s="9">
        <f>IFERROR(ROUND(AVERAGE(VALUE(LEFT($AW$14,1)),$AX$14,$AY$14),4),"")</f>
        <v>4.6666999999999996</v>
      </c>
      <c r="BY14" s="9">
        <f>IFERROR(ROUND(AVERAGE($BR$14,$BA$14,$BB$14,$BS$14,$BT$14),4),"")</f>
        <v>4</v>
      </c>
      <c r="BZ14" s="9" t="str">
        <f>IF(OR($BK$14="Junior",$BK$14="Stagiaire",$BK$14="Alternant"),"Junior",IF(OR($BK$14="Superviseur",$BK$14="Superviseur ",$BK$14="Senior",$BK$14="Senior Manager",$BK$14="Manager"),"Senior-Manager",IF(OR($BK$14="Associe",$BK$14="Associé"),"Associe","Autre")))</f>
        <v>Junior</v>
      </c>
      <c r="CA14" s="9" t="b">
        <f>AND(NOT(ISNUMBER(SEARCH("Jamais",$B$14))),$BG$14="4. Neutre")</f>
        <v>1</v>
      </c>
      <c r="CB14">
        <f t="shared" si="0"/>
        <v>6</v>
      </c>
    </row>
    <row r="15" spans="1:80" x14ac:dyDescent="0.25">
      <c r="A15" s="42">
        <v>46038.982821990743</v>
      </c>
      <c r="B15" s="10" t="str">
        <v>3. Rarement (1 à 3 fois par mois)</v>
      </c>
      <c r="C15" s="10" t="str">
        <v>Usage mix des deux</v>
      </c>
      <c r="D15" s="10">
        <v>0</v>
      </c>
      <c r="E15" s="10">
        <v>0</v>
      </c>
      <c r="F15" s="10" t="str">
        <v>Version grand public</v>
      </c>
      <c r="G15" s="10" t="str">
        <v>Version grand public</v>
      </c>
      <c r="H15" s="10" t="str">
        <v>Version grand public</v>
      </c>
      <c r="I15" s="10">
        <v>0</v>
      </c>
      <c r="J15" s="10">
        <v>0</v>
      </c>
      <c r="K15" s="10" t="str">
        <v>Version entreprise</v>
      </c>
      <c r="L15" s="10">
        <v>0</v>
      </c>
      <c r="M15" s="10" t="str">
        <v>Rédaction (rapports, synthèses, notes, mails), Recherche d'informations ou de points techniques, Revue d'estimations comptables (provisions, dépréciations), Évaluation du contrôle interne, Aide à la décision</v>
      </c>
      <c r="N15" s="10" t="str">
        <v>De manière VOLONTAIRE (vous avez choisi vous-même)</v>
      </c>
      <c r="O15" s="10" t="str">
        <v>3. Neutre</v>
      </c>
      <c r="P15" s="10" t="str">
        <v>5. Très utile</v>
      </c>
      <c r="Q15" s="10" t="str">
        <v>5. Très utile</v>
      </c>
      <c r="R15" s="10" t="str">
        <v>4. Utile</v>
      </c>
      <c r="S15" s="10" t="str">
        <v>3. Neutre</v>
      </c>
      <c r="T15" s="10" t="str">
        <v>2. Peu utile</v>
      </c>
      <c r="U15" s="10" t="str">
        <v>2. Peu utile</v>
      </c>
      <c r="V15" s="10" t="str">
        <v>4. Utile</v>
      </c>
      <c r="W15" s="10" t="str">
        <v>4. Utile</v>
      </c>
      <c r="X15" s="10" t="str">
        <v>3. Neutre</v>
      </c>
      <c r="Y15" s="10" t="str">
        <v>2. Peu utile</v>
      </c>
      <c r="Z15" s="10" t="str">
        <v>4. Utile</v>
      </c>
      <c r="AA15" s="10" t="str">
        <v>5. Très utile</v>
      </c>
      <c r="AB15" s="10" t="str">
        <v>5. Très utile</v>
      </c>
      <c r="AC15" s="10" t="str">
        <v>4. Utile</v>
      </c>
      <c r="AD15" s="10" t="str">
        <v>3. Neutre</v>
      </c>
      <c r="AE15" s="10" t="str">
        <v>3. Neutre</v>
      </c>
      <c r="AF15" s="10" t="str">
        <v>3. Neutre</v>
      </c>
      <c r="AG15" s="10" t="str">
        <v>4. Utile</v>
      </c>
      <c r="AH15" s="10" t="str">
        <v>3. Neutre</v>
      </c>
      <c r="AI15" s="10">
        <v>4</v>
      </c>
      <c r="AJ15" s="10" t="str">
        <v>4. Ni facile, ni difficile (Prise en main normale)</v>
      </c>
      <c r="AK15" s="10" t="str">
        <v>5. Plutôt d'accord (S'intègre assez bien)</v>
      </c>
      <c r="AL15" s="10">
        <v>6</v>
      </c>
      <c r="AM15" s="10">
        <v>6</v>
      </c>
      <c r="AN15" s="10">
        <v>7</v>
      </c>
      <c r="AO15" s="10">
        <v>6</v>
      </c>
      <c r="AP15" s="10">
        <v>3</v>
      </c>
      <c r="AQ15" s="10" t="str">
        <v>5. Très important</v>
      </c>
      <c r="AR15" s="10" t="str">
        <v>5. Très important</v>
      </c>
      <c r="AS15" s="10" t="str">
        <v>3. Moyennement important</v>
      </c>
      <c r="AT15" s="10" t="str">
        <v>3. Moyennement important</v>
      </c>
      <c r="AU15" s="10">
        <v>4</v>
      </c>
      <c r="AV15" s="10">
        <v>5</v>
      </c>
      <c r="AW15" s="10" t="str">
        <v>5. Solide (Plusieurs jours de formation ou modules suivis)</v>
      </c>
      <c r="AX15" s="10">
        <v>6</v>
      </c>
      <c r="AY15" s="10">
        <v>6</v>
      </c>
      <c r="AZ15" s="10" t="str">
        <v>4. Neutre (Le niveau de vérification dépend de la complexité)</v>
      </c>
      <c r="BA15" s="10">
        <v>6</v>
      </c>
      <c r="BB15" s="10">
        <v>4</v>
      </c>
      <c r="BC15" s="10">
        <v>3</v>
      </c>
      <c r="BD15" s="10">
        <v>5</v>
      </c>
      <c r="BE15" s="10" t="str">
        <v>Non</v>
      </c>
      <c r="BF15" s="10">
        <v>7</v>
      </c>
      <c r="BG15" s="10" t="str">
        <v>4. Neutre</v>
      </c>
      <c r="BH15" s="10">
        <v>3</v>
      </c>
      <c r="BI15" s="10" t="str">
        <v>18-25</v>
      </c>
      <c r="BJ15" s="10" t="str">
        <v>Femme</v>
      </c>
      <c r="BK15" s="10" t="str">
        <v>Junior</v>
      </c>
      <c r="BL15" s="10" t="str">
        <v>2 - 3 ans</v>
      </c>
      <c r="BM15" s="10" t="str">
        <v>Audit Financier</v>
      </c>
      <c r="BN15" s="10" t="str">
        <v>Cabinet international</v>
      </c>
      <c r="BO15" s="10">
        <v>0</v>
      </c>
      <c r="BP15" s="10">
        <f>IF(ISNUMBER($AI$15),ROUND((((($AI$15-1)*(4/6))+1)),4),"")</f>
        <v>3</v>
      </c>
      <c r="BQ15" s="10">
        <f>IF(ISNUMBER($AL$15),8-$AL$15,"")</f>
        <v>2</v>
      </c>
      <c r="BR15" s="10">
        <f>IFERROR(8-VALUE(LEFT($AZ$15,1)),"")</f>
        <v>4</v>
      </c>
      <c r="BS15" s="10">
        <f>IF(ISNUMBER($BC$15),8-$BC$15,"")</f>
        <v>5</v>
      </c>
      <c r="BT15" s="10">
        <f>IF(ISNUMBER($BD$15),8-$BD$15,"")</f>
        <v>3</v>
      </c>
      <c r="BU15" s="10">
        <f>IFERROR(ROUND(AVERAGE(VALUE(LEFT($O$15,1)),VALUE(LEFT($P$15,1)),VALUE(LEFT($Q$15,1)),VALUE(LEFT($R$15,1)),VALUE(LEFT($S$15,1)),VALUE(LEFT($T$15,1)),VALUE(LEFT($U$15,1)),VALUE(LEFT($V$15,1)),VALUE(LEFT($W$15,1)),VALUE(LEFT($X$15,1)),VALUE(LEFT($Y$15,1)),VALUE(LEFT($Z$15,1)),VALUE(LEFT($AA$15,1)),VALUE(LEFT($AB$15,1)),VALUE(LEFT($AC$15,1)),VALUE(LEFT($AD$15,1)),VALUE(LEFT($AE$15,1)),VALUE(LEFT($AF$15,1)),VALUE(LEFT($AG$15,1)),VALUE(LEFT($AH$15,1)),$BP$15),4),"")</f>
        <v>3.5238</v>
      </c>
      <c r="BV15" s="10">
        <f>IFERROR(ROUND(AVERAGE(VALUE(LEFT($AJ$15,1)),VALUE(LEFT($AK$15,1)),$BQ$15),4),"")</f>
        <v>3.6667000000000001</v>
      </c>
      <c r="BW15" s="10">
        <f>IFERROR(ROUND(AVERAGE($AM$15,$AN$15,$AO$15,$AP$15),4),"")</f>
        <v>5.5</v>
      </c>
      <c r="BX15" s="10">
        <f>IFERROR(ROUND(AVERAGE(VALUE(LEFT($AW$15,1)),$AX$15,$AY$15),4),"")</f>
        <v>5.6666999999999996</v>
      </c>
      <c r="BY15" s="10">
        <f>IFERROR(ROUND(AVERAGE($BR$15,$BA$15,$BB$15,$BS$15,$BT$15),4),"")</f>
        <v>4.4000000000000004</v>
      </c>
      <c r="BZ15" s="10" t="str">
        <f>IF(OR($BK$15="Junior",$BK$15="Stagiaire",$BK$15="Alternant"),"Junior",IF(OR($BK$15="Superviseur",$BK$15="Superviseur ",$BK$15="Senior",$BK$15="Senior Manager",$BK$15="Manager"),"Senior-Manager",IF(OR($BK$15="Associe",$BK$15="Associé"),"Associe","Autre")))</f>
        <v>Junior</v>
      </c>
      <c r="CA15" s="10" t="b">
        <f>AND(NOT(ISNUMBER(SEARCH("Jamais",$B$15))),$BG$15="4. Neutre")</f>
        <v>1</v>
      </c>
      <c r="CB15">
        <f t="shared" si="0"/>
        <v>3</v>
      </c>
    </row>
    <row r="16" spans="1:80" x14ac:dyDescent="0.25">
      <c r="A16" s="41">
        <v>46039.41068497685</v>
      </c>
      <c r="B16" s="9" t="str">
        <v>7. Très fréquemment (Plusieurs fois par jour)</v>
      </c>
      <c r="C16" s="9" t="str">
        <v>Outils fournis/agréés par le cabinet (ex: Copilot sécurisé)</v>
      </c>
      <c r="D16" s="9">
        <v>0</v>
      </c>
      <c r="E16" s="9" t="str">
        <v>Version entreprise</v>
      </c>
      <c r="F16" s="9">
        <v>0</v>
      </c>
      <c r="G16" s="9">
        <v>0</v>
      </c>
      <c r="H16" s="9">
        <v>0</v>
      </c>
      <c r="I16" s="9">
        <v>0</v>
      </c>
      <c r="J16" s="9">
        <v>0</v>
      </c>
      <c r="K16" s="9" t="str">
        <v>Version entreprise</v>
      </c>
      <c r="L16" s="9">
        <v>0</v>
      </c>
      <c r="M16" s="9" t="str">
        <v>Reformulation ou traduction de documents, Rédaction (rapports, synthèses, notes, mails), Automatisation et création de scripts (SQL, VBA)</v>
      </c>
      <c r="N16" s="9" t="str">
        <v>De manière VOLONTAIRE (vous avez choisi vous-même)</v>
      </c>
      <c r="O16" s="9" t="str">
        <v>4. Utile</v>
      </c>
      <c r="P16" s="9" t="str">
        <v>5. Très utile</v>
      </c>
      <c r="Q16" s="9" t="str">
        <v>4. Utile</v>
      </c>
      <c r="R16" s="9" t="str">
        <v>2. Peu utile</v>
      </c>
      <c r="S16" s="9" t="str">
        <v>5. Très utile</v>
      </c>
      <c r="T16" s="9" t="str">
        <v>3. Neutre</v>
      </c>
      <c r="U16" s="9" t="str">
        <v>3. Neutre</v>
      </c>
      <c r="V16" s="9" t="str">
        <v>2. Peu utile</v>
      </c>
      <c r="W16" s="9" t="str">
        <v>3. Neutre</v>
      </c>
      <c r="X16" s="9" t="str">
        <v>4. Utile</v>
      </c>
      <c r="Y16" s="9" t="str">
        <v>4. Utile</v>
      </c>
      <c r="Z16" s="9" t="str">
        <v>3. Neutre</v>
      </c>
      <c r="AA16" s="9" t="str">
        <v>3. Neutre</v>
      </c>
      <c r="AB16" s="9" t="str">
        <v>2. Peu utile</v>
      </c>
      <c r="AC16" s="9" t="str">
        <v>5. Très utile</v>
      </c>
      <c r="AD16" s="9" t="str">
        <v>3. Neutre</v>
      </c>
      <c r="AE16" s="9" t="str">
        <v>2. Peu utile</v>
      </c>
      <c r="AF16" s="9" t="str">
        <v>2. Peu utile</v>
      </c>
      <c r="AG16" s="9" t="str">
        <v>2. Peu utile</v>
      </c>
      <c r="AH16" s="9" t="str">
        <v>4. Utile</v>
      </c>
      <c r="AI16" s="9">
        <v>5</v>
      </c>
      <c r="AJ16" s="9" t="str">
        <v>6. Facile (Maîtrise rapide)</v>
      </c>
      <c r="AK16" s="9" t="str">
        <v>6. D'accord (S'intègre facilement)</v>
      </c>
      <c r="AL16" s="9">
        <v>3</v>
      </c>
      <c r="AM16" s="9">
        <v>7</v>
      </c>
      <c r="AN16" s="9">
        <v>7</v>
      </c>
      <c r="AO16" s="9">
        <v>3</v>
      </c>
      <c r="AP16" s="9">
        <v>7</v>
      </c>
      <c r="AQ16" s="9" t="str">
        <v>4. Important</v>
      </c>
      <c r="AR16" s="9" t="str">
        <v>5. Très important</v>
      </c>
      <c r="AS16" s="9" t="str">
        <v>3. Moyennement important</v>
      </c>
      <c r="AT16" s="9" t="str">
        <v>4. Important</v>
      </c>
      <c r="AU16" s="9">
        <v>5</v>
      </c>
      <c r="AV16" s="9">
        <v>7</v>
      </c>
      <c r="AW16" s="9" t="str">
        <v>4. Moyenne (Environ une journée de formation cumulée)</v>
      </c>
      <c r="AX16" s="9">
        <v>6</v>
      </c>
      <c r="AY16" s="9">
        <v>6</v>
      </c>
      <c r="AZ16" s="9" t="str">
        <v>3. Plutôt en désaccord (Je procède à une revue importante)</v>
      </c>
      <c r="BA16" s="9">
        <v>4</v>
      </c>
      <c r="BB16" s="9">
        <v>5</v>
      </c>
      <c r="BC16" s="9">
        <v>4</v>
      </c>
      <c r="BD16" s="9">
        <v>5</v>
      </c>
      <c r="BE16" s="9" t="str">
        <v>Oui</v>
      </c>
      <c r="BF16" s="9">
        <v>5</v>
      </c>
      <c r="BG16" s="9" t="str">
        <v>4. Neutre</v>
      </c>
      <c r="BH16" s="9">
        <v>6</v>
      </c>
      <c r="BI16" s="9" t="str">
        <v>26-35</v>
      </c>
      <c r="BJ16" s="9" t="str">
        <v>Homme</v>
      </c>
      <c r="BK16" s="9" t="str">
        <v>Senior</v>
      </c>
      <c r="BL16" s="9" t="str">
        <v>4  - 5 ans</v>
      </c>
      <c r="BM16" s="9" t="str">
        <v>Audit IT</v>
      </c>
      <c r="BN16" s="9" t="str">
        <v>Cabinet international</v>
      </c>
      <c r="BO16" s="9">
        <v>0</v>
      </c>
      <c r="BP16" s="9">
        <f>IF(ISNUMBER($AI$16),ROUND((((($AI$16-1)*(4/6))+1)),4),"")</f>
        <v>3.6667000000000001</v>
      </c>
      <c r="BQ16" s="9">
        <f>IF(ISNUMBER($AL$16),8-$AL$16,"")</f>
        <v>5</v>
      </c>
      <c r="BR16" s="9">
        <f>IFERROR(8-VALUE(LEFT($AZ$16,1)),"")</f>
        <v>5</v>
      </c>
      <c r="BS16" s="9">
        <f>IF(ISNUMBER($BC$16),8-$BC$16,"")</f>
        <v>4</v>
      </c>
      <c r="BT16" s="9">
        <f>IF(ISNUMBER($BD$16),8-$BD$16,"")</f>
        <v>3</v>
      </c>
      <c r="BU16" s="9">
        <f>IFERROR(ROUND(AVERAGE(VALUE(LEFT($O$16,1)),VALUE(LEFT($P$16,1)),VALUE(LEFT($Q$16,1)),VALUE(LEFT($R$16,1)),VALUE(LEFT($S$16,1)),VALUE(LEFT($T$16,1)),VALUE(LEFT($U$16,1)),VALUE(LEFT($V$16,1)),VALUE(LEFT($W$16,1)),VALUE(LEFT($X$16,1)),VALUE(LEFT($Y$16,1)),VALUE(LEFT($Z$16,1)),VALUE(LEFT($AA$16,1)),VALUE(LEFT($AB$16,1)),VALUE(LEFT($AC$16,1)),VALUE(LEFT($AD$16,1)),VALUE(LEFT($AE$16,1)),VALUE(LEFT($AF$16,1)),VALUE(LEFT($AG$16,1)),VALUE(LEFT($AH$16,1)),$BP$16),4),"")</f>
        <v>3.2698</v>
      </c>
      <c r="BV16" s="9">
        <f>IFERROR(ROUND(AVERAGE(VALUE(LEFT($AJ$16,1)),VALUE(LEFT($AK$16,1)),$BQ$16),4),"")</f>
        <v>5.6666999999999996</v>
      </c>
      <c r="BW16" s="9">
        <f>IFERROR(ROUND(AVERAGE($AM$16,$AN$16,$AO$16,$AP$16),4),"")</f>
        <v>6</v>
      </c>
      <c r="BX16" s="9">
        <f>IFERROR(ROUND(AVERAGE(VALUE(LEFT($AW$16,1)),$AX$16,$AY$16),4),"")</f>
        <v>5.3333000000000004</v>
      </c>
      <c r="BY16" s="9">
        <f>IFERROR(ROUND(AVERAGE($BR$16,$BA$16,$BB$16,$BS$16,$BT$16),4),"")</f>
        <v>4.2</v>
      </c>
      <c r="BZ16" s="9" t="str">
        <f>IF(OR($BK$16="Junior",$BK$16="Stagiaire",$BK$16="Alternant"),"Junior",IF(OR($BK$16="Superviseur",$BK$16="Superviseur ",$BK$16="Senior",$BK$16="Senior Manager",$BK$16="Manager"),"Senior-Manager",IF(OR($BK$16="Associe",$BK$16="Associé"),"Associe","Autre")))</f>
        <v>Senior-Manager</v>
      </c>
      <c r="CA16" s="9" t="b">
        <f>AND(NOT(ISNUMBER(SEARCH("Jamais",$B$16))),$BG$16="4. Neutre")</f>
        <v>1</v>
      </c>
      <c r="CB16">
        <f t="shared" si="0"/>
        <v>7</v>
      </c>
    </row>
    <row r="17" spans="1:80" x14ac:dyDescent="0.25">
      <c r="A17" s="42">
        <v>46040.715221817132</v>
      </c>
      <c r="B17" s="10" t="str">
        <v>5. Régulièrement (Plusieurs fois par semaine)</v>
      </c>
      <c r="C17" s="10" t="str">
        <v>Outils grand public (ex: ChatGPT, Gemini )</v>
      </c>
      <c r="D17" s="10" t="str">
        <v>Version grand public</v>
      </c>
      <c r="E17" s="10" t="str">
        <v>Version grand public</v>
      </c>
      <c r="F17" s="10" t="str">
        <v>Version entreprise</v>
      </c>
      <c r="G17" s="10" t="str">
        <v>Version grand public</v>
      </c>
      <c r="H17" s="10" t="str">
        <v>Version grand public</v>
      </c>
      <c r="I17" s="10" t="str">
        <v>Version grand public</v>
      </c>
      <c r="J17" s="10" t="str">
        <v>Version grand public</v>
      </c>
      <c r="K17" s="10" t="str">
        <v>Version entreprise</v>
      </c>
      <c r="L17" s="10" t="str">
        <v>Version grand public</v>
      </c>
      <c r="M17" s="10" t="str">
        <v>Rapprochement/Comparaison de documents, Reformulation ou traduction de documents, Correction et mise en cohérence de documents, Évaluation du contrôle interne, Préparation de données (format, structuration, harmonisation des valeurs), Recherche d'informations ou de points techniques, Rédaction (rapports, synthèses, notes, mails)</v>
      </c>
      <c r="N17" s="10" t="str">
        <v>De manière VOLONTAIRE (vous avez choisi vous-même)</v>
      </c>
      <c r="O17" s="10" t="str">
        <v>4. Utile</v>
      </c>
      <c r="P17" s="10" t="str">
        <v>5. Très utile</v>
      </c>
      <c r="Q17" s="10" t="str">
        <v>4. Utile</v>
      </c>
      <c r="R17" s="10" t="str">
        <v>5. Très utile</v>
      </c>
      <c r="S17" s="10" t="str">
        <v>3. Neutre</v>
      </c>
      <c r="T17" s="10" t="str">
        <v>4. Utile</v>
      </c>
      <c r="U17" s="10" t="str">
        <v>1. Pas du tout utile</v>
      </c>
      <c r="V17" s="10" t="str">
        <v>3. Neutre</v>
      </c>
      <c r="W17" s="10" t="str">
        <v>5. Très utile</v>
      </c>
      <c r="X17" s="10" t="str">
        <v>5. Très utile</v>
      </c>
      <c r="Y17" s="10" t="str">
        <v>5. Très utile</v>
      </c>
      <c r="Z17" s="10" t="str">
        <v>5. Très utile</v>
      </c>
      <c r="AA17" s="10" t="str">
        <v>4. Utile</v>
      </c>
      <c r="AB17" s="10" t="str">
        <v>5. Très utile</v>
      </c>
      <c r="AC17" s="10" t="str">
        <v>3. Neutre</v>
      </c>
      <c r="AD17" s="10" t="str">
        <v>3. Neutre</v>
      </c>
      <c r="AE17" s="10" t="str">
        <v>1. Pas du tout utile</v>
      </c>
      <c r="AF17" s="10" t="str">
        <v>2. Peu utile</v>
      </c>
      <c r="AG17" s="10" t="str">
        <v>4. Utile</v>
      </c>
      <c r="AH17" s="10" t="str">
        <v>4. Utile</v>
      </c>
      <c r="AI17" s="10">
        <v>6</v>
      </c>
      <c r="AJ17" s="10" t="str">
        <v>5. Plutôt facile (Assez intuitif)</v>
      </c>
      <c r="AK17" s="10" t="str">
        <v>5. Plutôt d'accord (S'intègre assez bien)</v>
      </c>
      <c r="AL17" s="10">
        <v>6</v>
      </c>
      <c r="AM17" s="10">
        <v>5</v>
      </c>
      <c r="AN17" s="10">
        <v>4</v>
      </c>
      <c r="AO17" s="10">
        <v>3</v>
      </c>
      <c r="AP17" s="10">
        <v>2</v>
      </c>
      <c r="AQ17" s="10" t="str">
        <v>5. Très important</v>
      </c>
      <c r="AR17" s="10" t="str">
        <v>5. Très important</v>
      </c>
      <c r="AS17" s="10" t="str">
        <v>4. Important</v>
      </c>
      <c r="AT17" s="10" t="str">
        <v>4. Important</v>
      </c>
      <c r="AU17" s="10">
        <v>2</v>
      </c>
      <c r="AV17" s="10">
        <v>4</v>
      </c>
      <c r="AW17" s="10" t="str">
        <v>4. Moyenne (Environ une journée de formation cumulée)</v>
      </c>
      <c r="AX17" s="10">
        <v>5</v>
      </c>
      <c r="AY17" s="10">
        <v>5</v>
      </c>
      <c r="AZ17" s="10" t="str">
        <v>2. En désaccord (Je contrôle la quasi-totalité des éléments)</v>
      </c>
      <c r="BA17" s="10">
        <v>6</v>
      </c>
      <c r="BB17" s="10">
        <v>6</v>
      </c>
      <c r="BC17" s="10">
        <v>7</v>
      </c>
      <c r="BD17" s="10">
        <v>6</v>
      </c>
      <c r="BE17" s="10" t="str">
        <v>Oui</v>
      </c>
      <c r="BF17" s="10">
        <v>6</v>
      </c>
      <c r="BG17" s="10" t="str">
        <v>4. Neutre</v>
      </c>
      <c r="BH17" s="10">
        <v>6</v>
      </c>
      <c r="BI17" s="10" t="str">
        <v>26-35</v>
      </c>
      <c r="BJ17" s="10" t="str">
        <v>Homme</v>
      </c>
      <c r="BK17" s="10" t="str">
        <v>Senior</v>
      </c>
      <c r="BL17" s="10" t="str">
        <v>2 - 3 ans</v>
      </c>
      <c r="BM17" s="10" t="str">
        <v>Audit Financier</v>
      </c>
      <c r="BN17" s="10" t="str">
        <v>Cabinet international</v>
      </c>
      <c r="BO17" s="10">
        <v>0</v>
      </c>
      <c r="BP17" s="10">
        <f>IF(ISNUMBER($AI$17),ROUND((((($AI$17-1)*(4/6))+1)),4),"")</f>
        <v>4.3333000000000004</v>
      </c>
      <c r="BQ17" s="10">
        <f>IF(ISNUMBER($AL$17),8-$AL$17,"")</f>
        <v>2</v>
      </c>
      <c r="BR17" s="10">
        <f>IFERROR(8-VALUE(LEFT($AZ$17,1)),"")</f>
        <v>6</v>
      </c>
      <c r="BS17" s="10">
        <f>IF(ISNUMBER($BC$17),8-$BC$17,"")</f>
        <v>1</v>
      </c>
      <c r="BT17" s="10">
        <f>IF(ISNUMBER($BD$17),8-$BD$17,"")</f>
        <v>2</v>
      </c>
      <c r="BU17" s="10">
        <f>IFERROR(ROUND(AVERAGE(VALUE(LEFT($O$17,1)),VALUE(LEFT($P$17,1)),VALUE(LEFT($Q$17,1)),VALUE(LEFT($R$17,1)),VALUE(LEFT($S$17,1)),VALUE(LEFT($T$17,1)),VALUE(LEFT($U$17,1)),VALUE(LEFT($V$17,1)),VALUE(LEFT($W$17,1)),VALUE(LEFT($X$17,1)),VALUE(LEFT($Y$17,1)),VALUE(LEFT($Z$17,1)),VALUE(LEFT($AA$17,1)),VALUE(LEFT($AB$17,1)),VALUE(LEFT($AC$17,1)),VALUE(LEFT($AD$17,1)),VALUE(LEFT($AE$17,1)),VALUE(LEFT($AF$17,1)),VALUE(LEFT($AG$17,1)),VALUE(LEFT($AH$17,1)),$BP$17),4),"")</f>
        <v>3.7778</v>
      </c>
      <c r="BV17" s="10">
        <f>IFERROR(ROUND(AVERAGE(VALUE(LEFT($AJ$17,1)),VALUE(LEFT($AK$17,1)),$BQ$17),4),"")</f>
        <v>4</v>
      </c>
      <c r="BW17" s="10">
        <f>IFERROR(ROUND(AVERAGE($AM$17,$AN$17,$AO$17,$AP$17),4),"")</f>
        <v>3.5</v>
      </c>
      <c r="BX17" s="10">
        <f>IFERROR(ROUND(AVERAGE(VALUE(LEFT($AW$17,1)),$AX$17,$AY$17),4),"")</f>
        <v>4.6666999999999996</v>
      </c>
      <c r="BY17" s="10">
        <f>IFERROR(ROUND(AVERAGE($BR$17,$BA$17,$BB$17,$BS$17,$BT$17),4),"")</f>
        <v>4.2</v>
      </c>
      <c r="BZ17" s="10" t="str">
        <f>IF(OR($BK$17="Junior",$BK$17="Stagiaire",$BK$17="Alternant"),"Junior",IF(OR($BK$17="Superviseur",$BK$17="Superviseur ",$BK$17="Senior",$BK$17="Senior Manager",$BK$17="Manager"),"Senior-Manager",IF(OR($BK$17="Associe",$BK$17="Associé"),"Associe","Autre")))</f>
        <v>Senior-Manager</v>
      </c>
      <c r="CA17" s="10" t="b">
        <f>AND(NOT(ISNUMBER(SEARCH("Jamais",$B$17))),$BG$17="4. Neutre")</f>
        <v>1</v>
      </c>
      <c r="CB17">
        <f t="shared" si="0"/>
        <v>5</v>
      </c>
    </row>
    <row r="18" spans="1:80" x14ac:dyDescent="0.25">
      <c r="A18" s="41">
        <v>46042.408036689812</v>
      </c>
      <c r="B18" s="9" t="str">
        <v>4. Parfois (Environ une fois par semaine)</v>
      </c>
      <c r="C18" s="9" t="str">
        <v>Outils fournis/agréés par le cabinet (ex: Copilot sécurisé)</v>
      </c>
      <c r="D18" s="9">
        <v>0</v>
      </c>
      <c r="E18" s="9" t="str">
        <v>Version entreprise</v>
      </c>
      <c r="F18" s="9">
        <v>0</v>
      </c>
      <c r="G18" s="9" t="str">
        <v>Version grand public</v>
      </c>
      <c r="H18" s="9">
        <v>0</v>
      </c>
      <c r="I18" s="9">
        <v>0</v>
      </c>
      <c r="J18" s="9">
        <v>0</v>
      </c>
      <c r="K18" s="9">
        <v>0</v>
      </c>
      <c r="L18" s="9">
        <v>0</v>
      </c>
      <c r="M18" s="9" t="str">
        <v>Rédaction (rapports, synthèses, notes, mails), Reformulation ou traduction de documents, Recherche d'informations ou de points techniques</v>
      </c>
      <c r="N18" s="9" t="str">
        <v>De manière VOLONTAIRE (vous avez choisi vous-même)</v>
      </c>
      <c r="O18" s="9" t="str">
        <v>4. Utile</v>
      </c>
      <c r="P18" s="9" t="str">
        <v>4. Utile</v>
      </c>
      <c r="Q18" s="9" t="str">
        <v>4. Utile</v>
      </c>
      <c r="R18" s="9" t="str">
        <v>4. Utile</v>
      </c>
      <c r="S18" s="9" t="str">
        <v>3. Neutre</v>
      </c>
      <c r="T18" s="9" t="str">
        <v>4. Utile</v>
      </c>
      <c r="U18" s="9" t="str">
        <v>2. Peu utile</v>
      </c>
      <c r="V18" s="9" t="str">
        <v>4. Utile</v>
      </c>
      <c r="W18" s="9" t="str">
        <v>3. Neutre</v>
      </c>
      <c r="X18" s="9" t="str">
        <v>3. Neutre</v>
      </c>
      <c r="Y18" s="9" t="str">
        <v>4. Utile</v>
      </c>
      <c r="Z18" s="9" t="str">
        <v>4. Utile</v>
      </c>
      <c r="AA18" s="9" t="str">
        <v>4. Utile</v>
      </c>
      <c r="AB18" s="9" t="str">
        <v>4. Utile</v>
      </c>
      <c r="AC18" s="9" t="str">
        <v>3. Neutre</v>
      </c>
      <c r="AD18" s="9" t="str">
        <v>4. Utile</v>
      </c>
      <c r="AE18" s="9" t="str">
        <v>2. Peu utile</v>
      </c>
      <c r="AF18" s="9" t="str">
        <v>4. Utile</v>
      </c>
      <c r="AG18" s="9" t="str">
        <v>3. Neutre</v>
      </c>
      <c r="AH18" s="9" t="str">
        <v>3. Neutre</v>
      </c>
      <c r="AI18" s="9">
        <v>4</v>
      </c>
      <c r="AJ18" s="9" t="str">
        <v>4. Ni facile, ni difficile (Prise en main normale)</v>
      </c>
      <c r="AK18" s="9" t="str">
        <v>2. En désaccord (Difficile à intégrer au métier)</v>
      </c>
      <c r="AL18" s="9">
        <v>6</v>
      </c>
      <c r="AM18" s="9">
        <v>7</v>
      </c>
      <c r="AN18" s="9">
        <v>7</v>
      </c>
      <c r="AO18" s="9">
        <v>3</v>
      </c>
      <c r="AP18" s="9">
        <v>5</v>
      </c>
      <c r="AQ18" s="9" t="str">
        <v>5. Très important</v>
      </c>
      <c r="AR18" s="9" t="str">
        <v>5. Très important</v>
      </c>
      <c r="AS18" s="9" t="str">
        <v>4. Important</v>
      </c>
      <c r="AT18" s="9" t="str">
        <v>3. Moyennement important</v>
      </c>
      <c r="AU18" s="9">
        <v>6</v>
      </c>
      <c r="AV18" s="9">
        <v>7</v>
      </c>
      <c r="AW18" s="9" t="str">
        <v>6. Approfondie (Parcours certifiant ou auto-formation technique longue)</v>
      </c>
      <c r="AX18" s="9">
        <v>5</v>
      </c>
      <c r="AY18" s="9">
        <v>5</v>
      </c>
      <c r="AZ18" s="9" t="str">
        <v>3. Plutôt en désaccord (Je procède à une revue importante)</v>
      </c>
      <c r="BA18" s="9">
        <v>6</v>
      </c>
      <c r="BB18" s="9">
        <v>4</v>
      </c>
      <c r="BC18" s="9">
        <v>5</v>
      </c>
      <c r="BD18" s="9">
        <v>2</v>
      </c>
      <c r="BE18" s="9" t="str">
        <v xml:space="preserve">Conditionné à la politique du cabinet </v>
      </c>
      <c r="BF18" s="9">
        <v>6</v>
      </c>
      <c r="BG18" s="9" t="str">
        <v>4. Neutre</v>
      </c>
      <c r="BH18" s="9">
        <v>5</v>
      </c>
      <c r="BI18" s="9" t="str">
        <v>26-35</v>
      </c>
      <c r="BJ18" s="9" t="str">
        <v>Homme</v>
      </c>
      <c r="BK18" s="9" t="str">
        <v xml:space="preserve">Superviseur </v>
      </c>
      <c r="BL18" s="9" t="str">
        <v>6  - 7 ans</v>
      </c>
      <c r="BM18" s="9" t="str">
        <v>Audit Financier</v>
      </c>
      <c r="BN18" s="9" t="str">
        <v xml:space="preserve">National et membre d'un réseau </v>
      </c>
      <c r="BO18" s="9">
        <v>0</v>
      </c>
      <c r="BP18" s="9">
        <f>IF(ISNUMBER($AI$18),ROUND((((($AI$18-1)*(4/6))+1)),4),"")</f>
        <v>3</v>
      </c>
      <c r="BQ18" s="9">
        <f>IF(ISNUMBER($AL$18),8-$AL$18,"")</f>
        <v>2</v>
      </c>
      <c r="BR18" s="9">
        <f>IFERROR(8-VALUE(LEFT($AZ$18,1)),"")</f>
        <v>5</v>
      </c>
      <c r="BS18" s="9">
        <f>IF(ISNUMBER($BC$18),8-$BC$18,"")</f>
        <v>3</v>
      </c>
      <c r="BT18" s="9">
        <f>IF(ISNUMBER($BD$18),8-$BD$18,"")</f>
        <v>6</v>
      </c>
      <c r="BU18" s="9">
        <f>IFERROR(ROUND(AVERAGE(VALUE(LEFT($O$18,1)),VALUE(LEFT($P$18,1)),VALUE(LEFT($Q$18,1)),VALUE(LEFT($R$18,1)),VALUE(LEFT($S$18,1)),VALUE(LEFT($T$18,1)),VALUE(LEFT($U$18,1)),VALUE(LEFT($V$18,1)),VALUE(LEFT($W$18,1)),VALUE(LEFT($X$18,1)),VALUE(LEFT($Y$18,1)),VALUE(LEFT($Z$18,1)),VALUE(LEFT($AA$18,1)),VALUE(LEFT($AB$18,1)),VALUE(LEFT($AC$18,1)),VALUE(LEFT($AD$18,1)),VALUE(LEFT($AE$18,1)),VALUE(LEFT($AF$18,1)),VALUE(LEFT($AG$18,1)),VALUE(LEFT($AH$18,1)),$BP$18),4),"")</f>
        <v>3.4762</v>
      </c>
      <c r="BV18" s="9">
        <f>IFERROR(ROUND(AVERAGE(VALUE(LEFT($AJ$18,1)),VALUE(LEFT($AK$18,1)),$BQ$18),4),"")</f>
        <v>2.6667000000000001</v>
      </c>
      <c r="BW18" s="9">
        <f>IFERROR(ROUND(AVERAGE($AM$18,$AN$18,$AO$18,$AP$18),4),"")</f>
        <v>5.5</v>
      </c>
      <c r="BX18" s="9">
        <f>IFERROR(ROUND(AVERAGE(VALUE(LEFT($AW$18,1)),$AX$18,$AY$18),4),"")</f>
        <v>5.3333000000000004</v>
      </c>
      <c r="BY18" s="9">
        <f>IFERROR(ROUND(AVERAGE($BR$18,$BA$18,$BB$18,$BS$18,$BT$18),4),"")</f>
        <v>4.8</v>
      </c>
      <c r="BZ18" s="9" t="str">
        <f>IF(OR($BK$18="Junior",$BK$18="Stagiaire",$BK$18="Alternant"),"Junior",IF(OR($BK$18="Superviseur",$BK$18="Superviseur ",$BK$18="Senior",$BK$18="Senior Manager",$BK$18="Manager"),"Senior-Manager",IF(OR($BK$18="Associe",$BK$18="Associé"),"Associe","Autre")))</f>
        <v>Senior-Manager</v>
      </c>
      <c r="CA18" s="9" t="b">
        <f>AND(NOT(ISNUMBER(SEARCH("Jamais",$B$18))),$BG$18="4. Neutre")</f>
        <v>1</v>
      </c>
      <c r="CB18">
        <f t="shared" si="0"/>
        <v>4</v>
      </c>
    </row>
    <row r="19" spans="1:80" x14ac:dyDescent="0.25">
      <c r="A19" s="42">
        <v>46043.860294988423</v>
      </c>
      <c r="B19" s="10" t="str">
        <v>5. Régulièrement (Plusieurs fois par semaine)</v>
      </c>
      <c r="C19" s="10" t="str">
        <v>Outils grand public (ex: ChatGPT, Gemini )</v>
      </c>
      <c r="D19" s="10">
        <v>0</v>
      </c>
      <c r="E19" s="10">
        <v>0</v>
      </c>
      <c r="F19" s="10" t="str">
        <v>Version entreprise</v>
      </c>
      <c r="G19" s="10">
        <v>0</v>
      </c>
      <c r="H19" s="10">
        <v>0</v>
      </c>
      <c r="I19" s="10">
        <v>0</v>
      </c>
      <c r="J19" s="10">
        <v>0</v>
      </c>
      <c r="K19" s="10">
        <v>0</v>
      </c>
      <c r="L19" s="10">
        <v>0</v>
      </c>
      <c r="M19" s="10" t="str">
        <v>Rédaction (rapports, synthèses, notes, mails), Analyse de données et génération d'insights, Reformulation ou traduction de documents, Recherche d'informations ou de points techniques</v>
      </c>
      <c r="N19" s="10" t="str">
        <v>De manière RECOMMANDÉE (cabinet encourage, mais facultatif)</v>
      </c>
      <c r="O19" s="10" t="str">
        <v>4. Utile</v>
      </c>
      <c r="P19" s="10" t="str">
        <v>4. Utile</v>
      </c>
      <c r="Q19" s="10" t="str">
        <v>5. Très utile</v>
      </c>
      <c r="R19" s="10" t="str">
        <v>2. Peu utile</v>
      </c>
      <c r="S19" s="10" t="str">
        <v>3. Neutre</v>
      </c>
      <c r="T19" s="10" t="str">
        <v>3. Neutre</v>
      </c>
      <c r="U19" s="10" t="str">
        <v>3. Neutre</v>
      </c>
      <c r="V19" s="10" t="str">
        <v>2. Peu utile</v>
      </c>
      <c r="W19" s="10" t="str">
        <v>2. Peu utile</v>
      </c>
      <c r="X19" s="10" t="str">
        <v>5. Très utile</v>
      </c>
      <c r="Y19" s="10" t="str">
        <v>5. Très utile</v>
      </c>
      <c r="Z19" s="10" t="str">
        <v>5. Très utile</v>
      </c>
      <c r="AA19" s="10" t="str">
        <v>5. Très utile</v>
      </c>
      <c r="AB19" s="10" t="str">
        <v>3. Neutre</v>
      </c>
      <c r="AC19" s="10" t="str">
        <v>3. Neutre</v>
      </c>
      <c r="AD19" s="10" t="str">
        <v>3. Neutre</v>
      </c>
      <c r="AE19" s="10" t="str">
        <v>3. Neutre</v>
      </c>
      <c r="AF19" s="10" t="str">
        <v>3. Neutre</v>
      </c>
      <c r="AG19" s="10" t="str">
        <v>2. Peu utile</v>
      </c>
      <c r="AH19" s="10" t="str">
        <v>5. Très utile</v>
      </c>
      <c r="AI19" s="10">
        <v>6</v>
      </c>
      <c r="AJ19" s="10" t="str">
        <v>7. Très facile (Instinctif / Sans aide)</v>
      </c>
      <c r="AK19" s="10" t="str">
        <v>6. D'accord (S'intègre facilement)</v>
      </c>
      <c r="AL19" s="10">
        <v>3</v>
      </c>
      <c r="AM19" s="10">
        <v>5</v>
      </c>
      <c r="AN19" s="10">
        <v>6</v>
      </c>
      <c r="AO19" s="10">
        <v>5</v>
      </c>
      <c r="AP19" s="10">
        <v>2</v>
      </c>
      <c r="AQ19" s="10" t="str">
        <v>4. Important</v>
      </c>
      <c r="AR19" s="10" t="str">
        <v>5. Très important</v>
      </c>
      <c r="AS19" s="10" t="str">
        <v>3. Moyennement important</v>
      </c>
      <c r="AT19" s="10" t="str">
        <v>1. Pas du tout important</v>
      </c>
      <c r="AU19" s="10">
        <v>1</v>
      </c>
      <c r="AV19" s="10">
        <v>7</v>
      </c>
      <c r="AW19" s="10" t="str">
        <v>6. Approfondie (Parcours certifiant ou auto-formation technique longue)</v>
      </c>
      <c r="AX19" s="10">
        <v>5</v>
      </c>
      <c r="AY19" s="10">
        <v>4</v>
      </c>
      <c r="AZ19" s="10" t="str">
        <v>4. Neutre (Le niveau de vérification dépend de la complexité)</v>
      </c>
      <c r="BA19" s="10">
        <v>5</v>
      </c>
      <c r="BB19" s="10">
        <v>6</v>
      </c>
      <c r="BC19" s="10">
        <v>5</v>
      </c>
      <c r="BD19" s="10">
        <v>3</v>
      </c>
      <c r="BE19" s="10" t="str">
        <v>Oui</v>
      </c>
      <c r="BF19" s="10">
        <v>6</v>
      </c>
      <c r="BG19" s="10" t="str">
        <v>4. Neutre</v>
      </c>
      <c r="BH19" s="10">
        <v>4</v>
      </c>
      <c r="BI19" s="10" t="str">
        <v>26-35</v>
      </c>
      <c r="BJ19" s="10" t="str">
        <v>Femme</v>
      </c>
      <c r="BK19" s="10" t="str">
        <v>Senior</v>
      </c>
      <c r="BL19" s="10" t="str">
        <v>4  - 5 ans</v>
      </c>
      <c r="BM19" s="10" t="str">
        <v xml:space="preserve">Audit Financier, Audit Interne, Audit acquisition </v>
      </c>
      <c r="BN19" s="10" t="str">
        <v>Cabinet local</v>
      </c>
      <c r="BO19" s="10">
        <v>0</v>
      </c>
      <c r="BP19" s="10">
        <f>IF(ISNUMBER($AI$19),ROUND((((($AI$19-1)*(4/6))+1)),4),"")</f>
        <v>4.3333000000000004</v>
      </c>
      <c r="BQ19" s="10">
        <f>IF(ISNUMBER($AL$19),8-$AL$19,"")</f>
        <v>5</v>
      </c>
      <c r="BR19" s="10">
        <f>IFERROR(8-VALUE(LEFT($AZ$19,1)),"")</f>
        <v>4</v>
      </c>
      <c r="BS19" s="10">
        <f>IF(ISNUMBER($BC$19),8-$BC$19,"")</f>
        <v>3</v>
      </c>
      <c r="BT19" s="10">
        <f>IF(ISNUMBER($BD$19),8-$BD$19,"")</f>
        <v>5</v>
      </c>
      <c r="BU19" s="10">
        <f>IFERROR(ROUND(AVERAGE(VALUE(LEFT($O$19,1)),VALUE(LEFT($P$19,1)),VALUE(LEFT($Q$19,1)),VALUE(LEFT($R$19,1)),VALUE(LEFT($S$19,1)),VALUE(LEFT($T$19,1)),VALUE(LEFT($U$19,1)),VALUE(LEFT($V$19,1)),VALUE(LEFT($W$19,1)),VALUE(LEFT($X$19,1)),VALUE(LEFT($Y$19,1)),VALUE(LEFT($Z$19,1)),VALUE(LEFT($AA$19,1)),VALUE(LEFT($AB$19,1)),VALUE(LEFT($AC$19,1)),VALUE(LEFT($AD$19,1)),VALUE(LEFT($AE$19,1)),VALUE(LEFT($AF$19,1)),VALUE(LEFT($AG$19,1)),VALUE(LEFT($AH$19,1)),$BP$19),4),"")</f>
        <v>3.5396999999999998</v>
      </c>
      <c r="BV19" s="10">
        <f>IFERROR(ROUND(AVERAGE(VALUE(LEFT($AJ$19,1)),VALUE(LEFT($AK$19,1)),$BQ$19),4),"")</f>
        <v>6</v>
      </c>
      <c r="BW19" s="10">
        <f>IFERROR(ROUND(AVERAGE($AM$19,$AN$19,$AO$19,$AP$19),4),"")</f>
        <v>4.5</v>
      </c>
      <c r="BX19" s="10">
        <f>IFERROR(ROUND(AVERAGE(VALUE(LEFT($AW$19,1)),$AX$19,$AY$19),4),"")</f>
        <v>5</v>
      </c>
      <c r="BY19" s="10">
        <f>IFERROR(ROUND(AVERAGE($BR$19,$BA$19,$BB$19,$BS$19,$BT$19),4),"")</f>
        <v>4.5999999999999996</v>
      </c>
      <c r="BZ19" s="10" t="str">
        <f>IF(OR($BK$19="Junior",$BK$19="Stagiaire",$BK$19="Alternant"),"Junior",IF(OR($BK$19="Superviseur",$BK$19="Superviseur ",$BK$19="Senior",$BK$19="Senior Manager",$BK$19="Manager"),"Senior-Manager",IF(OR($BK$19="Associe",$BK$19="Associé"),"Associe","Autre")))</f>
        <v>Senior-Manager</v>
      </c>
      <c r="CA19" s="10" t="b">
        <f>AND(NOT(ISNUMBER(SEARCH("Jamais",$B$19))),$BG$19="4. Neutre")</f>
        <v>1</v>
      </c>
      <c r="CB19">
        <f t="shared" si="0"/>
        <v>5</v>
      </c>
    </row>
    <row r="20" spans="1:80" x14ac:dyDescent="0.25">
      <c r="A20" s="41">
        <v>46047.149033668982</v>
      </c>
      <c r="B20" s="9" t="str">
        <v>7. Très fréquemment (Plusieurs fois par jour)</v>
      </c>
      <c r="C20" s="9" t="str">
        <v>Usage mix des deux</v>
      </c>
      <c r="D20" s="9">
        <v>0</v>
      </c>
      <c r="E20" s="9">
        <v>0</v>
      </c>
      <c r="F20" s="9" t="str">
        <v>Version grand public</v>
      </c>
      <c r="G20" s="9">
        <v>0</v>
      </c>
      <c r="H20" s="9">
        <v>0</v>
      </c>
      <c r="I20" s="9">
        <v>0</v>
      </c>
      <c r="J20" s="9">
        <v>0</v>
      </c>
      <c r="K20" s="9">
        <v>0</v>
      </c>
      <c r="L20" s="9">
        <v>0</v>
      </c>
      <c r="M20" s="9" t="str">
        <v>Correction et mise en cohérence de documents, Rapprochement/Comparaison de documents, Détermination du seuil de signification, Évaluation du contrôle interne, Recherche d'informations ou de points techniques, Rédaction (rapports, synthèses, notes, mails), Préparation de données (format, structuration, harmonisation des valeurs), Automatisation et création de scripts (SQL, VBA), Reformulation ou traduction de documents</v>
      </c>
      <c r="N20" s="9" t="str">
        <v>De manière VOLONTAIRE (vous avez choisi vous-même)</v>
      </c>
      <c r="O20" s="9" t="str">
        <v>3. Neutre</v>
      </c>
      <c r="P20" s="9" t="str">
        <v>3. Neutre</v>
      </c>
      <c r="Q20" s="9" t="str">
        <v>3. Neutre</v>
      </c>
      <c r="R20" s="9" t="str">
        <v>2. Peu utile</v>
      </c>
      <c r="S20" s="9" t="str">
        <v>3. Neutre</v>
      </c>
      <c r="T20" s="9" t="str">
        <v>3. Neutre</v>
      </c>
      <c r="U20" s="9" t="str">
        <v>3. Neutre</v>
      </c>
      <c r="V20" s="9" t="str">
        <v>3. Neutre</v>
      </c>
      <c r="W20" s="9" t="str">
        <v>1. Pas du tout utile</v>
      </c>
      <c r="X20" s="9" t="str">
        <v>3. Neutre</v>
      </c>
      <c r="Y20" s="9" t="str">
        <v>3. Neutre</v>
      </c>
      <c r="Z20" s="9" t="str">
        <v>3. Neutre</v>
      </c>
      <c r="AA20" s="9" t="str">
        <v>3. Neutre</v>
      </c>
      <c r="AB20" s="9" t="str">
        <v>1. Pas du tout utile</v>
      </c>
      <c r="AC20" s="9" t="str">
        <v>3. Neutre</v>
      </c>
      <c r="AD20" s="9" t="str">
        <v>3. Neutre</v>
      </c>
      <c r="AE20" s="9" t="str">
        <v>3. Neutre</v>
      </c>
      <c r="AF20" s="9" t="str">
        <v>1. Pas du tout utile</v>
      </c>
      <c r="AG20" s="9" t="str">
        <v>1. Pas du tout utile</v>
      </c>
      <c r="AH20" s="9" t="str">
        <v>3. Neutre</v>
      </c>
      <c r="AI20" s="9">
        <v>7</v>
      </c>
      <c r="AJ20" s="9" t="str">
        <v>6. Facile (Maîtrise rapide)</v>
      </c>
      <c r="AK20" s="9" t="str">
        <v>7. Tout à fait d'accord (Automatisme quotidien)</v>
      </c>
      <c r="AL20" s="9">
        <v>2</v>
      </c>
      <c r="AM20" s="9">
        <v>7</v>
      </c>
      <c r="AN20" s="9">
        <v>1</v>
      </c>
      <c r="AO20" s="9">
        <v>7</v>
      </c>
      <c r="AP20" s="9">
        <v>7</v>
      </c>
      <c r="AQ20" s="9" t="str">
        <v>3. Moyennement important</v>
      </c>
      <c r="AR20" s="9" t="str">
        <v>3. Moyennement important</v>
      </c>
      <c r="AS20" s="9" t="str">
        <v>1. Pas du tout important</v>
      </c>
      <c r="AT20" s="9" t="str">
        <v>1. Pas du tout important</v>
      </c>
      <c r="AU20" s="9">
        <v>7</v>
      </c>
      <c r="AV20" s="9">
        <v>7</v>
      </c>
      <c r="AW20" s="9" t="str">
        <v>4. Moyenne (Environ une journée de formation cumulée)</v>
      </c>
      <c r="AX20" s="9">
        <v>7</v>
      </c>
      <c r="AY20" s="9">
        <v>7</v>
      </c>
      <c r="AZ20" s="9" t="str">
        <v>4. Neutre (Le niveau de vérification dépend de la complexité)</v>
      </c>
      <c r="BA20" s="9">
        <v>4</v>
      </c>
      <c r="BB20" s="9">
        <v>7</v>
      </c>
      <c r="BC20" s="9">
        <v>7</v>
      </c>
      <c r="BD20" s="9">
        <v>1</v>
      </c>
      <c r="BE20" s="9" t="str">
        <v>Non</v>
      </c>
      <c r="BF20" s="9">
        <v>7</v>
      </c>
      <c r="BG20" s="9" t="str">
        <v>4. Neutre</v>
      </c>
      <c r="BH20" s="9">
        <v>7</v>
      </c>
      <c r="BI20" s="9" t="str">
        <v>46-55</v>
      </c>
      <c r="BJ20" s="9" t="str">
        <v>Homme</v>
      </c>
      <c r="BK20" s="9" t="str">
        <v>Manager</v>
      </c>
      <c r="BL20" s="9" t="str">
        <v>Plus de 10 ans</v>
      </c>
      <c r="BM20" s="9" t="str">
        <v>Audit Financier, Audit IT, Audit Interne</v>
      </c>
      <c r="BN20" s="9" t="str">
        <v>Cabinet international</v>
      </c>
      <c r="BO20" s="9">
        <v>0</v>
      </c>
      <c r="BP20" s="9">
        <f>IF(ISNUMBER($AI$20),ROUND((((($AI$20-1)*(4/6))+1)),4),"")</f>
        <v>5</v>
      </c>
      <c r="BQ20" s="9">
        <f>IF(ISNUMBER($AL$20),8-$AL$20,"")</f>
        <v>6</v>
      </c>
      <c r="BR20" s="9">
        <f>IFERROR(8-VALUE(LEFT($AZ$20,1)),"")</f>
        <v>4</v>
      </c>
      <c r="BS20" s="9">
        <f>IF(ISNUMBER($BC$20),8-$BC$20,"")</f>
        <v>1</v>
      </c>
      <c r="BT20" s="9">
        <f>IF(ISNUMBER($BD$20),8-$BD$20,"")</f>
        <v>7</v>
      </c>
      <c r="BU20" s="9">
        <f>IFERROR(ROUND(AVERAGE(VALUE(LEFT($O$20,1)),VALUE(LEFT($P$20,1)),VALUE(LEFT($Q$20,1)),VALUE(LEFT($R$20,1)),VALUE(LEFT($S$20,1)),VALUE(LEFT($T$20,1)),VALUE(LEFT($U$20,1)),VALUE(LEFT($V$20,1)),VALUE(LEFT($W$20,1)),VALUE(LEFT($X$20,1)),VALUE(LEFT($Y$20,1)),VALUE(LEFT($Z$20,1)),VALUE(LEFT($AA$20,1)),VALUE(LEFT($AB$20,1)),VALUE(LEFT($AC$20,1)),VALUE(LEFT($AD$20,1)),VALUE(LEFT($AE$20,1)),VALUE(LEFT($AF$20,1)),VALUE(LEFT($AG$20,1)),VALUE(LEFT($AH$20,1)),$BP$20),4),"")</f>
        <v>2.6667000000000001</v>
      </c>
      <c r="BV20" s="9">
        <f>IFERROR(ROUND(AVERAGE(VALUE(LEFT($AJ$20,1)),VALUE(LEFT($AK$20,1)),$BQ$20),4),"")</f>
        <v>6.3333000000000004</v>
      </c>
      <c r="BW20" s="9">
        <f>IFERROR(ROUND(AVERAGE($AM$20,$AN$20,$AO$20,$AP$20),4),"")</f>
        <v>5.5</v>
      </c>
      <c r="BX20" s="9">
        <f>IFERROR(ROUND(AVERAGE(VALUE(LEFT($AW$20,1)),$AX$20,$AY$20),4),"")</f>
        <v>6</v>
      </c>
      <c r="BY20" s="9">
        <f>IFERROR(ROUND(AVERAGE($BR$20,$BA$20,$BB$20,$BS$20,$BT$20),4),"")</f>
        <v>4.5999999999999996</v>
      </c>
      <c r="BZ20" s="9" t="str">
        <f>IF(OR($BK$20="Junior",$BK$20="Stagiaire",$BK$20="Alternant"),"Junior",IF(OR($BK$20="Superviseur",$BK$20="Superviseur ",$BK$20="Senior",$BK$20="Senior Manager",$BK$20="Manager"),"Senior-Manager",IF(OR($BK$20="Associe",$BK$20="Associé"),"Associe","Autre")))</f>
        <v>Senior-Manager</v>
      </c>
      <c r="CA20" s="9" t="b">
        <f>AND(NOT(ISNUMBER(SEARCH("Jamais",$B$20))),$BG$20="4. Neutre")</f>
        <v>1</v>
      </c>
      <c r="CB20">
        <f t="shared" si="0"/>
        <v>7</v>
      </c>
    </row>
    <row r="21" spans="1:80" x14ac:dyDescent="0.25">
      <c r="A21" s="42">
        <v>46047.74720229167</v>
      </c>
      <c r="B21" s="10" t="str">
        <v>3. Rarement (1 à 3 fois par mois)</v>
      </c>
      <c r="C21" s="10" t="str">
        <v>Usage mix des deux</v>
      </c>
      <c r="D21" s="10">
        <v>0</v>
      </c>
      <c r="E21" s="10" t="str">
        <v>Version entreprise</v>
      </c>
      <c r="F21" s="10" t="str">
        <v>Version grand public</v>
      </c>
      <c r="G21" s="10">
        <v>0</v>
      </c>
      <c r="H21" s="10">
        <v>0</v>
      </c>
      <c r="I21" s="10">
        <v>0</v>
      </c>
      <c r="J21" s="10">
        <v>0</v>
      </c>
      <c r="K21" s="10">
        <v>0</v>
      </c>
      <c r="L21" s="10">
        <v>0</v>
      </c>
      <c r="M21" s="10" t="str">
        <v>Recherche d'informations ou de points techniques, Rédaction (rapports, synthèses, notes, mails)</v>
      </c>
      <c r="N21" s="10" t="str">
        <v>De manière VOLONTAIRE (vous avez choisi vous-même)</v>
      </c>
      <c r="O21" s="10" t="str">
        <v>5. Très utile</v>
      </c>
      <c r="P21" s="10" t="str">
        <v>2. Peu utile</v>
      </c>
      <c r="Q21" s="10" t="str">
        <v>4. Utile</v>
      </c>
      <c r="R21" s="10" t="str">
        <v>5. Très utile</v>
      </c>
      <c r="S21" s="10" t="str">
        <v>4. Utile</v>
      </c>
      <c r="T21" s="10" t="str">
        <v>4. Utile</v>
      </c>
      <c r="U21" s="10" t="str">
        <v>1. Pas du tout utile</v>
      </c>
      <c r="V21" s="10" t="str">
        <v>1. Pas du tout utile</v>
      </c>
      <c r="W21" s="10" t="str">
        <v>1. Pas du tout utile</v>
      </c>
      <c r="X21" s="10" t="str">
        <v>1. Pas du tout utile</v>
      </c>
      <c r="Y21" s="10" t="str">
        <v>5. Très utile</v>
      </c>
      <c r="Z21" s="10" t="str">
        <v>4. Utile</v>
      </c>
      <c r="AA21" s="10" t="str">
        <v>4. Utile</v>
      </c>
      <c r="AB21" s="10" t="str">
        <v>5. Très utile</v>
      </c>
      <c r="AC21" s="10" t="str">
        <v>5. Très utile</v>
      </c>
      <c r="AD21" s="10" t="str">
        <v>4. Utile</v>
      </c>
      <c r="AE21" s="10" t="str">
        <v>2. Peu utile</v>
      </c>
      <c r="AF21" s="10" t="str">
        <v>2. Peu utile</v>
      </c>
      <c r="AG21" s="10" t="str">
        <v>2. Peu utile</v>
      </c>
      <c r="AH21" s="10" t="str">
        <v>4. Utile</v>
      </c>
      <c r="AI21" s="10">
        <v>5</v>
      </c>
      <c r="AJ21" s="10" t="str">
        <v>6. Facile (Maîtrise rapide)</v>
      </c>
      <c r="AK21" s="10" t="str">
        <v>3. Plutôt en désaccord (Demande un effort conscient)</v>
      </c>
      <c r="AL21" s="10">
        <v>3</v>
      </c>
      <c r="AM21" s="10">
        <v>7</v>
      </c>
      <c r="AN21" s="10">
        <v>7</v>
      </c>
      <c r="AO21" s="10">
        <v>7</v>
      </c>
      <c r="AP21" s="10">
        <v>7</v>
      </c>
      <c r="AQ21" s="10" t="str">
        <v>5. Très important</v>
      </c>
      <c r="AR21" s="10" t="str">
        <v>5. Très important</v>
      </c>
      <c r="AS21" s="10" t="str">
        <v>5. Très important</v>
      </c>
      <c r="AT21" s="10" t="str">
        <v>5. Très important</v>
      </c>
      <c r="AU21" s="10">
        <v>7</v>
      </c>
      <c r="AV21" s="10">
        <v>7</v>
      </c>
      <c r="AW21" s="10" t="str">
        <v>2. Très limitée (Quelques vidéos ou articles consultés)</v>
      </c>
      <c r="AX21" s="10">
        <v>5</v>
      </c>
      <c r="AY21" s="10">
        <v>7</v>
      </c>
      <c r="AZ21" s="10" t="str">
        <v>2. En désaccord (Je contrôle la quasi-totalité des éléments)</v>
      </c>
      <c r="BA21" s="10">
        <v>7</v>
      </c>
      <c r="BB21" s="10">
        <v>4</v>
      </c>
      <c r="BC21" s="10">
        <v>2</v>
      </c>
      <c r="BD21" s="10">
        <v>2</v>
      </c>
      <c r="BE21" s="10" t="str">
        <v>Non</v>
      </c>
      <c r="BF21" s="10">
        <v>1</v>
      </c>
      <c r="BG21" s="10" t="str">
        <v>4. Neutre</v>
      </c>
      <c r="BH21" s="10">
        <v>1</v>
      </c>
      <c r="BI21" s="10" t="str">
        <v>26-35</v>
      </c>
      <c r="BJ21" s="10" t="str">
        <v>Femme</v>
      </c>
      <c r="BK21" s="10" t="str">
        <v>Junior</v>
      </c>
      <c r="BL21" s="10" t="str">
        <v>2 - 3 ans</v>
      </c>
      <c r="BM21" s="10" t="str">
        <v>Audit Financier</v>
      </c>
      <c r="BN21" s="10" t="str">
        <v>Cabinet régional</v>
      </c>
      <c r="BO21" s="10">
        <v>0</v>
      </c>
      <c r="BP21" s="10">
        <f>IF(ISNUMBER($AI$21),ROUND((((($AI$21-1)*(4/6))+1)),4),"")</f>
        <v>3.6667000000000001</v>
      </c>
      <c r="BQ21" s="10">
        <f>IF(ISNUMBER($AL$21),8-$AL$21,"")</f>
        <v>5</v>
      </c>
      <c r="BR21" s="10">
        <f>IFERROR(8-VALUE(LEFT($AZ$21,1)),"")</f>
        <v>6</v>
      </c>
      <c r="BS21" s="10">
        <f>IF(ISNUMBER($BC$21),8-$BC$21,"")</f>
        <v>6</v>
      </c>
      <c r="BT21" s="10">
        <f>IF(ISNUMBER($BD$21),8-$BD$21,"")</f>
        <v>6</v>
      </c>
      <c r="BU21" s="10">
        <f>IFERROR(ROUND(AVERAGE(VALUE(LEFT($O$21,1)),VALUE(LEFT($P$21,1)),VALUE(LEFT($Q$21,1)),VALUE(LEFT($R$21,1)),VALUE(LEFT($S$21,1)),VALUE(LEFT($T$21,1)),VALUE(LEFT($U$21,1)),VALUE(LEFT($V$21,1)),VALUE(LEFT($W$21,1)),VALUE(LEFT($X$21,1)),VALUE(LEFT($Y$21,1)),VALUE(LEFT($Z$21,1)),VALUE(LEFT($AA$21,1)),VALUE(LEFT($AB$21,1)),VALUE(LEFT($AC$21,1)),VALUE(LEFT($AD$21,1)),VALUE(LEFT($AE$21,1)),VALUE(LEFT($AF$21,1)),VALUE(LEFT($AG$21,1)),VALUE(LEFT($AH$21,1)),$BP$21),4),"")</f>
        <v>3.2698</v>
      </c>
      <c r="BV21" s="10">
        <f>IFERROR(ROUND(AVERAGE(VALUE(LEFT($AJ$21,1)),VALUE(LEFT($AK$21,1)),$BQ$21),4),"")</f>
        <v>4.6666999999999996</v>
      </c>
      <c r="BW21" s="10">
        <f>IFERROR(ROUND(AVERAGE($AM$21,$AN$21,$AO$21,$AP$21),4),"")</f>
        <v>7</v>
      </c>
      <c r="BX21" s="10">
        <f>IFERROR(ROUND(AVERAGE(VALUE(LEFT($AW$21,1)),$AX$21,$AY$21),4),"")</f>
        <v>4.6666999999999996</v>
      </c>
      <c r="BY21" s="10">
        <f>IFERROR(ROUND(AVERAGE($BR$21,$BA$21,$BB$21,$BS$21,$BT$21),4),"")</f>
        <v>5.8</v>
      </c>
      <c r="BZ21" s="10" t="str">
        <f>IF(OR($BK$21="Junior",$BK$21="Stagiaire",$BK$21="Alternant"),"Junior",IF(OR($BK$21="Superviseur",$BK$21="Superviseur ",$BK$21="Senior",$BK$21="Senior Manager",$BK$21="Manager"),"Senior-Manager",IF(OR($BK$21="Associe",$BK$21="Associé"),"Associe","Autre")))</f>
        <v>Junior</v>
      </c>
      <c r="CA21" s="10" t="b">
        <f>AND(NOT(ISNUMBER(SEARCH("Jamais",$B$21))),$BG$21="4. Neutre")</f>
        <v>1</v>
      </c>
      <c r="CB21">
        <f t="shared" si="0"/>
        <v>3</v>
      </c>
    </row>
    <row r="22" spans="1:80" x14ac:dyDescent="0.25">
      <c r="A22" s="41">
        <v>46049.809747141197</v>
      </c>
      <c r="B22" s="9" t="str">
        <v>2. Très rarement (Moins d'une fois par mois)</v>
      </c>
      <c r="C22" s="9" t="str">
        <v>Outils grand public (ex: ChatGPT, Gemini )</v>
      </c>
      <c r="D22" s="9">
        <v>0</v>
      </c>
      <c r="E22" s="9">
        <v>0</v>
      </c>
      <c r="F22" s="9" t="str">
        <v>Version grand public</v>
      </c>
      <c r="G22" s="9">
        <v>0</v>
      </c>
      <c r="H22" s="9">
        <v>0</v>
      </c>
      <c r="I22" s="9">
        <v>0</v>
      </c>
      <c r="J22" s="9">
        <v>0</v>
      </c>
      <c r="K22" s="9">
        <v>0</v>
      </c>
      <c r="L22" s="9">
        <v>0</v>
      </c>
      <c r="M22" s="9" t="str">
        <v>Rédaction (rapports, synthèses, notes, mails)</v>
      </c>
      <c r="N22" s="9" t="str">
        <v>De manière VOLONTAIRE (vous avez choisi vous-même)</v>
      </c>
      <c r="O22" s="9" t="str">
        <v>3. Neutre</v>
      </c>
      <c r="P22" s="9" t="str">
        <v>3. Neutre</v>
      </c>
      <c r="Q22" s="9" t="str">
        <v>3. Neutre</v>
      </c>
      <c r="R22" s="9" t="str">
        <v>2. Peu utile</v>
      </c>
      <c r="S22" s="9" t="str">
        <v>2. Peu utile</v>
      </c>
      <c r="T22" s="9" t="str">
        <v>3. Neutre</v>
      </c>
      <c r="U22" s="9" t="str">
        <v>2. Peu utile</v>
      </c>
      <c r="V22" s="9" t="str">
        <v>3. Neutre</v>
      </c>
      <c r="W22" s="9" t="str">
        <v>2. Peu utile</v>
      </c>
      <c r="X22" s="9" t="str">
        <v>2. Peu utile</v>
      </c>
      <c r="Y22" s="9" t="str">
        <v>2. Peu utile</v>
      </c>
      <c r="Z22" s="9" t="str">
        <v>2. Peu utile</v>
      </c>
      <c r="AA22" s="9" t="str">
        <v>2. Peu utile</v>
      </c>
      <c r="AB22" s="9" t="str">
        <v>2. Peu utile</v>
      </c>
      <c r="AC22" s="9" t="str">
        <v>2. Peu utile</v>
      </c>
      <c r="AD22" s="9" t="str">
        <v>2. Peu utile</v>
      </c>
      <c r="AE22" s="9" t="str">
        <v>2. Peu utile</v>
      </c>
      <c r="AF22" s="9" t="str">
        <v>2. Peu utile</v>
      </c>
      <c r="AG22" s="9" t="str">
        <v>2. Peu utile</v>
      </c>
      <c r="AH22" s="9" t="str">
        <v>2. Peu utile</v>
      </c>
      <c r="AI22" s="9">
        <v>5</v>
      </c>
      <c r="AJ22" s="9" t="str">
        <v>5. Plutôt facile (Assez intuitif)</v>
      </c>
      <c r="AK22" s="9" t="str">
        <v>5. Plutôt d'accord (S'intègre assez bien)</v>
      </c>
      <c r="AL22" s="9">
        <v>5</v>
      </c>
      <c r="AM22" s="9">
        <v>6</v>
      </c>
      <c r="AN22" s="9">
        <v>6</v>
      </c>
      <c r="AO22" s="9">
        <v>5</v>
      </c>
      <c r="AP22" s="9">
        <v>5</v>
      </c>
      <c r="AQ22" s="9" t="str">
        <v>3. Moyennement important</v>
      </c>
      <c r="AR22" s="9" t="str">
        <v>3. Moyennement important</v>
      </c>
      <c r="AS22" s="9" t="str">
        <v>3. Moyennement important</v>
      </c>
      <c r="AT22" s="9" t="str">
        <v>3. Moyennement important</v>
      </c>
      <c r="AU22" s="9">
        <v>4</v>
      </c>
      <c r="AV22" s="9">
        <v>6</v>
      </c>
      <c r="AW22" s="9" t="str">
        <v>2. Très limitée (Quelques vidéos ou articles consultés)</v>
      </c>
      <c r="AX22" s="9">
        <v>4</v>
      </c>
      <c r="AY22" s="9">
        <v>4</v>
      </c>
      <c r="AZ22" s="9" t="str">
        <v>4. Neutre (Le niveau de vérification dépend de la complexité)</v>
      </c>
      <c r="BA22" s="9">
        <v>4</v>
      </c>
      <c r="BB22" s="9">
        <v>5</v>
      </c>
      <c r="BC22" s="9">
        <v>5</v>
      </c>
      <c r="BD22" s="9">
        <v>3</v>
      </c>
      <c r="BE22" s="9" t="str">
        <v>Oui</v>
      </c>
      <c r="BF22" s="9">
        <v>5</v>
      </c>
      <c r="BG22" s="9" t="str">
        <v>4. Neutre</v>
      </c>
      <c r="BH22" s="9">
        <v>5</v>
      </c>
      <c r="BI22" s="9" t="str">
        <v>26-35</v>
      </c>
      <c r="BJ22" s="9" t="str">
        <v>Homme</v>
      </c>
      <c r="BK22" s="9" t="str">
        <v>Senior</v>
      </c>
      <c r="BL22" s="9" t="str">
        <v>4  - 5 ans</v>
      </c>
      <c r="BM22" s="9" t="str">
        <v>Audit Financier</v>
      </c>
      <c r="BN22" s="9" t="str">
        <v>Cabinet international</v>
      </c>
      <c r="BO22" s="9">
        <v>0</v>
      </c>
      <c r="BP22" s="9">
        <f>IF(ISNUMBER($AI$22),ROUND((((($AI$22-1)*(4/6))+1)),4),"")</f>
        <v>3.6667000000000001</v>
      </c>
      <c r="BQ22" s="9">
        <f>IF(ISNUMBER($AL$22),8-$AL$22,"")</f>
        <v>3</v>
      </c>
      <c r="BR22" s="9">
        <f>IFERROR(8-VALUE(LEFT($AZ$22,1)),"")</f>
        <v>4</v>
      </c>
      <c r="BS22" s="9">
        <f>IF(ISNUMBER($BC$22),8-$BC$22,"")</f>
        <v>3</v>
      </c>
      <c r="BT22" s="9">
        <f>IF(ISNUMBER($BD$22),8-$BD$22,"")</f>
        <v>5</v>
      </c>
      <c r="BU22" s="9">
        <f>IFERROR(ROUND(AVERAGE(VALUE(LEFT($O$22,1)),VALUE(LEFT($P$22,1)),VALUE(LEFT($Q$22,1)),VALUE(LEFT($R$22,1)),VALUE(LEFT($S$22,1)),VALUE(LEFT($T$22,1)),VALUE(LEFT($U$22,1)),VALUE(LEFT($V$22,1)),VALUE(LEFT($W$22,1)),VALUE(LEFT($X$22,1)),VALUE(LEFT($Y$22,1)),VALUE(LEFT($Z$22,1)),VALUE(LEFT($AA$22,1)),VALUE(LEFT($AB$22,1)),VALUE(LEFT($AC$22,1)),VALUE(LEFT($AD$22,1)),VALUE(LEFT($AE$22,1)),VALUE(LEFT($AF$22,1)),VALUE(LEFT($AG$22,1)),VALUE(LEFT($AH$22,1)),$BP$22),4),"")</f>
        <v>2.3174999999999999</v>
      </c>
      <c r="BV22" s="9">
        <f>IFERROR(ROUND(AVERAGE(VALUE(LEFT($AJ$22,1)),VALUE(LEFT($AK$22,1)),$BQ$22),4),"")</f>
        <v>4.3333000000000004</v>
      </c>
      <c r="BW22" s="9">
        <f>IFERROR(ROUND(AVERAGE($AM$22,$AN$22,$AO$22,$AP$22),4),"")</f>
        <v>5.5</v>
      </c>
      <c r="BX22" s="9">
        <f>IFERROR(ROUND(AVERAGE(VALUE(LEFT($AW$22,1)),$AX$22,$AY$22),4),"")</f>
        <v>3.3332999999999999</v>
      </c>
      <c r="BY22" s="9">
        <f>IFERROR(ROUND(AVERAGE($BR$22,$BA$22,$BB$22,$BS$22,$BT$22),4),"")</f>
        <v>4.2</v>
      </c>
      <c r="BZ22" s="9" t="str">
        <f>IF(OR($BK$22="Junior",$BK$22="Stagiaire",$BK$22="Alternant"),"Junior",IF(OR($BK$22="Superviseur",$BK$22="Superviseur ",$BK$22="Senior",$BK$22="Senior Manager",$BK$22="Manager"),"Senior-Manager",IF(OR($BK$22="Associe",$BK$22="Associé"),"Associe","Autre")))</f>
        <v>Senior-Manager</v>
      </c>
      <c r="CA22" s="9" t="b">
        <f>AND(NOT(ISNUMBER(SEARCH("Jamais",$B$22))),$BG$22="4. Neutre")</f>
        <v>1</v>
      </c>
      <c r="CB22">
        <f t="shared" si="0"/>
        <v>2</v>
      </c>
    </row>
    <row r="23" spans="1:80" x14ac:dyDescent="0.25">
      <c r="A23" s="42">
        <v>46050.549960081022</v>
      </c>
      <c r="B23" s="10" t="str">
        <v>7. Très fréquemment (Plusieurs fois par jour)</v>
      </c>
      <c r="C23" s="10" t="str">
        <v>Outils fournis/agréés par le cabinet (ex: Copilot sécurisé)</v>
      </c>
      <c r="D23" s="10">
        <v>0</v>
      </c>
      <c r="E23" s="10">
        <v>0</v>
      </c>
      <c r="F23" s="10">
        <v>0</v>
      </c>
      <c r="G23" s="10">
        <v>0</v>
      </c>
      <c r="H23" s="10">
        <v>0</v>
      </c>
      <c r="I23" s="10">
        <v>0</v>
      </c>
      <c r="J23" s="10">
        <v>0</v>
      </c>
      <c r="K23" s="10" t="str">
        <v>Version entreprise</v>
      </c>
      <c r="L23" s="10">
        <v>0</v>
      </c>
      <c r="M23" s="10" t="str">
        <v>Automatisation et création de scripts (SQL, VBA), Rédaction (rapports, synthèses, notes, mails), Reformulation ou traduction de documents, Correction et mise en cohérence de documents, Rapprochement/Comparaison de documents</v>
      </c>
      <c r="N23" s="10" t="str">
        <v>De manière RECOMMANDÉE (cabinet encourage, mais facultatif)</v>
      </c>
      <c r="O23" s="10" t="str">
        <v>5. Très utile</v>
      </c>
      <c r="P23" s="10" t="str">
        <v>5. Très utile</v>
      </c>
      <c r="Q23" s="10" t="str">
        <v>5. Très utile</v>
      </c>
      <c r="R23" s="10" t="str">
        <v>5. Très utile</v>
      </c>
      <c r="S23" s="10" t="str">
        <v>5. Très utile</v>
      </c>
      <c r="T23" s="10" t="str">
        <v>1. Pas du tout utile</v>
      </c>
      <c r="U23" s="10" t="str">
        <v>1. Pas du tout utile</v>
      </c>
      <c r="V23" s="10" t="str">
        <v>1. Pas du tout utile</v>
      </c>
      <c r="W23" s="10" t="str">
        <v>1. Pas du tout utile</v>
      </c>
      <c r="X23" s="10" t="str">
        <v>4. Utile</v>
      </c>
      <c r="Y23" s="10" t="str">
        <v>5. Très utile</v>
      </c>
      <c r="Z23" s="10" t="str">
        <v>5. Très utile</v>
      </c>
      <c r="AA23" s="10" t="str">
        <v>5. Très utile</v>
      </c>
      <c r="AB23" s="10" t="str">
        <v>5. Très utile</v>
      </c>
      <c r="AC23" s="10" t="str">
        <v>5. Très utile</v>
      </c>
      <c r="AD23" s="10" t="str">
        <v>1. Pas du tout utile</v>
      </c>
      <c r="AE23" s="10" t="str">
        <v>1. Pas du tout utile</v>
      </c>
      <c r="AF23" s="10" t="str">
        <v>1. Pas du tout utile</v>
      </c>
      <c r="AG23" s="10" t="str">
        <v>1. Pas du tout utile</v>
      </c>
      <c r="AH23" s="10" t="str">
        <v>5. Très utile</v>
      </c>
      <c r="AI23" s="10">
        <v>6</v>
      </c>
      <c r="AJ23" s="10" t="str">
        <v>5. Plutôt facile (Assez intuitif)</v>
      </c>
      <c r="AK23" s="10" t="str">
        <v>6. D'accord (S'intègre facilement)</v>
      </c>
      <c r="AL23" s="10">
        <v>2</v>
      </c>
      <c r="AM23" s="10">
        <v>2</v>
      </c>
      <c r="AN23" s="10">
        <v>3</v>
      </c>
      <c r="AO23" s="10">
        <v>3</v>
      </c>
      <c r="AP23" s="10">
        <v>6</v>
      </c>
      <c r="AQ23" s="10" t="str">
        <v>3. Moyennement important</v>
      </c>
      <c r="AR23" s="10" t="str">
        <v>2. Peu important</v>
      </c>
      <c r="AS23" s="10" t="str">
        <v>3. Moyennement important</v>
      </c>
      <c r="AT23" s="10" t="str">
        <v>4. Important</v>
      </c>
      <c r="AU23" s="10">
        <v>4</v>
      </c>
      <c r="AV23" s="10">
        <v>7</v>
      </c>
      <c r="AW23" s="10" t="str">
        <v>2. Très limitée (Quelques vidéos ou articles consultés)</v>
      </c>
      <c r="AX23" s="10">
        <v>6</v>
      </c>
      <c r="AY23" s="10">
        <v>5</v>
      </c>
      <c r="AZ23" s="10" t="str">
        <v>2. En désaccord (Je contrôle la quasi-totalité des éléments)</v>
      </c>
      <c r="BA23" s="10">
        <v>6</v>
      </c>
      <c r="BB23" s="10">
        <v>7</v>
      </c>
      <c r="BC23" s="10">
        <v>7</v>
      </c>
      <c r="BD23" s="10">
        <v>6</v>
      </c>
      <c r="BE23" s="10" t="str">
        <v>Oui</v>
      </c>
      <c r="BF23" s="10">
        <v>4</v>
      </c>
      <c r="BG23" s="10" t="str">
        <v>4. Neutre</v>
      </c>
      <c r="BH23" s="10">
        <v>7</v>
      </c>
      <c r="BI23" s="10" t="str">
        <v>18-25</v>
      </c>
      <c r="BJ23" s="10" t="str">
        <v>Femme</v>
      </c>
      <c r="BK23" s="10" t="str">
        <v>Junior</v>
      </c>
      <c r="BL23" s="10" t="str">
        <v>Moins de 2 ans</v>
      </c>
      <c r="BM23" s="10" t="str">
        <v>Audit Financier</v>
      </c>
      <c r="BN23" s="10" t="str">
        <v>Cabinet international</v>
      </c>
      <c r="BO23" s="10">
        <v>0</v>
      </c>
      <c r="BP23" s="10">
        <f>IF(ISNUMBER($AI$23),ROUND((((($AI$23-1)*(4/6))+1)),4),"")</f>
        <v>4.3333000000000004</v>
      </c>
      <c r="BQ23" s="10">
        <f>IF(ISNUMBER($AL$23),8-$AL$23,"")</f>
        <v>6</v>
      </c>
      <c r="BR23" s="10">
        <f>IFERROR(8-VALUE(LEFT($AZ$23,1)),"")</f>
        <v>6</v>
      </c>
      <c r="BS23" s="10">
        <f>IF(ISNUMBER($BC$23),8-$BC$23,"")</f>
        <v>1</v>
      </c>
      <c r="BT23" s="10">
        <f>IF(ISNUMBER($BD$23),8-$BD$23,"")</f>
        <v>2</v>
      </c>
      <c r="BU23" s="10">
        <f>IFERROR(ROUND(AVERAGE(VALUE(LEFT($O$23,1)),VALUE(LEFT($P$23,1)),VALUE(LEFT($Q$23,1)),VALUE(LEFT($R$23,1)),VALUE(LEFT($S$23,1)),VALUE(LEFT($T$23,1)),VALUE(LEFT($U$23,1)),VALUE(LEFT($V$23,1)),VALUE(LEFT($W$23,1)),VALUE(LEFT($X$23,1)),VALUE(LEFT($Y$23,1)),VALUE(LEFT($Z$23,1)),VALUE(LEFT($AA$23,1)),VALUE(LEFT($AB$23,1)),VALUE(LEFT($AC$23,1)),VALUE(LEFT($AD$23,1)),VALUE(LEFT($AE$23,1)),VALUE(LEFT($AF$23,1)),VALUE(LEFT($AG$23,1)),VALUE(LEFT($AH$23,1)),$BP$23),4),"")</f>
        <v>3.3967999999999998</v>
      </c>
      <c r="BV23" s="10">
        <f>IFERROR(ROUND(AVERAGE(VALUE(LEFT($AJ$23,1)),VALUE(LEFT($AK$23,1)),$BQ$23),4),"")</f>
        <v>5.6666999999999996</v>
      </c>
      <c r="BW23" s="10">
        <f>IFERROR(ROUND(AVERAGE($AM$23,$AN$23,$AO$23,$AP$23),4),"")</f>
        <v>3.5</v>
      </c>
      <c r="BX23" s="10">
        <f>IFERROR(ROUND(AVERAGE(VALUE(LEFT($AW$23,1)),$AX$23,$AY$23),4),"")</f>
        <v>4.3333000000000004</v>
      </c>
      <c r="BY23" s="10">
        <f>IFERROR(ROUND(AVERAGE($BR$23,$BA$23,$BB$23,$BS$23,$BT$23),4),"")</f>
        <v>4.4000000000000004</v>
      </c>
      <c r="BZ23" s="10" t="str">
        <f>IF(OR($BK$23="Junior",$BK$23="Stagiaire",$BK$23="Alternant"),"Junior",IF(OR($BK$23="Superviseur",$BK$23="Superviseur ",$BK$23="Senior",$BK$23="Senior Manager",$BK$23="Manager"),"Senior-Manager",IF(OR($BK$23="Associe",$BK$23="Associé"),"Associe","Autre")))</f>
        <v>Junior</v>
      </c>
      <c r="CA23" s="10" t="b">
        <f>AND(NOT(ISNUMBER(SEARCH("Jamais",$B$23))),$BG$23="4. Neutre")</f>
        <v>1</v>
      </c>
      <c r="CB23">
        <f t="shared" si="0"/>
        <v>7</v>
      </c>
    </row>
    <row r="24" spans="1:80" x14ac:dyDescent="0.25">
      <c r="A24" s="41">
        <v>46050.557561793983</v>
      </c>
      <c r="B24" s="9" t="str">
        <v>5. Régulièrement (Plusieurs fois par semaine)</v>
      </c>
      <c r="C24" s="9" t="str">
        <v>Outils fournis/agréés par le cabinet (ex: Copilot sécurisé)</v>
      </c>
      <c r="D24" s="9">
        <v>0</v>
      </c>
      <c r="E24" s="9" t="str">
        <v>Version entreprise</v>
      </c>
      <c r="F24" s="9" t="str">
        <v>Version grand public</v>
      </c>
      <c r="G24" s="9">
        <v>0</v>
      </c>
      <c r="H24" s="9">
        <v>0</v>
      </c>
      <c r="I24" s="9">
        <v>0</v>
      </c>
      <c r="J24" s="9">
        <v>0</v>
      </c>
      <c r="K24" s="9">
        <v>0</v>
      </c>
      <c r="L24" s="9">
        <v>0</v>
      </c>
      <c r="M24" s="9" t="str">
        <v>Rapprochement/Comparaison de documents, Aide à la décision, Recherche d'informations ou de points techniques, Évaluation du contrôle interne, Rédaction (rapports, synthèses, notes, mails), Automatisation et création de scripts (SQL, VBA), Analyse de données et génération d'insights</v>
      </c>
      <c r="N24" s="9" t="str">
        <v>De manière VOLONTAIRE (vous avez choisi vous-même)</v>
      </c>
      <c r="O24" s="9" t="str">
        <v>3. Neutre</v>
      </c>
      <c r="P24" s="9" t="str">
        <v>3. Neutre</v>
      </c>
      <c r="Q24" s="9" t="str">
        <v>3. Neutre</v>
      </c>
      <c r="R24" s="9" t="str">
        <v>3. Neutre</v>
      </c>
      <c r="S24" s="9" t="str">
        <v>3. Neutre</v>
      </c>
      <c r="T24" s="9" t="str">
        <v>3. Neutre</v>
      </c>
      <c r="U24" s="9" t="str">
        <v>3. Neutre</v>
      </c>
      <c r="V24" s="9" t="str">
        <v>3. Neutre</v>
      </c>
      <c r="W24" s="9" t="str">
        <v>3. Neutre</v>
      </c>
      <c r="X24" s="9" t="str">
        <v>3. Neutre</v>
      </c>
      <c r="Y24" s="9" t="str">
        <v>3. Neutre</v>
      </c>
      <c r="Z24" s="9" t="str">
        <v>4. Utile</v>
      </c>
      <c r="AA24" s="9" t="str">
        <v>4. Utile</v>
      </c>
      <c r="AB24" s="9" t="str">
        <v>4. Utile</v>
      </c>
      <c r="AC24" s="9" t="str">
        <v>4. Utile</v>
      </c>
      <c r="AD24" s="9" t="str">
        <v>3. Neutre</v>
      </c>
      <c r="AE24" s="9" t="str">
        <v>3. Neutre</v>
      </c>
      <c r="AF24" s="9" t="str">
        <v>3. Neutre</v>
      </c>
      <c r="AG24" s="9" t="str">
        <v>4. Utile</v>
      </c>
      <c r="AH24" s="9" t="str">
        <v>3. Neutre</v>
      </c>
      <c r="AI24" s="9">
        <v>6</v>
      </c>
      <c r="AJ24" s="9" t="str">
        <v>5. Plutôt facile (Assez intuitif)</v>
      </c>
      <c r="AK24" s="9" t="str">
        <v>6. D'accord (S'intègre facilement)</v>
      </c>
      <c r="AL24" s="9">
        <v>3</v>
      </c>
      <c r="AM24" s="9">
        <v>5</v>
      </c>
      <c r="AN24" s="9">
        <v>6</v>
      </c>
      <c r="AO24" s="9">
        <v>6</v>
      </c>
      <c r="AP24" s="9">
        <v>4</v>
      </c>
      <c r="AQ24" s="9" t="str">
        <v>4. Important</v>
      </c>
      <c r="AR24" s="9" t="str">
        <v>4. Important</v>
      </c>
      <c r="AS24" s="9" t="str">
        <v>3. Moyennement important</v>
      </c>
      <c r="AT24" s="9" t="str">
        <v>4. Important</v>
      </c>
      <c r="AU24" s="9">
        <v>6</v>
      </c>
      <c r="AV24" s="9">
        <v>6</v>
      </c>
      <c r="AW24" s="9" t="str">
        <v>2. Très limitée (Quelques vidéos ou articles consultés)</v>
      </c>
      <c r="AX24" s="9">
        <v>6</v>
      </c>
      <c r="AY24" s="9">
        <v>3</v>
      </c>
      <c r="AZ24" s="9" t="str">
        <v>2. En désaccord (Je contrôle la quasi-totalité des éléments)</v>
      </c>
      <c r="BA24" s="9">
        <v>6</v>
      </c>
      <c r="BB24" s="9">
        <v>3</v>
      </c>
      <c r="BC24" s="9">
        <v>5</v>
      </c>
      <c r="BD24" s="9">
        <v>2</v>
      </c>
      <c r="BE24" s="9" t="str">
        <v>Non</v>
      </c>
      <c r="BF24" s="9">
        <v>2</v>
      </c>
      <c r="BG24" s="9" t="str">
        <v>4. Neutre</v>
      </c>
      <c r="BH24" s="9">
        <v>5</v>
      </c>
      <c r="BI24" s="9" t="str">
        <v>18-25</v>
      </c>
      <c r="BJ24" s="9" t="str">
        <v>Femme</v>
      </c>
      <c r="BK24" s="9" t="str">
        <v>Junior</v>
      </c>
      <c r="BL24" s="9" t="str">
        <v>Moins de 2 ans</v>
      </c>
      <c r="BM24" s="9" t="str">
        <v>Audit IT</v>
      </c>
      <c r="BN24" s="9" t="str">
        <v>Cabinet international</v>
      </c>
      <c r="BO24" s="9" t="str">
        <v xml:space="preserve"> L’IA générative offre un fort potentiel pour gagner du temps et stimuler la créativité, mais elle doit être utilisée avec discernement pour garantir la fiabilité et préserver la confidentialité.</v>
      </c>
      <c r="BP24" s="9">
        <f>IF(ISNUMBER($AI$24),ROUND((((($AI$24-1)*(4/6))+1)),4),"")</f>
        <v>4.3333000000000004</v>
      </c>
      <c r="BQ24" s="9">
        <f>IF(ISNUMBER($AL$24),8-$AL$24,"")</f>
        <v>5</v>
      </c>
      <c r="BR24" s="9">
        <f>IFERROR(8-VALUE(LEFT($AZ$24,1)),"")</f>
        <v>6</v>
      </c>
      <c r="BS24" s="9">
        <f>IF(ISNUMBER($BC$24),8-$BC$24,"")</f>
        <v>3</v>
      </c>
      <c r="BT24" s="9">
        <f>IF(ISNUMBER($BD$24),8-$BD$24,"")</f>
        <v>6</v>
      </c>
      <c r="BU24" s="9">
        <f>IFERROR(ROUND(AVERAGE(VALUE(LEFT($O$24,1)),VALUE(LEFT($P$24,1)),VALUE(LEFT($Q$24,1)),VALUE(LEFT($R$24,1)),VALUE(LEFT($S$24,1)),VALUE(LEFT($T$24,1)),VALUE(LEFT($U$24,1)),VALUE(LEFT($V$24,1)),VALUE(LEFT($W$24,1)),VALUE(LEFT($X$24,1)),VALUE(LEFT($Y$24,1)),VALUE(LEFT($Z$24,1)),VALUE(LEFT($AA$24,1)),VALUE(LEFT($AB$24,1)),VALUE(LEFT($AC$24,1)),VALUE(LEFT($AD$24,1)),VALUE(LEFT($AE$24,1)),VALUE(LEFT($AF$24,1)),VALUE(LEFT($AG$24,1)),VALUE(LEFT($AH$24,1)),$BP$24),4),"")</f>
        <v>3.3016000000000001</v>
      </c>
      <c r="BV24" s="9">
        <f>IFERROR(ROUND(AVERAGE(VALUE(LEFT($AJ$24,1)),VALUE(LEFT($AK$24,1)),$BQ$24),4),"")</f>
        <v>5.3333000000000004</v>
      </c>
      <c r="BW24" s="9">
        <f>IFERROR(ROUND(AVERAGE($AM$24,$AN$24,$AO$24,$AP$24),4),"")</f>
        <v>5.25</v>
      </c>
      <c r="BX24" s="9">
        <f>IFERROR(ROUND(AVERAGE(VALUE(LEFT($AW$24,1)),$AX$24,$AY$24),4),"")</f>
        <v>3.6667000000000001</v>
      </c>
      <c r="BY24" s="9">
        <f>IFERROR(ROUND(AVERAGE($BR$24,$BA$24,$BB$24,$BS$24,$BT$24),4),"")</f>
        <v>4.8</v>
      </c>
      <c r="BZ24" s="9" t="str">
        <f>IF(OR($BK$24="Junior",$BK$24="Stagiaire",$BK$24="Alternant"),"Junior",IF(OR($BK$24="Superviseur",$BK$24="Superviseur ",$BK$24="Senior",$BK$24="Senior Manager",$BK$24="Manager"),"Senior-Manager",IF(OR($BK$24="Associe",$BK$24="Associé"),"Associe","Autre")))</f>
        <v>Junior</v>
      </c>
      <c r="CA24" s="9" t="b">
        <f>AND(NOT(ISNUMBER(SEARCH("Jamais",$B$24))),$BG$24="4. Neutre")</f>
        <v>1</v>
      </c>
      <c r="CB24">
        <f t="shared" si="0"/>
        <v>5</v>
      </c>
    </row>
    <row r="25" spans="1:80" x14ac:dyDescent="0.25">
      <c r="A25" s="42">
        <v>46050.558272754628</v>
      </c>
      <c r="B25" s="10" t="str">
        <v>7. Très fréquemment (Plusieurs fois par jour)</v>
      </c>
      <c r="C25" s="10" t="str">
        <v>Outils fournis/agréés par le cabinet (ex: Copilot sécurisé)</v>
      </c>
      <c r="D25" s="10">
        <v>0</v>
      </c>
      <c r="E25" s="10" t="str">
        <v>Version entreprise</v>
      </c>
      <c r="F25" s="10">
        <v>0</v>
      </c>
      <c r="G25" s="10">
        <v>0</v>
      </c>
      <c r="H25" s="10">
        <v>0</v>
      </c>
      <c r="I25" s="10">
        <v>0</v>
      </c>
      <c r="J25" s="10">
        <v>0</v>
      </c>
      <c r="K25" s="10">
        <v>0</v>
      </c>
      <c r="L25" s="10">
        <v>0</v>
      </c>
      <c r="M25" s="10" t="str">
        <v>Préparation de données (format, structuration, harmonisation des valeurs), Aide à la décision, Automatisation et création de scripts (SQL, VBA), Reformulation ou traduction de documents</v>
      </c>
      <c r="N25" s="10" t="str">
        <v>De manière VOLONTAIRE (vous avez choisi vous-même)</v>
      </c>
      <c r="O25" s="10" t="str">
        <v>4. Utile</v>
      </c>
      <c r="P25" s="10" t="str">
        <v>4. Utile</v>
      </c>
      <c r="Q25" s="10" t="str">
        <v>4. Utile</v>
      </c>
      <c r="R25" s="10" t="str">
        <v>3. Neutre</v>
      </c>
      <c r="S25" s="10" t="str">
        <v>5. Très utile</v>
      </c>
      <c r="T25" s="10" t="str">
        <v>3. Neutre</v>
      </c>
      <c r="U25" s="10" t="str">
        <v>2. Peu utile</v>
      </c>
      <c r="V25" s="10" t="str">
        <v>2. Peu utile</v>
      </c>
      <c r="W25" s="10" t="str">
        <v>3. Neutre</v>
      </c>
      <c r="X25" s="10" t="str">
        <v>5. Très utile</v>
      </c>
      <c r="Y25" s="10" t="str">
        <v>4. Utile</v>
      </c>
      <c r="Z25" s="10" t="str">
        <v>4. Utile</v>
      </c>
      <c r="AA25" s="10" t="str">
        <v>4. Utile</v>
      </c>
      <c r="AB25" s="10" t="str">
        <v>3. Neutre</v>
      </c>
      <c r="AC25" s="10" t="str">
        <v>5. Très utile</v>
      </c>
      <c r="AD25" s="10" t="str">
        <v>3. Neutre</v>
      </c>
      <c r="AE25" s="10" t="str">
        <v>2. Peu utile</v>
      </c>
      <c r="AF25" s="10" t="str">
        <v>2. Peu utile</v>
      </c>
      <c r="AG25" s="10" t="str">
        <v>3. Neutre</v>
      </c>
      <c r="AH25" s="10" t="str">
        <v>5. Très utile</v>
      </c>
      <c r="AI25" s="10">
        <v>5</v>
      </c>
      <c r="AJ25" s="10" t="str">
        <v>6. Facile (Maîtrise rapide)</v>
      </c>
      <c r="AK25" s="10" t="str">
        <v>7. Tout à fait d'accord (Automatisme quotidien)</v>
      </c>
      <c r="AL25" s="10">
        <v>4</v>
      </c>
      <c r="AM25" s="10">
        <v>7</v>
      </c>
      <c r="AN25" s="10">
        <v>7</v>
      </c>
      <c r="AO25" s="10">
        <v>2</v>
      </c>
      <c r="AP25" s="10">
        <v>7</v>
      </c>
      <c r="AQ25" s="10" t="str">
        <v>5. Très important</v>
      </c>
      <c r="AR25" s="10" t="str">
        <v>2. Peu important</v>
      </c>
      <c r="AS25" s="10" t="str">
        <v>2. Peu important</v>
      </c>
      <c r="AT25" s="10" t="str">
        <v>4. Important</v>
      </c>
      <c r="AU25" s="10">
        <v>2</v>
      </c>
      <c r="AV25" s="10">
        <v>4</v>
      </c>
      <c r="AW25" s="10" t="str">
        <v>5. Solide (Plusieurs jours de formation ou modules suivis)</v>
      </c>
      <c r="AX25" s="10">
        <v>6</v>
      </c>
      <c r="AY25" s="10">
        <v>6</v>
      </c>
      <c r="AZ25" s="10" t="str">
        <v>3. Plutôt en désaccord (Je procède à une revue importante)</v>
      </c>
      <c r="BA25" s="10">
        <v>5</v>
      </c>
      <c r="BB25" s="10">
        <v>5</v>
      </c>
      <c r="BC25" s="10">
        <v>5</v>
      </c>
      <c r="BD25" s="10">
        <v>5</v>
      </c>
      <c r="BE25" s="10" t="str">
        <v>Oui</v>
      </c>
      <c r="BF25" s="10">
        <v>2</v>
      </c>
      <c r="BG25" s="10" t="str">
        <v>4. Neutre</v>
      </c>
      <c r="BH25" s="10">
        <v>5</v>
      </c>
      <c r="BI25" s="10" t="str">
        <v>18-25</v>
      </c>
      <c r="BJ25" s="10" t="str">
        <v>Homme</v>
      </c>
      <c r="BK25" s="10" t="str">
        <v>Senior</v>
      </c>
      <c r="BL25" s="10" t="str">
        <v>4  - 5 ans</v>
      </c>
      <c r="BM25" s="10" t="str">
        <v>Audit IT</v>
      </c>
      <c r="BN25" s="10" t="str">
        <v>Cabinet international</v>
      </c>
      <c r="BO25" s="10" t="str">
        <v xml:space="preserve">C'est top mais il est essentiel de conserver son sens critique et ne pas suivre bêtement les réponses de l'IA. Le risque est de perdre en questionnement, perdre en raisonnement, perdre en intelligence. </v>
      </c>
      <c r="BP25" s="10">
        <f>IF(ISNUMBER($AI$25),ROUND((((($AI$25-1)*(4/6))+1)),4),"")</f>
        <v>3.6667000000000001</v>
      </c>
      <c r="BQ25" s="10">
        <f>IF(ISNUMBER($AL$25),8-$AL$25,"")</f>
        <v>4</v>
      </c>
      <c r="BR25" s="10">
        <f>IFERROR(8-VALUE(LEFT($AZ$25,1)),"")</f>
        <v>5</v>
      </c>
      <c r="BS25" s="10">
        <f>IF(ISNUMBER($BC$25),8-$BC$25,"")</f>
        <v>3</v>
      </c>
      <c r="BT25" s="10">
        <f>IF(ISNUMBER($BD$25),8-$BD$25,"")</f>
        <v>3</v>
      </c>
      <c r="BU25" s="10">
        <f>IFERROR(ROUND(AVERAGE(VALUE(LEFT($O$25,1)),VALUE(LEFT($P$25,1)),VALUE(LEFT($Q$25,1)),VALUE(LEFT($R$25,1)),VALUE(LEFT($S$25,1)),VALUE(LEFT($T$25,1)),VALUE(LEFT($U$25,1)),VALUE(LEFT($V$25,1)),VALUE(LEFT($W$25,1)),VALUE(LEFT($X$25,1)),VALUE(LEFT($Y$25,1)),VALUE(LEFT($Z$25,1)),VALUE(LEFT($AA$25,1)),VALUE(LEFT($AB$25,1)),VALUE(LEFT($AC$25,1)),VALUE(LEFT($AD$25,1)),VALUE(LEFT($AE$25,1)),VALUE(LEFT($AF$25,1)),VALUE(LEFT($AG$25,1)),VALUE(LEFT($AH$25,1)),$BP$25),4),"")</f>
        <v>3.5078999999999998</v>
      </c>
      <c r="BV25" s="10">
        <f>IFERROR(ROUND(AVERAGE(VALUE(LEFT($AJ$25,1)),VALUE(LEFT($AK$25,1)),$BQ$25),4),"")</f>
        <v>5.6666999999999996</v>
      </c>
      <c r="BW25" s="10">
        <f>IFERROR(ROUND(AVERAGE($AM$25,$AN$25,$AO$25,$AP$25),4),"")</f>
        <v>5.75</v>
      </c>
      <c r="BX25" s="10">
        <f>IFERROR(ROUND(AVERAGE(VALUE(LEFT($AW$25,1)),$AX$25,$AY$25),4),"")</f>
        <v>5.6666999999999996</v>
      </c>
      <c r="BY25" s="10">
        <f>IFERROR(ROUND(AVERAGE($BR$25,$BA$25,$BB$25,$BS$25,$BT$25),4),"")</f>
        <v>4.2</v>
      </c>
      <c r="BZ25" s="10" t="str">
        <f>IF(OR($BK$25="Junior",$BK$25="Stagiaire",$BK$25="Alternant"),"Junior",IF(OR($BK$25="Superviseur",$BK$25="Superviseur ",$BK$25="Senior",$BK$25="Senior Manager",$BK$25="Manager"),"Senior-Manager",IF(OR($BK$25="Associe",$BK$25="Associé"),"Associe","Autre")))</f>
        <v>Senior-Manager</v>
      </c>
      <c r="CA25" s="10" t="b">
        <f>AND(NOT(ISNUMBER(SEARCH("Jamais",$B$25))),$BG$25="4. Neutre")</f>
        <v>1</v>
      </c>
      <c r="CB25">
        <f t="shared" si="0"/>
        <v>7</v>
      </c>
    </row>
    <row r="26" spans="1:80" x14ac:dyDescent="0.25">
      <c r="A26" s="41">
        <v>46051.570085196763</v>
      </c>
      <c r="B26" s="9" t="str">
        <v>5. Régulièrement (Plusieurs fois par semaine)</v>
      </c>
      <c r="C26" s="9" t="str">
        <v>Outils fournis/agréés par le cabinet (ex: Copilot sécurisé)</v>
      </c>
      <c r="D26" s="9">
        <v>0</v>
      </c>
      <c r="E26" s="9" t="str">
        <v>Version entreprise</v>
      </c>
      <c r="F26" s="9">
        <v>0</v>
      </c>
      <c r="G26" s="9">
        <v>0</v>
      </c>
      <c r="H26" s="9">
        <v>0</v>
      </c>
      <c r="I26" s="9">
        <v>0</v>
      </c>
      <c r="J26" s="9">
        <v>0</v>
      </c>
      <c r="K26" s="9" t="str">
        <v>Version entreprise</v>
      </c>
      <c r="L26" s="9" t="str">
        <v>Version entreprise</v>
      </c>
      <c r="M26" s="9" t="str">
        <v>Aide à la décision, Analyse de données et génération d'insights, Rédaction (rapports, synthèses, notes, mails), Reformulation ou traduction de documents, Recherche d'informations ou de points techniques, Rapprochement/Comparaison de documents, Automatisation et création de scripts (SQL, VBA)</v>
      </c>
      <c r="N26" s="9" t="str">
        <v>De manière RECOMMANDÉE (cabinet encourage, mais facultatif)</v>
      </c>
      <c r="O26" s="9" t="str">
        <v>5. Très utile</v>
      </c>
      <c r="P26" s="9" t="str">
        <v>4. Utile</v>
      </c>
      <c r="Q26" s="9" t="str">
        <v>3. Neutre</v>
      </c>
      <c r="R26" s="9" t="str">
        <v>4. Utile</v>
      </c>
      <c r="S26" s="9" t="str">
        <v>5. Très utile</v>
      </c>
      <c r="T26" s="9" t="str">
        <v>3. Neutre</v>
      </c>
      <c r="U26" s="9" t="str">
        <v>1. Pas du tout utile</v>
      </c>
      <c r="V26" s="9" t="str">
        <v>2. Peu utile</v>
      </c>
      <c r="W26" s="9" t="str">
        <v>4. Utile</v>
      </c>
      <c r="X26" s="9" t="str">
        <v>4. Utile</v>
      </c>
      <c r="Y26" s="9" t="str">
        <v>4. Utile</v>
      </c>
      <c r="Z26" s="9" t="str">
        <v>5. Très utile</v>
      </c>
      <c r="AA26" s="9" t="str">
        <v>5. Très utile</v>
      </c>
      <c r="AB26" s="9" t="str">
        <v>3. Neutre</v>
      </c>
      <c r="AC26" s="9" t="str">
        <v>5. Très utile</v>
      </c>
      <c r="AD26" s="9" t="str">
        <v>4. Utile</v>
      </c>
      <c r="AE26" s="9" t="str">
        <v>1. Pas du tout utile</v>
      </c>
      <c r="AF26" s="9" t="str">
        <v>1. Pas du tout utile</v>
      </c>
      <c r="AG26" s="9" t="str">
        <v>4. Utile</v>
      </c>
      <c r="AH26" s="9" t="str">
        <v>4. Utile</v>
      </c>
      <c r="AI26" s="9">
        <v>5</v>
      </c>
      <c r="AJ26" s="9" t="str">
        <v>3. Plutôt difficile (Peu intuitif)</v>
      </c>
      <c r="AK26" s="9" t="str">
        <v>5. Plutôt d'accord (S'intègre assez bien)</v>
      </c>
      <c r="AL26" s="9">
        <v>6</v>
      </c>
      <c r="AM26" s="9">
        <v>6</v>
      </c>
      <c r="AN26" s="9">
        <v>3</v>
      </c>
      <c r="AO26" s="9">
        <v>3</v>
      </c>
      <c r="AP26" s="9">
        <v>6</v>
      </c>
      <c r="AQ26" s="9" t="str">
        <v>5. Très important</v>
      </c>
      <c r="AR26" s="9" t="str">
        <v>4. Important</v>
      </c>
      <c r="AS26" s="9" t="str">
        <v>3. Moyennement important</v>
      </c>
      <c r="AT26" s="9" t="str">
        <v>3. Moyennement important</v>
      </c>
      <c r="AU26" s="9">
        <v>5</v>
      </c>
      <c r="AV26" s="9">
        <v>6</v>
      </c>
      <c r="AW26" s="9" t="str">
        <v>6. Approfondie (Parcours certifiant ou auto-formation technique longue)</v>
      </c>
      <c r="AX26" s="9">
        <v>5</v>
      </c>
      <c r="AY26" s="9">
        <v>5</v>
      </c>
      <c r="AZ26" s="9" t="str">
        <v>2. En désaccord (Je contrôle la quasi-totalité des éléments)</v>
      </c>
      <c r="BA26" s="9">
        <v>6</v>
      </c>
      <c r="BB26" s="9">
        <v>6</v>
      </c>
      <c r="BC26" s="9">
        <v>6</v>
      </c>
      <c r="BD26" s="9">
        <v>3</v>
      </c>
      <c r="BE26" s="9" t="str">
        <v>Oui</v>
      </c>
      <c r="BF26" s="9">
        <v>5</v>
      </c>
      <c r="BG26" s="9" t="str">
        <v>4. Neutre</v>
      </c>
      <c r="BH26" s="9">
        <v>5</v>
      </c>
      <c r="BI26" s="9" t="str">
        <v>36-45</v>
      </c>
      <c r="BJ26" s="9" t="str">
        <v>Homme</v>
      </c>
      <c r="BK26" s="9" t="str">
        <v>Manager</v>
      </c>
      <c r="BL26" s="9" t="str">
        <v>Plus de 10 ans</v>
      </c>
      <c r="BM26" s="9" t="str">
        <v>Audit Financier</v>
      </c>
      <c r="BN26" s="9" t="str">
        <v>Cabinet international</v>
      </c>
      <c r="BO26" s="9">
        <v>0</v>
      </c>
      <c r="BP26" s="9">
        <f>IF(ISNUMBER($AI$26),ROUND((((($AI$26-1)*(4/6))+1)),4),"")</f>
        <v>3.6667000000000001</v>
      </c>
      <c r="BQ26" s="9">
        <f>IF(ISNUMBER($AL$26),8-$AL$26,"")</f>
        <v>2</v>
      </c>
      <c r="BR26" s="9">
        <f>IFERROR(8-VALUE(LEFT($AZ$26,1)),"")</f>
        <v>6</v>
      </c>
      <c r="BS26" s="9">
        <f>IF(ISNUMBER($BC$26),8-$BC$26,"")</f>
        <v>2</v>
      </c>
      <c r="BT26" s="9">
        <f>IF(ISNUMBER($BD$26),8-$BD$26,"")</f>
        <v>5</v>
      </c>
      <c r="BU26" s="9">
        <f>IFERROR(ROUND(AVERAGE(VALUE(LEFT($O$26,1)),VALUE(LEFT($P$26,1)),VALUE(LEFT($Q$26,1)),VALUE(LEFT($R$26,1)),VALUE(LEFT($S$26,1)),VALUE(LEFT($T$26,1)),VALUE(LEFT($U$26,1)),VALUE(LEFT($V$26,1)),VALUE(LEFT($W$26,1)),VALUE(LEFT($X$26,1)),VALUE(LEFT($Y$26,1)),VALUE(LEFT($Z$26,1)),VALUE(LEFT($AA$26,1)),VALUE(LEFT($AB$26,1)),VALUE(LEFT($AC$26,1)),VALUE(LEFT($AD$26,1)),VALUE(LEFT($AE$26,1)),VALUE(LEFT($AF$26,1)),VALUE(LEFT($AG$26,1)),VALUE(LEFT($AH$26,1)),$BP$26),4),"")</f>
        <v>3.5556000000000001</v>
      </c>
      <c r="BV26" s="9">
        <f>IFERROR(ROUND(AVERAGE(VALUE(LEFT($AJ$26,1)),VALUE(LEFT($AK$26,1)),$BQ$26),4),"")</f>
        <v>3.3332999999999999</v>
      </c>
      <c r="BW26" s="9">
        <f>IFERROR(ROUND(AVERAGE($AM$26,$AN$26,$AO$26,$AP$26),4),"")</f>
        <v>4.5</v>
      </c>
      <c r="BX26" s="9">
        <f>IFERROR(ROUND(AVERAGE(VALUE(LEFT($AW$26,1)),$AX$26,$AY$26),4),"")</f>
        <v>5.3333000000000004</v>
      </c>
      <c r="BY26" s="9">
        <f>IFERROR(ROUND(AVERAGE($BR$26,$BA$26,$BB$26,$BS$26,$BT$26),4),"")</f>
        <v>5</v>
      </c>
      <c r="BZ26" s="9" t="str">
        <f>IF(OR($BK$26="Junior",$BK$26="Stagiaire",$BK$26="Alternant"),"Junior",IF(OR($BK$26="Superviseur",$BK$26="Superviseur ",$BK$26="Senior",$BK$26="Senior Manager",$BK$26="Manager"),"Senior-Manager",IF(OR($BK$26="Associe",$BK$26="Associé"),"Associe","Autre")))</f>
        <v>Senior-Manager</v>
      </c>
      <c r="CA26" s="9" t="b">
        <f>AND(NOT(ISNUMBER(SEARCH("Jamais",$B$26))),$BG$26="4. Neutre")</f>
        <v>1</v>
      </c>
      <c r="CB26">
        <f t="shared" si="0"/>
        <v>5</v>
      </c>
    </row>
    <row r="27" spans="1:80" x14ac:dyDescent="0.25">
      <c r="A27" s="42">
        <v>46052.590278564807</v>
      </c>
      <c r="B27" s="10" t="str">
        <v>2. Très rarement (Moins d'une fois par mois)</v>
      </c>
      <c r="C27" s="10" t="str">
        <v>Usage mix des deux</v>
      </c>
      <c r="D27" s="10">
        <v>0</v>
      </c>
      <c r="E27" s="10" t="str">
        <v>Version entreprise</v>
      </c>
      <c r="F27" s="10">
        <v>0</v>
      </c>
      <c r="G27" s="10">
        <v>0</v>
      </c>
      <c r="H27" s="10">
        <v>0</v>
      </c>
      <c r="I27" s="10">
        <v>0</v>
      </c>
      <c r="J27" s="10">
        <v>0</v>
      </c>
      <c r="K27" s="10">
        <v>0</v>
      </c>
      <c r="L27" s="10">
        <v>0</v>
      </c>
      <c r="M27" s="10" t="str">
        <v>Rédaction (rapports, synthèses, notes, mails), Préparation de données (format, structuration, harmonisation des valeurs)</v>
      </c>
      <c r="N27" s="10" t="str">
        <v>De manière VOLONTAIRE (vous avez choisi vous-même)</v>
      </c>
      <c r="O27" s="10" t="str">
        <v>4. Utile</v>
      </c>
      <c r="P27" s="10" t="str">
        <v>4. Utile</v>
      </c>
      <c r="Q27" s="10" t="str">
        <v>4. Utile</v>
      </c>
      <c r="R27" s="10" t="str">
        <v>4. Utile</v>
      </c>
      <c r="S27" s="10" t="str">
        <v>4. Utile</v>
      </c>
      <c r="T27" s="10" t="str">
        <v>4. Utile</v>
      </c>
      <c r="U27" s="10" t="str">
        <v>4. Utile</v>
      </c>
      <c r="V27" s="10" t="str">
        <v>4. Utile</v>
      </c>
      <c r="W27" s="10" t="str">
        <v>4. Utile</v>
      </c>
      <c r="X27" s="10" t="str">
        <v>4. Utile</v>
      </c>
      <c r="Y27" s="10" t="str">
        <v>4. Utile</v>
      </c>
      <c r="Z27" s="10" t="str">
        <v>4. Utile</v>
      </c>
      <c r="AA27" s="10" t="str">
        <v>4. Utile</v>
      </c>
      <c r="AB27" s="10" t="str">
        <v>4. Utile</v>
      </c>
      <c r="AC27" s="10" t="str">
        <v>4. Utile</v>
      </c>
      <c r="AD27" s="10" t="str">
        <v>4. Utile</v>
      </c>
      <c r="AE27" s="10" t="str">
        <v>4. Utile</v>
      </c>
      <c r="AF27" s="10" t="str">
        <v>4. Utile</v>
      </c>
      <c r="AG27" s="10" t="str">
        <v>3. Neutre</v>
      </c>
      <c r="AH27" s="10" t="str">
        <v>3. Neutre</v>
      </c>
      <c r="AI27" s="10">
        <v>6</v>
      </c>
      <c r="AJ27" s="10" t="str">
        <v>6. Facile (Maîtrise rapide)</v>
      </c>
      <c r="AK27" s="10" t="str">
        <v>6. D'accord (S'intègre facilement)</v>
      </c>
      <c r="AL27" s="10">
        <v>4</v>
      </c>
      <c r="AM27" s="10">
        <v>4</v>
      </c>
      <c r="AN27" s="10">
        <v>5</v>
      </c>
      <c r="AO27" s="10">
        <v>4</v>
      </c>
      <c r="AP27" s="10">
        <v>5</v>
      </c>
      <c r="AQ27" s="10" t="str">
        <v>3. Moyennement important</v>
      </c>
      <c r="AR27" s="10" t="str">
        <v>3. Moyennement important</v>
      </c>
      <c r="AS27" s="10" t="str">
        <v>3. Moyennement important</v>
      </c>
      <c r="AT27" s="10" t="str">
        <v>4. Important</v>
      </c>
      <c r="AU27" s="10">
        <v>5</v>
      </c>
      <c r="AV27" s="10">
        <v>5</v>
      </c>
      <c r="AW27" s="10" t="str">
        <v>5. Solide (Plusieurs jours de formation ou modules suivis)</v>
      </c>
      <c r="AX27" s="10">
        <v>5</v>
      </c>
      <c r="AY27" s="10">
        <v>4</v>
      </c>
      <c r="AZ27" s="10" t="str">
        <v>4. Neutre (Le niveau de vérification dépend de la complexité)</v>
      </c>
      <c r="BA27" s="10">
        <v>5</v>
      </c>
      <c r="BB27" s="10">
        <v>5</v>
      </c>
      <c r="BC27" s="10">
        <v>4</v>
      </c>
      <c r="BD27" s="10">
        <v>5</v>
      </c>
      <c r="BE27" s="10" t="str">
        <v>Oui</v>
      </c>
      <c r="BF27" s="10">
        <v>5</v>
      </c>
      <c r="BG27" s="10" t="str">
        <v>4. Neutre</v>
      </c>
      <c r="BH27" s="10">
        <v>5</v>
      </c>
      <c r="BI27" s="10" t="str">
        <v>18-25</v>
      </c>
      <c r="BJ27" s="10" t="str">
        <v>Homme</v>
      </c>
      <c r="BK27" s="10" t="str">
        <v>Junior</v>
      </c>
      <c r="BL27" s="10" t="str">
        <v>Moins de 2 ans</v>
      </c>
      <c r="BM27" s="10" t="str">
        <v>Audit Financier</v>
      </c>
      <c r="BN27" s="10" t="str">
        <v>Cabinet régional</v>
      </c>
      <c r="BO27" s="10">
        <v>0</v>
      </c>
      <c r="BP27" s="10">
        <f>IF(ISNUMBER($AI$27),ROUND((((($AI$27-1)*(4/6))+1)),4),"")</f>
        <v>4.3333000000000004</v>
      </c>
      <c r="BQ27" s="10">
        <f>IF(ISNUMBER($AL$27),8-$AL$27,"")</f>
        <v>4</v>
      </c>
      <c r="BR27" s="10">
        <f>IFERROR(8-VALUE(LEFT($AZ$27,1)),"")</f>
        <v>4</v>
      </c>
      <c r="BS27" s="10">
        <f>IF(ISNUMBER($BC$27),8-$BC$27,"")</f>
        <v>4</v>
      </c>
      <c r="BT27" s="10">
        <f>IF(ISNUMBER($BD$27),8-$BD$27,"")</f>
        <v>3</v>
      </c>
      <c r="BU27" s="10">
        <f>IFERROR(ROUND(AVERAGE(VALUE(LEFT($O$27,1)),VALUE(LEFT($P$27,1)),VALUE(LEFT($Q$27,1)),VALUE(LEFT($R$27,1)),VALUE(LEFT($S$27,1)),VALUE(LEFT($T$27,1)),VALUE(LEFT($U$27,1)),VALUE(LEFT($V$27,1)),VALUE(LEFT($W$27,1)),VALUE(LEFT($X$27,1)),VALUE(LEFT($Y$27,1)),VALUE(LEFT($Z$27,1)),VALUE(LEFT($AA$27,1)),VALUE(LEFT($AB$27,1)),VALUE(LEFT($AC$27,1)),VALUE(LEFT($AD$27,1)),VALUE(LEFT($AE$27,1)),VALUE(LEFT($AF$27,1)),VALUE(LEFT($AG$27,1)),VALUE(LEFT($AH$27,1)),$BP$27),4),"")</f>
        <v>3.9205999999999999</v>
      </c>
      <c r="BV27" s="10">
        <f>IFERROR(ROUND(AVERAGE(VALUE(LEFT($AJ$27,1)),VALUE(LEFT($AK$27,1)),$BQ$27),4),"")</f>
        <v>5.3333000000000004</v>
      </c>
      <c r="BW27" s="10">
        <f>IFERROR(ROUND(AVERAGE($AM$27,$AN$27,$AO$27,$AP$27),4),"")</f>
        <v>4.5</v>
      </c>
      <c r="BX27" s="10">
        <f>IFERROR(ROUND(AVERAGE(VALUE(LEFT($AW$27,1)),$AX$27,$AY$27),4),"")</f>
        <v>4.6666999999999996</v>
      </c>
      <c r="BY27" s="10">
        <f>IFERROR(ROUND(AVERAGE($BR$27,$BA$27,$BB$27,$BS$27,$BT$27),4),"")</f>
        <v>4.2</v>
      </c>
      <c r="BZ27" s="10" t="str">
        <f>IF(OR($BK$27="Junior",$BK$27="Stagiaire",$BK$27="Alternant"),"Junior",IF(OR($BK$27="Superviseur",$BK$27="Superviseur ",$BK$27="Senior",$BK$27="Senior Manager",$BK$27="Manager"),"Senior-Manager",IF(OR($BK$27="Associe",$BK$27="Associé"),"Associe","Autre")))</f>
        <v>Junior</v>
      </c>
      <c r="CA27" s="10" t="b">
        <f>AND(NOT(ISNUMBER(SEARCH("Jamais",$B$27))),$BG$27="4. Neutre")</f>
        <v>1</v>
      </c>
      <c r="CB27">
        <f t="shared" si="0"/>
        <v>2</v>
      </c>
    </row>
    <row r="28" spans="1:80" x14ac:dyDescent="0.25">
      <c r="A28" s="41">
        <v>46052.590602118064</v>
      </c>
      <c r="B28" s="9" t="str">
        <v>2. Très rarement (Moins d'une fois par mois)</v>
      </c>
      <c r="C28" s="9" t="str">
        <v>Outils fournis/agréés par le cabinet (ex: Copilot sécurisé)</v>
      </c>
      <c r="D28" s="9" t="str">
        <v>Version entreprise</v>
      </c>
      <c r="E28" s="9" t="str">
        <v>Version entreprise</v>
      </c>
      <c r="F28" s="9">
        <v>0</v>
      </c>
      <c r="G28" s="9">
        <v>0</v>
      </c>
      <c r="H28" s="9">
        <v>0</v>
      </c>
      <c r="I28" s="9">
        <v>0</v>
      </c>
      <c r="J28" s="9">
        <v>0</v>
      </c>
      <c r="K28" s="9" t="str">
        <v>Version entreprise</v>
      </c>
      <c r="L28" s="9">
        <v>0</v>
      </c>
      <c r="M28" s="9" t="str">
        <v>Correction et mise en cohérence de documents, Recherche d'informations ou de points techniques, Automatisation et création de scripts (SQL, VBA)</v>
      </c>
      <c r="N28" s="9" t="str">
        <v>De manière VOLONTAIRE (vous avez choisi vous-même)</v>
      </c>
      <c r="O28" s="9" t="str">
        <v>3. Neutre</v>
      </c>
      <c r="P28" s="9" t="str">
        <v>4. Utile</v>
      </c>
      <c r="Q28" s="9" t="str">
        <v>4. Utile</v>
      </c>
      <c r="R28" s="9" t="str">
        <v>4. Utile</v>
      </c>
      <c r="S28" s="9" t="str">
        <v>4. Utile</v>
      </c>
      <c r="T28" s="9" t="str">
        <v>2. Peu utile</v>
      </c>
      <c r="U28" s="9" t="str">
        <v>2. Peu utile</v>
      </c>
      <c r="V28" s="9" t="str">
        <v>2. Peu utile</v>
      </c>
      <c r="W28" s="9" t="str">
        <v>2. Peu utile</v>
      </c>
      <c r="X28" s="9" t="str">
        <v>3. Neutre</v>
      </c>
      <c r="Y28" s="9" t="str">
        <v>3. Neutre</v>
      </c>
      <c r="Z28" s="9" t="str">
        <v>3. Neutre</v>
      </c>
      <c r="AA28" s="9" t="str">
        <v>3. Neutre</v>
      </c>
      <c r="AB28" s="9" t="str">
        <v>3. Neutre</v>
      </c>
      <c r="AC28" s="9" t="str">
        <v>3. Neutre</v>
      </c>
      <c r="AD28" s="9" t="str">
        <v>1. Pas du tout utile</v>
      </c>
      <c r="AE28" s="9" t="str">
        <v>1. Pas du tout utile</v>
      </c>
      <c r="AF28" s="9" t="str">
        <v>1. Pas du tout utile</v>
      </c>
      <c r="AG28" s="9" t="str">
        <v>1. Pas du tout utile</v>
      </c>
      <c r="AH28" s="9" t="str">
        <v>1. Pas du tout utile</v>
      </c>
      <c r="AI28" s="9">
        <v>5</v>
      </c>
      <c r="AJ28" s="9" t="str">
        <v>3. Plutôt difficile (Peu intuitif)</v>
      </c>
      <c r="AK28" s="9" t="str">
        <v>5. Plutôt d'accord (S'intègre assez bien)</v>
      </c>
      <c r="AL28" s="9">
        <v>7</v>
      </c>
      <c r="AM28" s="9">
        <v>7</v>
      </c>
      <c r="AN28" s="9">
        <v>7</v>
      </c>
      <c r="AO28" s="9">
        <v>5</v>
      </c>
      <c r="AP28" s="9">
        <v>7</v>
      </c>
      <c r="AQ28" s="9" t="str">
        <v>5. Très important</v>
      </c>
      <c r="AR28" s="9" t="str">
        <v>5. Très important</v>
      </c>
      <c r="AS28" s="9" t="str">
        <v>3. Moyennement important</v>
      </c>
      <c r="AT28" s="9" t="str">
        <v>3. Moyennement important</v>
      </c>
      <c r="AU28" s="9">
        <v>5</v>
      </c>
      <c r="AV28" s="9">
        <v>5</v>
      </c>
      <c r="AW28" s="9" t="str">
        <v>3. Faible (Moins de 5 heures de formation au total)</v>
      </c>
      <c r="AX28" s="9">
        <v>6</v>
      </c>
      <c r="AY28" s="9">
        <v>5</v>
      </c>
      <c r="AZ28" s="9" t="str">
        <v>3. Plutôt en désaccord (Je procède à une revue importante)</v>
      </c>
      <c r="BA28" s="9">
        <v>7</v>
      </c>
      <c r="BB28" s="9">
        <v>4</v>
      </c>
      <c r="BC28" s="9">
        <v>3</v>
      </c>
      <c r="BD28" s="9">
        <v>2</v>
      </c>
      <c r="BE28" s="9" t="str">
        <v>Non</v>
      </c>
      <c r="BF28" s="9">
        <v>7</v>
      </c>
      <c r="BG28" s="9" t="str">
        <v>4. Neutre</v>
      </c>
      <c r="BH28" s="9">
        <v>5</v>
      </c>
      <c r="BI28" s="9" t="str">
        <v>18-25</v>
      </c>
      <c r="BJ28" s="9" t="str">
        <v>Homme</v>
      </c>
      <c r="BK28" s="9" t="str">
        <v>Junior</v>
      </c>
      <c r="BL28" s="9" t="str">
        <v>Moins de 2 ans</v>
      </c>
      <c r="BM28" s="9" t="str">
        <v>Audit Financier, Audit RSE</v>
      </c>
      <c r="BN28" s="9" t="str">
        <v>Cabinet international</v>
      </c>
      <c r="BO28" s="9">
        <v>0</v>
      </c>
      <c r="BP28" s="9">
        <f>IF(ISNUMBER($AI$28),ROUND((((($AI$28-1)*(4/6))+1)),4),"")</f>
        <v>3.6667000000000001</v>
      </c>
      <c r="BQ28" s="9">
        <f>IF(ISNUMBER($AL$28),8-$AL$28,"")</f>
        <v>1</v>
      </c>
      <c r="BR28" s="9">
        <f>IFERROR(8-VALUE(LEFT($AZ$28,1)),"")</f>
        <v>5</v>
      </c>
      <c r="BS28" s="9">
        <f>IF(ISNUMBER($BC$28),8-$BC$28,"")</f>
        <v>5</v>
      </c>
      <c r="BT28" s="9">
        <f>IF(ISNUMBER($BD$28),8-$BD$28,"")</f>
        <v>6</v>
      </c>
      <c r="BU28" s="9">
        <f>IFERROR(ROUND(AVERAGE(VALUE(LEFT($O$28,1)),VALUE(LEFT($P$28,1)),VALUE(LEFT($Q$28,1)),VALUE(LEFT($R$28,1)),VALUE(LEFT($S$28,1)),VALUE(LEFT($T$28,1)),VALUE(LEFT($U$28,1)),VALUE(LEFT($V$28,1)),VALUE(LEFT($W$28,1)),VALUE(LEFT($X$28,1)),VALUE(LEFT($Y$28,1)),VALUE(LEFT($Z$28,1)),VALUE(LEFT($AA$28,1)),VALUE(LEFT($AB$28,1)),VALUE(LEFT($AC$28,1)),VALUE(LEFT($AD$28,1)),VALUE(LEFT($AE$28,1)),VALUE(LEFT($AF$28,1)),VALUE(LEFT($AG$28,1)),VALUE(LEFT($AH$28,1)),$BP$28),4),"")</f>
        <v>2.5556000000000001</v>
      </c>
      <c r="BV28" s="9">
        <f>IFERROR(ROUND(AVERAGE(VALUE(LEFT($AJ$28,1)),VALUE(LEFT($AK$28,1)),$BQ$28),4),"")</f>
        <v>3</v>
      </c>
      <c r="BW28" s="9">
        <f>IFERROR(ROUND(AVERAGE($AM$28,$AN$28,$AO$28,$AP$28),4),"")</f>
        <v>6.5</v>
      </c>
      <c r="BX28" s="9">
        <f>IFERROR(ROUND(AVERAGE(VALUE(LEFT($AW$28,1)),$AX$28,$AY$28),4),"")</f>
        <v>4.6666999999999996</v>
      </c>
      <c r="BY28" s="9">
        <f>IFERROR(ROUND(AVERAGE($BR$28,$BA$28,$BB$28,$BS$28,$BT$28),4),"")</f>
        <v>5.4</v>
      </c>
      <c r="BZ28" s="9" t="str">
        <f>IF(OR($BK$28="Junior",$BK$28="Stagiaire",$BK$28="Alternant"),"Junior",IF(OR($BK$28="Superviseur",$BK$28="Superviseur ",$BK$28="Senior",$BK$28="Senior Manager",$BK$28="Manager"),"Senior-Manager",IF(OR($BK$28="Associe",$BK$28="Associé"),"Associe","Autre")))</f>
        <v>Junior</v>
      </c>
      <c r="CA28" s="9" t="b">
        <f>AND(NOT(ISNUMBER(SEARCH("Jamais",$B$28))),$BG$28="4. Neutre")</f>
        <v>1</v>
      </c>
      <c r="CB28">
        <f t="shared" si="0"/>
        <v>2</v>
      </c>
    </row>
    <row r="29" spans="1:80" x14ac:dyDescent="0.25">
      <c r="A29" s="42">
        <v>46052.747048715282</v>
      </c>
      <c r="B29" s="10" t="str">
        <v>6. Quotidiennement (Une fois par jour)</v>
      </c>
      <c r="C29" s="10" t="str">
        <v>Outils fournis/agréés par le cabinet (ex: Copilot sécurisé)</v>
      </c>
      <c r="D29" s="10">
        <v>0</v>
      </c>
      <c r="E29" s="10" t="str">
        <v>Version entreprise</v>
      </c>
      <c r="F29" s="10">
        <v>0</v>
      </c>
      <c r="G29" s="10">
        <v>0</v>
      </c>
      <c r="H29" s="10">
        <v>0</v>
      </c>
      <c r="I29" s="10">
        <v>0</v>
      </c>
      <c r="J29" s="10">
        <v>0</v>
      </c>
      <c r="K29" s="10">
        <v>0</v>
      </c>
      <c r="L29" s="10">
        <v>0</v>
      </c>
      <c r="M29" s="10" t="str">
        <v>Recherche d'informations ou de points techniques, Reformulation ou traduction de documents, Rédaction (rapports, synthèses, notes, mails)</v>
      </c>
      <c r="N29" s="10" t="str">
        <v>De manière RECOMMANDÉE (cabinet encourage, mais facultatif)</v>
      </c>
      <c r="O29" s="10" t="str">
        <v>2. Peu utile</v>
      </c>
      <c r="P29" s="10" t="str">
        <v>5. Très utile</v>
      </c>
      <c r="Q29" s="10" t="str">
        <v>5. Très utile</v>
      </c>
      <c r="R29" s="10" t="str">
        <v>3. Neutre</v>
      </c>
      <c r="S29" s="10" t="str">
        <v>5. Très utile</v>
      </c>
      <c r="T29" s="10" t="str">
        <v>2. Peu utile</v>
      </c>
      <c r="U29" s="10" t="str">
        <v>3. Neutre</v>
      </c>
      <c r="V29" s="10" t="str">
        <v>3. Neutre</v>
      </c>
      <c r="W29" s="10" t="str">
        <v>2. Peu utile</v>
      </c>
      <c r="X29" s="10" t="str">
        <v>4. Utile</v>
      </c>
      <c r="Y29" s="10" t="str">
        <v>2. Peu utile</v>
      </c>
      <c r="Z29" s="10" t="str">
        <v>4. Utile</v>
      </c>
      <c r="AA29" s="10" t="str">
        <v>5. Très utile</v>
      </c>
      <c r="AB29" s="10" t="str">
        <v>3. Neutre</v>
      </c>
      <c r="AC29" s="10" t="str">
        <v>5. Très utile</v>
      </c>
      <c r="AD29" s="10" t="str">
        <v>3. Neutre</v>
      </c>
      <c r="AE29" s="10" t="str">
        <v>3. Neutre</v>
      </c>
      <c r="AF29" s="10" t="str">
        <v>2. Peu utile</v>
      </c>
      <c r="AG29" s="10" t="str">
        <v>2. Peu utile</v>
      </c>
      <c r="AH29" s="10" t="str">
        <v>3. Neutre</v>
      </c>
      <c r="AI29" s="10">
        <v>5</v>
      </c>
      <c r="AJ29" s="10" t="str">
        <v>5. Plutôt facile (Assez intuitif)</v>
      </c>
      <c r="AK29" s="10" t="str">
        <v>5. Plutôt d'accord (S'intègre assez bien)</v>
      </c>
      <c r="AL29" s="10">
        <v>5</v>
      </c>
      <c r="AM29" s="10">
        <v>5</v>
      </c>
      <c r="AN29" s="10">
        <v>4</v>
      </c>
      <c r="AO29" s="10">
        <v>4</v>
      </c>
      <c r="AP29" s="10">
        <v>6</v>
      </c>
      <c r="AQ29" s="10" t="str">
        <v>4. Important</v>
      </c>
      <c r="AR29" s="10" t="str">
        <v>5. Très important</v>
      </c>
      <c r="AS29" s="10" t="str">
        <v>3. Moyennement important</v>
      </c>
      <c r="AT29" s="10" t="str">
        <v>4. Important</v>
      </c>
      <c r="AU29" s="10">
        <v>3</v>
      </c>
      <c r="AV29" s="10">
        <v>5</v>
      </c>
      <c r="AW29" s="10" t="str">
        <v>4. Moyenne (Environ une journée de formation cumulée)</v>
      </c>
      <c r="AX29" s="10">
        <v>5</v>
      </c>
      <c r="AY29" s="10">
        <v>5</v>
      </c>
      <c r="AZ29" s="10" t="str">
        <v>2. En désaccord (Je contrôle la quasi-totalité des éléments)</v>
      </c>
      <c r="BA29" s="10">
        <v>4</v>
      </c>
      <c r="BB29" s="10">
        <v>6</v>
      </c>
      <c r="BC29" s="10">
        <v>4</v>
      </c>
      <c r="BD29" s="10">
        <v>2</v>
      </c>
      <c r="BE29" s="10" t="str">
        <v>Non</v>
      </c>
      <c r="BF29" s="10">
        <v>7</v>
      </c>
      <c r="BG29" s="10" t="str">
        <v>4. Neutre</v>
      </c>
      <c r="BH29" s="10">
        <v>6</v>
      </c>
      <c r="BI29" s="10" t="str">
        <v>18-25</v>
      </c>
      <c r="BJ29" s="10" t="str">
        <v>Homme</v>
      </c>
      <c r="BK29" s="10" t="str">
        <v>Junior</v>
      </c>
      <c r="BL29" s="10" t="str">
        <v>Moins de 2 ans</v>
      </c>
      <c r="BM29" s="10" t="str">
        <v>Audit Financier</v>
      </c>
      <c r="BN29" s="10" t="str">
        <v>Cabinet international</v>
      </c>
      <c r="BO29" s="10">
        <v>0</v>
      </c>
      <c r="BP29" s="10">
        <f>IF(ISNUMBER($AI$29),ROUND((((($AI$29-1)*(4/6))+1)),4),"")</f>
        <v>3.6667000000000001</v>
      </c>
      <c r="BQ29" s="10">
        <f>IF(ISNUMBER($AL$29),8-$AL$29,"")</f>
        <v>3</v>
      </c>
      <c r="BR29" s="10">
        <f>IFERROR(8-VALUE(LEFT($AZ$29,1)),"")</f>
        <v>6</v>
      </c>
      <c r="BS29" s="10">
        <f>IF(ISNUMBER($BC$29),8-$BC$29,"")</f>
        <v>4</v>
      </c>
      <c r="BT29" s="10">
        <f>IF(ISNUMBER($BD$29),8-$BD$29,"")</f>
        <v>6</v>
      </c>
      <c r="BU29" s="10">
        <f>IFERROR(ROUND(AVERAGE(VALUE(LEFT($O$29,1)),VALUE(LEFT($P$29,1)),VALUE(LEFT($Q$29,1)),VALUE(LEFT($R$29,1)),VALUE(LEFT($S$29,1)),VALUE(LEFT($T$29,1)),VALUE(LEFT($U$29,1)),VALUE(LEFT($V$29,1)),VALUE(LEFT($W$29,1)),VALUE(LEFT($X$29,1)),VALUE(LEFT($Y$29,1)),VALUE(LEFT($Z$29,1)),VALUE(LEFT($AA$29,1)),VALUE(LEFT($AB$29,1)),VALUE(LEFT($AC$29,1)),VALUE(LEFT($AD$29,1)),VALUE(LEFT($AE$29,1)),VALUE(LEFT($AF$29,1)),VALUE(LEFT($AG$29,1)),VALUE(LEFT($AH$29,1)),$BP$29),4),"")</f>
        <v>3.3174999999999999</v>
      </c>
      <c r="BV29" s="10">
        <f>IFERROR(ROUND(AVERAGE(VALUE(LEFT($AJ$29,1)),VALUE(LEFT($AK$29,1)),$BQ$29),4),"")</f>
        <v>4.3333000000000004</v>
      </c>
      <c r="BW29" s="10">
        <f>IFERROR(ROUND(AVERAGE($AM$29,$AN$29,$AO$29,$AP$29),4),"")</f>
        <v>4.75</v>
      </c>
      <c r="BX29" s="10">
        <f>IFERROR(ROUND(AVERAGE(VALUE(LEFT($AW$29,1)),$AX$29,$AY$29),4),"")</f>
        <v>4.6666999999999996</v>
      </c>
      <c r="BY29" s="10">
        <f>IFERROR(ROUND(AVERAGE($BR$29,$BA$29,$BB$29,$BS$29,$BT$29),4),"")</f>
        <v>5.2</v>
      </c>
      <c r="BZ29" s="10" t="str">
        <f>IF(OR($BK$29="Junior",$BK$29="Stagiaire",$BK$29="Alternant"),"Junior",IF(OR($BK$29="Superviseur",$BK$29="Superviseur ",$BK$29="Senior",$BK$29="Senior Manager",$BK$29="Manager"),"Senior-Manager",IF(OR($BK$29="Associe",$BK$29="Associé"),"Associe","Autre")))</f>
        <v>Junior</v>
      </c>
      <c r="CA29" s="10" t="b">
        <f>AND(NOT(ISNUMBER(SEARCH("Jamais",$B$29))),$BG$29="4. Neutre")</f>
        <v>1</v>
      </c>
      <c r="CB29">
        <f t="shared" si="0"/>
        <v>6</v>
      </c>
    </row>
    <row r="30" spans="1:80" x14ac:dyDescent="0.25">
      <c r="A30" s="41">
        <v>46064.572157395844</v>
      </c>
      <c r="B30" s="9" t="str">
        <v>7. Très fréquemment (Plusieurs fois par jour)</v>
      </c>
      <c r="C30" s="9" t="str">
        <v>Outils fournis/agréés par le cabinet (ex: Copilot sécurisé)</v>
      </c>
      <c r="D30" s="9">
        <v>0</v>
      </c>
      <c r="E30" s="9" t="str">
        <v>Version entreprise</v>
      </c>
      <c r="F30" s="9">
        <v>0</v>
      </c>
      <c r="G30" s="9">
        <v>0</v>
      </c>
      <c r="H30" s="9">
        <v>0</v>
      </c>
      <c r="I30" s="9">
        <v>0</v>
      </c>
      <c r="J30" s="9">
        <v>0</v>
      </c>
      <c r="K30" s="9">
        <v>0</v>
      </c>
      <c r="L30" s="9">
        <v>0</v>
      </c>
      <c r="M30" s="9" t="str">
        <v>Automatisation et création de scripts (SQL, VBA), Reformulation ou traduction de documents, Rédaction (rapports, synthèses, notes, mails), Correction et mise en cohérence de documents</v>
      </c>
      <c r="N30" s="9" t="str">
        <v>De manière VOLONTAIRE (vous avez choisi vous-même)</v>
      </c>
      <c r="O30" s="9" t="str">
        <v>4. Utile</v>
      </c>
      <c r="P30" s="9" t="str">
        <v>5. Très utile</v>
      </c>
      <c r="Q30" s="9" t="str">
        <v>5. Très utile</v>
      </c>
      <c r="R30" s="9" t="str">
        <v>4. Utile</v>
      </c>
      <c r="S30" s="9" t="str">
        <v>4. Utile</v>
      </c>
      <c r="T30" s="9" t="str">
        <v>1. Pas du tout utile</v>
      </c>
      <c r="U30" s="9" t="str">
        <v>1. Pas du tout utile</v>
      </c>
      <c r="V30" s="9" t="str">
        <v>3. Neutre</v>
      </c>
      <c r="W30" s="9" t="str">
        <v>3. Neutre</v>
      </c>
      <c r="X30" s="9" t="str">
        <v>4. Utile</v>
      </c>
      <c r="Y30" s="9" t="str">
        <v>4. Utile</v>
      </c>
      <c r="Z30" s="9" t="str">
        <v>4. Utile</v>
      </c>
      <c r="AA30" s="9" t="str">
        <v>4. Utile</v>
      </c>
      <c r="AB30" s="9" t="str">
        <v>5. Très utile</v>
      </c>
      <c r="AC30" s="9" t="str">
        <v>4. Utile</v>
      </c>
      <c r="AD30" s="9" t="str">
        <v>1. Pas du tout utile</v>
      </c>
      <c r="AE30" s="9" t="str">
        <v>1. Pas du tout utile</v>
      </c>
      <c r="AF30" s="9" t="str">
        <v>3. Neutre</v>
      </c>
      <c r="AG30" s="9" t="str">
        <v>4. Utile</v>
      </c>
      <c r="AH30" s="9" t="str">
        <v>4. Utile</v>
      </c>
      <c r="AI30" s="9">
        <v>7</v>
      </c>
      <c r="AJ30" s="9" t="str">
        <v>6. Facile (Maîtrise rapide)</v>
      </c>
      <c r="AK30" s="9" t="str">
        <v>6. D'accord (S'intègre facilement)</v>
      </c>
      <c r="AL30" s="9">
        <v>4</v>
      </c>
      <c r="AM30" s="9">
        <v>6</v>
      </c>
      <c r="AN30" s="9">
        <v>7</v>
      </c>
      <c r="AO30" s="9">
        <v>5</v>
      </c>
      <c r="AP30" s="9">
        <v>3</v>
      </c>
      <c r="AQ30" s="9" t="str">
        <v>4. Important</v>
      </c>
      <c r="AR30" s="9" t="str">
        <v>5. Très important</v>
      </c>
      <c r="AS30" s="9" t="str">
        <v>5. Très important</v>
      </c>
      <c r="AT30" s="9" t="str">
        <v>3. Moyennement important</v>
      </c>
      <c r="AU30" s="9">
        <v>3</v>
      </c>
      <c r="AV30" s="9">
        <v>7</v>
      </c>
      <c r="AW30" s="9" t="str">
        <v>2. Très limitée (Quelques vidéos ou articles consultés)</v>
      </c>
      <c r="AX30" s="9">
        <v>6</v>
      </c>
      <c r="AY30" s="9">
        <v>6</v>
      </c>
      <c r="AZ30" s="9" t="str">
        <v>5. Plutôt d'accord (Je vérifie uniquement les points clés)</v>
      </c>
      <c r="BA30" s="9">
        <v>5</v>
      </c>
      <c r="BB30" s="9">
        <v>6</v>
      </c>
      <c r="BC30" s="9">
        <v>5</v>
      </c>
      <c r="BD30" s="9">
        <v>1</v>
      </c>
      <c r="BE30" s="9" t="str">
        <v>Oui</v>
      </c>
      <c r="BF30" s="9">
        <v>7</v>
      </c>
      <c r="BG30" s="9" t="str">
        <v>4. Neutre</v>
      </c>
      <c r="BH30" s="9">
        <v>7</v>
      </c>
      <c r="BI30" s="9" t="str">
        <v>18-25</v>
      </c>
      <c r="BJ30" s="9" t="str">
        <v>Homme</v>
      </c>
      <c r="BK30" s="9" t="str">
        <v>Junior</v>
      </c>
      <c r="BL30" s="9" t="str">
        <v>2 - 3 ans</v>
      </c>
      <c r="BM30" s="9" t="str">
        <v>Audit Financier</v>
      </c>
      <c r="BN30" s="9" t="str">
        <v>Cabinet international</v>
      </c>
      <c r="BO30" s="9">
        <v>0</v>
      </c>
      <c r="BP30" s="9">
        <f>IF(ISNUMBER($AI$30),ROUND((((($AI$30-1)*(4/6))+1)),4),"")</f>
        <v>5</v>
      </c>
      <c r="BQ30" s="9">
        <f>IF(ISNUMBER($AL$30),8-$AL$30,"")</f>
        <v>4</v>
      </c>
      <c r="BR30" s="9">
        <f>IFERROR(8-VALUE(LEFT($AZ$30,1)),"")</f>
        <v>3</v>
      </c>
      <c r="BS30" s="9">
        <f>IF(ISNUMBER($BC$30),8-$BC$30,"")</f>
        <v>3</v>
      </c>
      <c r="BT30" s="9">
        <f>IF(ISNUMBER($BD$30),8-$BD$30,"")</f>
        <v>7</v>
      </c>
      <c r="BU30" s="9">
        <f>IFERROR(ROUND(AVERAGE(VALUE(LEFT($O$30,1)),VALUE(LEFT($P$30,1)),VALUE(LEFT($Q$30,1)),VALUE(LEFT($R$30,1)),VALUE(LEFT($S$30,1)),VALUE(LEFT($T$30,1)),VALUE(LEFT($U$30,1)),VALUE(LEFT($V$30,1)),VALUE(LEFT($W$30,1)),VALUE(LEFT($X$30,1)),VALUE(LEFT($Y$30,1)),VALUE(LEFT($Z$30,1)),VALUE(LEFT($AA$30,1)),VALUE(LEFT($AB$30,1)),VALUE(LEFT($AC$30,1)),VALUE(LEFT($AD$30,1)),VALUE(LEFT($AE$30,1)),VALUE(LEFT($AF$30,1)),VALUE(LEFT($AG$30,1)),VALUE(LEFT($AH$30,1)),$BP$30),4),"")</f>
        <v>3.4762</v>
      </c>
      <c r="BV30" s="9">
        <f>IFERROR(ROUND(AVERAGE(VALUE(LEFT($AJ$30,1)),VALUE(LEFT($AK$30,1)),$BQ$30),4),"")</f>
        <v>5.3333000000000004</v>
      </c>
      <c r="BW30" s="9">
        <f>IFERROR(ROUND(AVERAGE($AM$30,$AN$30,$AO$30,$AP$30),4),"")</f>
        <v>5.25</v>
      </c>
      <c r="BX30" s="9">
        <f>IFERROR(ROUND(AVERAGE(VALUE(LEFT($AW$30,1)),$AX$30,$AY$30),4),"")</f>
        <v>4.6666999999999996</v>
      </c>
      <c r="BY30" s="9">
        <f>IFERROR(ROUND(AVERAGE($BR$30,$BA$30,$BB$30,$BS$30,$BT$30),4),"")</f>
        <v>4.8</v>
      </c>
      <c r="BZ30" s="9" t="str">
        <f>IF(OR($BK$30="Junior",$BK$30="Stagiaire",$BK$30="Alternant"),"Junior",IF(OR($BK$30="Superviseur",$BK$30="Superviseur ",$BK$30="Senior",$BK$30="Senior Manager",$BK$30="Manager"),"Senior-Manager",IF(OR($BK$30="Associe",$BK$30="Associé"),"Associe","Autre")))</f>
        <v>Junior</v>
      </c>
      <c r="CA30" s="9" t="b">
        <f>AND(NOT(ISNUMBER(SEARCH("Jamais",$B$30))),$BG$30="4. Neutre")</f>
        <v>1</v>
      </c>
      <c r="CB30">
        <f t="shared" si="0"/>
        <v>7</v>
      </c>
    </row>
    <row r="31" spans="1:80" x14ac:dyDescent="0.25">
      <c r="A31" s="42">
        <v>46064.576453449074</v>
      </c>
      <c r="B31" s="10" t="str">
        <v>6. Quotidiennement (Une fois par jour)</v>
      </c>
      <c r="C31" s="10" t="str">
        <v>Outils fournis/agréés par le cabinet (ex: Copilot sécurisé)</v>
      </c>
      <c r="D31" s="10">
        <v>0</v>
      </c>
      <c r="E31" s="10" t="str">
        <v>Version entreprise</v>
      </c>
      <c r="F31" s="10">
        <v>0</v>
      </c>
      <c r="G31" s="10">
        <v>0</v>
      </c>
      <c r="H31" s="10">
        <v>0</v>
      </c>
      <c r="I31" s="10">
        <v>0</v>
      </c>
      <c r="J31" s="10">
        <v>0</v>
      </c>
      <c r="K31" s="10">
        <v>0</v>
      </c>
      <c r="L31" s="10">
        <v>0</v>
      </c>
      <c r="M31" s="10" t="str">
        <v>Rédaction (rapports, synthèses, notes, mails), Recherche d'informations ou de points techniques, Reformulation ou traduction de documents</v>
      </c>
      <c r="N31" s="10" t="str">
        <v>De manière VOLONTAIRE (vous avez choisi vous-même)</v>
      </c>
      <c r="O31" s="10" t="str">
        <v>5. Très utile</v>
      </c>
      <c r="P31" s="10" t="str">
        <v>5. Très utile</v>
      </c>
      <c r="Q31" s="10" t="str">
        <v>5. Très utile</v>
      </c>
      <c r="R31" s="10" t="str">
        <v>4. Utile</v>
      </c>
      <c r="S31" s="10" t="str">
        <v>3. Neutre</v>
      </c>
      <c r="T31" s="10" t="str">
        <v>3. Neutre</v>
      </c>
      <c r="U31" s="10" t="str">
        <v>2. Peu utile</v>
      </c>
      <c r="V31" s="10" t="str">
        <v>3. Neutre</v>
      </c>
      <c r="W31" s="10" t="str">
        <v>3. Neutre</v>
      </c>
      <c r="X31" s="10" t="str">
        <v>3. Neutre</v>
      </c>
      <c r="Y31" s="10" t="str">
        <v>4. Utile</v>
      </c>
      <c r="Z31" s="10" t="str">
        <v>4. Utile</v>
      </c>
      <c r="AA31" s="10" t="str">
        <v>5. Très utile</v>
      </c>
      <c r="AB31" s="10" t="str">
        <v>4. Utile</v>
      </c>
      <c r="AC31" s="10" t="str">
        <v>3. Neutre</v>
      </c>
      <c r="AD31" s="10" t="str">
        <v>3. Neutre</v>
      </c>
      <c r="AE31" s="10" t="str">
        <v>3. Neutre</v>
      </c>
      <c r="AF31" s="10" t="str">
        <v>3. Neutre</v>
      </c>
      <c r="AG31" s="10" t="str">
        <v>3. Neutre</v>
      </c>
      <c r="AH31" s="10" t="str">
        <v>4. Utile</v>
      </c>
      <c r="AI31" s="10">
        <v>6</v>
      </c>
      <c r="AJ31" s="10" t="str">
        <v>5. Plutôt facile (Assez intuitif)</v>
      </c>
      <c r="AK31" s="10" t="str">
        <v>6. D'accord (S'intègre facilement)</v>
      </c>
      <c r="AL31" s="10">
        <v>5</v>
      </c>
      <c r="AM31" s="10">
        <v>5</v>
      </c>
      <c r="AN31" s="10">
        <v>6</v>
      </c>
      <c r="AO31" s="10">
        <v>5</v>
      </c>
      <c r="AP31" s="10">
        <v>3</v>
      </c>
      <c r="AQ31" s="10" t="str">
        <v>4. Important</v>
      </c>
      <c r="AR31" s="10" t="str">
        <v>5. Très important</v>
      </c>
      <c r="AS31" s="10" t="str">
        <v>4. Important</v>
      </c>
      <c r="AT31" s="10" t="str">
        <v>3. Moyennement important</v>
      </c>
      <c r="AU31" s="10">
        <v>6</v>
      </c>
      <c r="AV31" s="10">
        <v>6</v>
      </c>
      <c r="AW31" s="10" t="str">
        <v>1. Aucune</v>
      </c>
      <c r="AX31" s="10">
        <v>3</v>
      </c>
      <c r="AY31" s="10">
        <v>6</v>
      </c>
      <c r="AZ31" s="10" t="str">
        <v>4. Neutre (Le niveau de vérification dépend de la complexité)</v>
      </c>
      <c r="BA31" s="10">
        <v>4</v>
      </c>
      <c r="BB31" s="10">
        <v>6</v>
      </c>
      <c r="BC31" s="10">
        <v>3</v>
      </c>
      <c r="BD31" s="10">
        <v>4</v>
      </c>
      <c r="BE31" s="10" t="str">
        <v>Non</v>
      </c>
      <c r="BF31" s="10">
        <v>5</v>
      </c>
      <c r="BG31" s="10" t="str">
        <v>4. Neutre</v>
      </c>
      <c r="BH31" s="10">
        <v>5</v>
      </c>
      <c r="BI31" s="10" t="str">
        <v>18-25</v>
      </c>
      <c r="BJ31" s="10" t="str">
        <v>Femme</v>
      </c>
      <c r="BK31" s="10" t="str">
        <v>Junior</v>
      </c>
      <c r="BL31" s="10" t="str">
        <v>Moins de 2 ans</v>
      </c>
      <c r="BM31" s="10" t="str">
        <v>Audit Financier</v>
      </c>
      <c r="BN31" s="10" t="str">
        <v>Cabinet international</v>
      </c>
      <c r="BO31" s="10">
        <v>0</v>
      </c>
      <c r="BP31" s="10">
        <f>IF(ISNUMBER($AI$31),ROUND((((($AI$31-1)*(4/6))+1)),4),"")</f>
        <v>4.3333000000000004</v>
      </c>
      <c r="BQ31" s="10">
        <f>IF(ISNUMBER($AL$31),8-$AL$31,"")</f>
        <v>3</v>
      </c>
      <c r="BR31" s="10">
        <f>IFERROR(8-VALUE(LEFT($AZ$31,1)),"")</f>
        <v>4</v>
      </c>
      <c r="BS31" s="10">
        <f>IF(ISNUMBER($BC$31),8-$BC$31,"")</f>
        <v>5</v>
      </c>
      <c r="BT31" s="10">
        <f>IF(ISNUMBER($BD$31),8-$BD$31,"")</f>
        <v>4</v>
      </c>
      <c r="BU31" s="10">
        <f>IFERROR(ROUND(AVERAGE(VALUE(LEFT($O$31,1)),VALUE(LEFT($P$31,1)),VALUE(LEFT($Q$31,1)),VALUE(LEFT($R$31,1)),VALUE(LEFT($S$31,1)),VALUE(LEFT($T$31,1)),VALUE(LEFT($U$31,1)),VALUE(LEFT($V$31,1)),VALUE(LEFT($W$31,1)),VALUE(LEFT($X$31,1)),VALUE(LEFT($Y$31,1)),VALUE(LEFT($Z$31,1)),VALUE(LEFT($AA$31,1)),VALUE(LEFT($AB$31,1)),VALUE(LEFT($AC$31,1)),VALUE(LEFT($AD$31,1)),VALUE(LEFT($AE$31,1)),VALUE(LEFT($AF$31,1)),VALUE(LEFT($AG$31,1)),VALUE(LEFT($AH$31,1)),$BP$31),4),"")</f>
        <v>3.6349</v>
      </c>
      <c r="BV31" s="10">
        <f>IFERROR(ROUND(AVERAGE(VALUE(LEFT($AJ$31,1)),VALUE(LEFT($AK$31,1)),$BQ$31),4),"")</f>
        <v>4.6666999999999996</v>
      </c>
      <c r="BW31" s="10">
        <f>IFERROR(ROUND(AVERAGE($AM$31,$AN$31,$AO$31,$AP$31),4),"")</f>
        <v>4.75</v>
      </c>
      <c r="BX31" s="10">
        <f>IFERROR(ROUND(AVERAGE(VALUE(LEFT($AW$31,1)),$AX$31,$AY$31),4),"")</f>
        <v>3.3332999999999999</v>
      </c>
      <c r="BY31" s="10">
        <f>IFERROR(ROUND(AVERAGE($BR$31,$BA$31,$BB$31,$BS$31,$BT$31),4),"")</f>
        <v>4.5999999999999996</v>
      </c>
      <c r="BZ31" s="10" t="str">
        <f>IF(OR($BK$31="Junior",$BK$31="Stagiaire",$BK$31="Alternant"),"Junior",IF(OR($BK$31="Superviseur",$BK$31="Superviseur ",$BK$31="Senior",$BK$31="Senior Manager",$BK$31="Manager"),"Senior-Manager",IF(OR($BK$31="Associe",$BK$31="Associé"),"Associe","Autre")))</f>
        <v>Junior</v>
      </c>
      <c r="CA31" s="10" t="b">
        <f>AND(NOT(ISNUMBER(SEARCH("Jamais",$B$31))),$BG$31="4. Neutre")</f>
        <v>1</v>
      </c>
      <c r="CB31">
        <f t="shared" si="0"/>
        <v>6</v>
      </c>
    </row>
    <row r="32" spans="1:80" x14ac:dyDescent="0.25">
      <c r="A32" s="41">
        <v>46064.576707465283</v>
      </c>
      <c r="B32" s="9" t="str">
        <v>4. Parfois (Environ une fois par semaine)</v>
      </c>
      <c r="C32" s="9" t="str">
        <v>Outils fournis/agréés par le cabinet (ex: Copilot sécurisé)</v>
      </c>
      <c r="D32" s="9">
        <v>0</v>
      </c>
      <c r="E32" s="9" t="str">
        <v>Version entreprise</v>
      </c>
      <c r="F32" s="9">
        <v>0</v>
      </c>
      <c r="G32" s="9">
        <v>0</v>
      </c>
      <c r="H32" s="9">
        <v>0</v>
      </c>
      <c r="I32" s="9">
        <v>0</v>
      </c>
      <c r="J32" s="9">
        <v>0</v>
      </c>
      <c r="K32" s="9">
        <v>0</v>
      </c>
      <c r="L32" s="9">
        <v>0</v>
      </c>
      <c r="M32" s="9" t="str">
        <v>Recherche d'informations ou de points techniques, Rédaction (rapports, synthèses, notes, mails), Résumé d'un document</v>
      </c>
      <c r="N32" s="9" t="str">
        <v>De manière VOLONTAIRE (vous avez choisi vous-même)</v>
      </c>
      <c r="O32" s="9" t="str">
        <v>3. Neutre</v>
      </c>
      <c r="P32" s="9" t="str">
        <v>5. Très utile</v>
      </c>
      <c r="Q32" s="9" t="str">
        <v>5. Très utile</v>
      </c>
      <c r="R32" s="9" t="str">
        <v>3. Neutre</v>
      </c>
      <c r="S32" s="9" t="str">
        <v>3. Neutre</v>
      </c>
      <c r="T32" s="9" t="str">
        <v>3. Neutre</v>
      </c>
      <c r="U32" s="9" t="str">
        <v>3. Neutre</v>
      </c>
      <c r="V32" s="9" t="str">
        <v>3. Neutre</v>
      </c>
      <c r="W32" s="9" t="str">
        <v>3. Neutre</v>
      </c>
      <c r="X32" s="9" t="str">
        <v>3. Neutre</v>
      </c>
      <c r="Y32" s="9" t="str">
        <v>3. Neutre</v>
      </c>
      <c r="Z32" s="9" t="str">
        <v>5. Très utile</v>
      </c>
      <c r="AA32" s="9" t="str">
        <v>4. Utile</v>
      </c>
      <c r="AB32" s="9" t="str">
        <v>3. Neutre</v>
      </c>
      <c r="AC32" s="9" t="str">
        <v>3. Neutre</v>
      </c>
      <c r="AD32" s="9" t="str">
        <v>3. Neutre</v>
      </c>
      <c r="AE32" s="9" t="str">
        <v>3. Neutre</v>
      </c>
      <c r="AF32" s="9" t="str">
        <v>3. Neutre</v>
      </c>
      <c r="AG32" s="9" t="str">
        <v>3. Neutre</v>
      </c>
      <c r="AH32" s="9" t="str">
        <v>3. Neutre</v>
      </c>
      <c r="AI32" s="9">
        <v>7</v>
      </c>
      <c r="AJ32" s="9" t="str">
        <v>6. Facile (Maîtrise rapide)</v>
      </c>
      <c r="AK32" s="9" t="str">
        <v>5. Plutôt d'accord (S'intègre assez bien)</v>
      </c>
      <c r="AL32" s="9">
        <v>3</v>
      </c>
      <c r="AM32" s="9">
        <v>7</v>
      </c>
      <c r="AN32" s="9">
        <v>7</v>
      </c>
      <c r="AO32" s="9">
        <v>7</v>
      </c>
      <c r="AP32" s="9">
        <v>4</v>
      </c>
      <c r="AQ32" s="9" t="str">
        <v>5. Très important</v>
      </c>
      <c r="AR32" s="9" t="str">
        <v>5. Très important</v>
      </c>
      <c r="AS32" s="9" t="str">
        <v>5. Très important</v>
      </c>
      <c r="AT32" s="9" t="str">
        <v>5. Très important</v>
      </c>
      <c r="AU32" s="9">
        <v>3</v>
      </c>
      <c r="AV32" s="9">
        <v>3</v>
      </c>
      <c r="AW32" s="9" t="str">
        <v>2. Très limitée (Quelques vidéos ou articles consultés)</v>
      </c>
      <c r="AX32" s="9">
        <v>1</v>
      </c>
      <c r="AY32" s="9">
        <v>5</v>
      </c>
      <c r="AZ32" s="9" t="str">
        <v>6. D'accord (Je fais globalement confiance au résultat)</v>
      </c>
      <c r="BA32" s="9">
        <v>2</v>
      </c>
      <c r="BB32" s="9">
        <v>4</v>
      </c>
      <c r="BC32" s="9">
        <v>5</v>
      </c>
      <c r="BD32" s="9">
        <v>3</v>
      </c>
      <c r="BE32" s="9" t="str">
        <v>Non</v>
      </c>
      <c r="BF32" s="9">
        <v>3</v>
      </c>
      <c r="BG32" s="9" t="str">
        <v>4. Neutre</v>
      </c>
      <c r="BH32" s="9">
        <v>5</v>
      </c>
      <c r="BI32" s="9" t="str">
        <v>18-25</v>
      </c>
      <c r="BJ32" s="9" t="str">
        <v>Homme</v>
      </c>
      <c r="BK32" s="9" t="str">
        <v>Junior</v>
      </c>
      <c r="BL32" s="9" t="str">
        <v>2 - 3 ans</v>
      </c>
      <c r="BM32" s="9" t="str">
        <v>Audit Financier</v>
      </c>
      <c r="BN32" s="9" t="str">
        <v>Cabinet international</v>
      </c>
      <c r="BO32" s="9">
        <v>0</v>
      </c>
      <c r="BP32" s="9">
        <f>IF(ISNUMBER($AI$32),ROUND((((($AI$32-1)*(4/6))+1)),4),"")</f>
        <v>5</v>
      </c>
      <c r="BQ32" s="9">
        <f>IF(ISNUMBER($AL$32),8-$AL$32,"")</f>
        <v>5</v>
      </c>
      <c r="BR32" s="9">
        <f>IFERROR(8-VALUE(LEFT($AZ$32,1)),"")</f>
        <v>2</v>
      </c>
      <c r="BS32" s="9">
        <f>IF(ISNUMBER($BC$32),8-$BC$32,"")</f>
        <v>3</v>
      </c>
      <c r="BT32" s="9">
        <f>IF(ISNUMBER($BD$32),8-$BD$32,"")</f>
        <v>5</v>
      </c>
      <c r="BU32" s="9">
        <f>IFERROR(ROUND(AVERAGE(VALUE(LEFT($O$32,1)),VALUE(LEFT($P$32,1)),VALUE(LEFT($Q$32,1)),VALUE(LEFT($R$32,1)),VALUE(LEFT($S$32,1)),VALUE(LEFT($T$32,1)),VALUE(LEFT($U$32,1)),VALUE(LEFT($V$32,1)),VALUE(LEFT($W$32,1)),VALUE(LEFT($X$32,1)),VALUE(LEFT($Y$32,1)),VALUE(LEFT($Z$32,1)),VALUE(LEFT($AA$32,1)),VALUE(LEFT($AB$32,1)),VALUE(LEFT($AC$32,1)),VALUE(LEFT($AD$32,1)),VALUE(LEFT($AE$32,1)),VALUE(LEFT($AF$32,1)),VALUE(LEFT($AG$32,1)),VALUE(LEFT($AH$32,1)),$BP$32),4),"")</f>
        <v>3.4285999999999999</v>
      </c>
      <c r="BV32" s="9">
        <f>IFERROR(ROUND(AVERAGE(VALUE(LEFT($AJ$32,1)),VALUE(LEFT($AK$32,1)),$BQ$32),4),"")</f>
        <v>5.3333000000000004</v>
      </c>
      <c r="BW32" s="9">
        <f>IFERROR(ROUND(AVERAGE($AM$32,$AN$32,$AO$32,$AP$32),4),"")</f>
        <v>6.25</v>
      </c>
      <c r="BX32" s="9">
        <f>IFERROR(ROUND(AVERAGE(VALUE(LEFT($AW$32,1)),$AX$32,$AY$32),4),"")</f>
        <v>2.6667000000000001</v>
      </c>
      <c r="BY32" s="9">
        <f>IFERROR(ROUND(AVERAGE($BR$32,$BA$32,$BB$32,$BS$32,$BT$32),4),"")</f>
        <v>3.2</v>
      </c>
      <c r="BZ32" s="9" t="str">
        <f>IF(OR($BK$32="Junior",$BK$32="Stagiaire",$BK$32="Alternant"),"Junior",IF(OR($BK$32="Superviseur",$BK$32="Superviseur ",$BK$32="Senior",$BK$32="Senior Manager",$BK$32="Manager"),"Senior-Manager",IF(OR($BK$32="Associe",$BK$32="Associé"),"Associe","Autre")))</f>
        <v>Junior</v>
      </c>
      <c r="CA32" s="9" t="b">
        <f>AND(NOT(ISNUMBER(SEARCH("Jamais",$B$32))),$BG$32="4. Neutre")</f>
        <v>1</v>
      </c>
      <c r="CB32">
        <f t="shared" si="0"/>
        <v>4</v>
      </c>
    </row>
    <row r="33" spans="1:80" x14ac:dyDescent="0.25">
      <c r="A33" s="42">
        <v>46064.581466770833</v>
      </c>
      <c r="B33" s="10" t="str">
        <v>7. Très fréquemment (Plusieurs fois par jour)</v>
      </c>
      <c r="C33" s="10" t="str">
        <v>Outils fournis/agréés par le cabinet (ex: Copilot sécurisé)</v>
      </c>
      <c r="D33" s="10">
        <v>0</v>
      </c>
      <c r="E33" s="10" t="str">
        <v>Version entreprise</v>
      </c>
      <c r="F33" s="10">
        <v>0</v>
      </c>
      <c r="G33" s="10">
        <v>0</v>
      </c>
      <c r="H33" s="10">
        <v>0</v>
      </c>
      <c r="I33" s="10">
        <v>0</v>
      </c>
      <c r="J33" s="10">
        <v>0</v>
      </c>
      <c r="K33" s="10" t="str">
        <v>Version entreprise</v>
      </c>
      <c r="L33" s="10">
        <v>0</v>
      </c>
      <c r="M33" s="10" t="str">
        <v>Rédaction (rapports, synthèses, notes, mails), Préparation de données (format, structuration, harmonisation des valeurs), Revue d'estimations comptables (provisions, dépréciations), Reformulation ou traduction de documents, Évaluation du contrôle interne, Rapprochement/Comparaison de documents, Correction et mise en cohérence de documents, Recherche d'informations ou de points techniques, Analyse de données et génération d'insights</v>
      </c>
      <c r="N33" s="10" t="str">
        <v>De manière RECOMMANDÉE (cabinet encourage, mais facultatif)</v>
      </c>
      <c r="O33" s="10" t="str">
        <v>5. Très utile</v>
      </c>
      <c r="P33" s="10" t="str">
        <v>4. Utile</v>
      </c>
      <c r="Q33" s="10" t="str">
        <v>5. Très utile</v>
      </c>
      <c r="R33" s="10" t="str">
        <v>5. Très utile</v>
      </c>
      <c r="S33" s="10" t="str">
        <v>5. Très utile</v>
      </c>
      <c r="T33" s="10" t="str">
        <v>3. Neutre</v>
      </c>
      <c r="U33" s="10" t="str">
        <v>2. Peu utile</v>
      </c>
      <c r="V33" s="10" t="str">
        <v>3. Neutre</v>
      </c>
      <c r="W33" s="10" t="str">
        <v>3. Neutre</v>
      </c>
      <c r="X33" s="10" t="str">
        <v>4. Utile</v>
      </c>
      <c r="Y33" s="10" t="str">
        <v>5. Très utile</v>
      </c>
      <c r="Z33" s="10" t="str">
        <v>5. Très utile</v>
      </c>
      <c r="AA33" s="10" t="str">
        <v>5. Très utile</v>
      </c>
      <c r="AB33" s="10" t="str">
        <v>5. Très utile</v>
      </c>
      <c r="AC33" s="10" t="str">
        <v>5. Très utile</v>
      </c>
      <c r="AD33" s="10" t="str">
        <v>4. Utile</v>
      </c>
      <c r="AE33" s="10" t="str">
        <v>3. Neutre</v>
      </c>
      <c r="AF33" s="10" t="str">
        <v>3. Neutre</v>
      </c>
      <c r="AG33" s="10" t="str">
        <v>3. Neutre</v>
      </c>
      <c r="AH33" s="10" t="str">
        <v>4. Utile</v>
      </c>
      <c r="AI33" s="10">
        <v>6</v>
      </c>
      <c r="AJ33" s="10" t="str">
        <v>6. Facile (Maîtrise rapide)</v>
      </c>
      <c r="AK33" s="10" t="str">
        <v>6. D'accord (S'intègre facilement)</v>
      </c>
      <c r="AL33" s="10">
        <v>3</v>
      </c>
      <c r="AM33" s="10">
        <v>5</v>
      </c>
      <c r="AN33" s="10">
        <v>4</v>
      </c>
      <c r="AO33" s="10">
        <v>4</v>
      </c>
      <c r="AP33" s="10">
        <v>2</v>
      </c>
      <c r="AQ33" s="10" t="str">
        <v>4. Important</v>
      </c>
      <c r="AR33" s="10" t="str">
        <v>2. Peu important</v>
      </c>
      <c r="AS33" s="10" t="str">
        <v>3. Moyennement important</v>
      </c>
      <c r="AT33" s="10" t="str">
        <v>3. Moyennement important</v>
      </c>
      <c r="AU33" s="10">
        <v>2</v>
      </c>
      <c r="AV33" s="10">
        <v>7</v>
      </c>
      <c r="AW33" s="10" t="str">
        <v>4. Moyenne (Environ une journée de formation cumulée)</v>
      </c>
      <c r="AX33" s="10">
        <v>6</v>
      </c>
      <c r="AY33" s="10">
        <v>6</v>
      </c>
      <c r="AZ33" s="10" t="str">
        <v>2. En désaccord (Je contrôle la quasi-totalité des éléments)</v>
      </c>
      <c r="BA33" s="10">
        <v>6</v>
      </c>
      <c r="BB33" s="10">
        <v>5</v>
      </c>
      <c r="BC33" s="10">
        <v>5</v>
      </c>
      <c r="BD33" s="10">
        <v>2</v>
      </c>
      <c r="BE33" s="10" t="str">
        <v>Oui</v>
      </c>
      <c r="BF33" s="10">
        <v>7</v>
      </c>
      <c r="BG33" s="10" t="str">
        <v>4. Neutre</v>
      </c>
      <c r="BH33" s="10">
        <v>7</v>
      </c>
      <c r="BI33" s="10" t="str">
        <v>18-25</v>
      </c>
      <c r="BJ33" s="10" t="str">
        <v>Homme</v>
      </c>
      <c r="BK33" s="10" t="str">
        <v>Junior</v>
      </c>
      <c r="BL33" s="10" t="str">
        <v>Moins de 2 ans</v>
      </c>
      <c r="BM33" s="10" t="str">
        <v>Audit Financier</v>
      </c>
      <c r="BN33" s="10" t="str">
        <v>Cabinet international</v>
      </c>
      <c r="BO33" s="10">
        <v>0</v>
      </c>
      <c r="BP33" s="10">
        <f>IF(ISNUMBER($AI$33),ROUND((((($AI$33-1)*(4/6))+1)),4),"")</f>
        <v>4.3333000000000004</v>
      </c>
      <c r="BQ33" s="10">
        <f>IF(ISNUMBER($AL$33),8-$AL$33,"")</f>
        <v>5</v>
      </c>
      <c r="BR33" s="10">
        <f>IFERROR(8-VALUE(LEFT($AZ$33,1)),"")</f>
        <v>6</v>
      </c>
      <c r="BS33" s="10">
        <f>IF(ISNUMBER($BC$33),8-$BC$33,"")</f>
        <v>3</v>
      </c>
      <c r="BT33" s="10">
        <f>IF(ISNUMBER($BD$33),8-$BD$33,"")</f>
        <v>6</v>
      </c>
      <c r="BU33" s="10">
        <f>IFERROR(ROUND(AVERAGE(VALUE(LEFT($O$33,1)),VALUE(LEFT($P$33,1)),VALUE(LEFT($Q$33,1)),VALUE(LEFT($R$33,1)),VALUE(LEFT($S$33,1)),VALUE(LEFT($T$33,1)),VALUE(LEFT($U$33,1)),VALUE(LEFT($V$33,1)),VALUE(LEFT($W$33,1)),VALUE(LEFT($X$33,1)),VALUE(LEFT($Y$33,1)),VALUE(LEFT($Z$33,1)),VALUE(LEFT($AA$33,1)),VALUE(LEFT($AB$33,1)),VALUE(LEFT($AC$33,1)),VALUE(LEFT($AD$33,1)),VALUE(LEFT($AE$33,1)),VALUE(LEFT($AF$33,1)),VALUE(LEFT($AG$33,1)),VALUE(LEFT($AH$33,1)),$BP$33),4),"")</f>
        <v>4.0635000000000003</v>
      </c>
      <c r="BV33" s="10">
        <f>IFERROR(ROUND(AVERAGE(VALUE(LEFT($AJ$33,1)),VALUE(LEFT($AK$33,1)),$BQ$33),4),"")</f>
        <v>5.6666999999999996</v>
      </c>
      <c r="BW33" s="10">
        <f>IFERROR(ROUND(AVERAGE($AM$33,$AN$33,$AO$33,$AP$33),4),"")</f>
        <v>3.75</v>
      </c>
      <c r="BX33" s="10">
        <f>IFERROR(ROUND(AVERAGE(VALUE(LEFT($AW$33,1)),$AX$33,$AY$33),4),"")</f>
        <v>5.3333000000000004</v>
      </c>
      <c r="BY33" s="10">
        <f>IFERROR(ROUND(AVERAGE($BR$33,$BA$33,$BB$33,$BS$33,$BT$33),4),"")</f>
        <v>5.2</v>
      </c>
      <c r="BZ33" s="10" t="str">
        <f>IF(OR($BK$33="Junior",$BK$33="Stagiaire",$BK$33="Alternant"),"Junior",IF(OR($BK$33="Superviseur",$BK$33="Superviseur ",$BK$33="Senior",$BK$33="Senior Manager",$BK$33="Manager"),"Senior-Manager",IF(OR($BK$33="Associe",$BK$33="Associé"),"Associe","Autre")))</f>
        <v>Junior</v>
      </c>
      <c r="CA33" s="10" t="b">
        <f>AND(NOT(ISNUMBER(SEARCH("Jamais",$B$33))),$BG$33="4. Neutre")</f>
        <v>1</v>
      </c>
      <c r="CB33">
        <f t="shared" si="0"/>
        <v>7</v>
      </c>
    </row>
    <row r="34" spans="1:80" x14ac:dyDescent="0.25">
      <c r="A34" s="41">
        <v>46064.58956241898</v>
      </c>
      <c r="B34" s="9" t="str">
        <v>5. Régulièrement (Plusieurs fois par semaine)</v>
      </c>
      <c r="C34" s="9" t="str">
        <v>Outils fournis/agréés par le cabinet (ex: Copilot sécurisé)</v>
      </c>
      <c r="D34" s="9">
        <v>0</v>
      </c>
      <c r="E34" s="9" t="str">
        <v>Version entreprise</v>
      </c>
      <c r="F34" s="9">
        <v>0</v>
      </c>
      <c r="G34" s="9">
        <v>0</v>
      </c>
      <c r="H34" s="9">
        <v>0</v>
      </c>
      <c r="I34" s="9">
        <v>0</v>
      </c>
      <c r="J34" s="9">
        <v>0</v>
      </c>
      <c r="K34" s="9">
        <v>0</v>
      </c>
      <c r="L34" s="9">
        <v>0</v>
      </c>
      <c r="M34" s="9" t="str">
        <v>Recherche d'informations ou de points techniques, Rédaction (rapports, synthèses, notes, mails), Reformulation ou traduction de documents</v>
      </c>
      <c r="N34" s="9" t="str">
        <v>De manière VOLONTAIRE (vous avez choisi vous-même)</v>
      </c>
      <c r="O34" s="9" t="str">
        <v>2. Peu utile</v>
      </c>
      <c r="P34" s="9" t="str">
        <v>2. Peu utile</v>
      </c>
      <c r="Q34" s="9" t="str">
        <v>5. Très utile</v>
      </c>
      <c r="R34" s="9" t="str">
        <v>5. Très utile</v>
      </c>
      <c r="S34" s="9" t="str">
        <v>3. Neutre</v>
      </c>
      <c r="T34" s="9" t="str">
        <v>1. Pas du tout utile</v>
      </c>
      <c r="U34" s="9" t="str">
        <v>3. Neutre</v>
      </c>
      <c r="V34" s="9" t="str">
        <v>1. Pas du tout utile</v>
      </c>
      <c r="W34" s="9" t="str">
        <v>3. Neutre</v>
      </c>
      <c r="X34" s="9" t="str">
        <v>3. Neutre</v>
      </c>
      <c r="Y34" s="9" t="str">
        <v>3. Neutre</v>
      </c>
      <c r="Z34" s="9" t="str">
        <v>4. Utile</v>
      </c>
      <c r="AA34" s="9" t="str">
        <v>4. Utile</v>
      </c>
      <c r="AB34" s="9" t="str">
        <v>4. Utile</v>
      </c>
      <c r="AC34" s="9" t="str">
        <v>3. Neutre</v>
      </c>
      <c r="AD34" s="9" t="str">
        <v>3. Neutre</v>
      </c>
      <c r="AE34" s="9" t="str">
        <v>3. Neutre</v>
      </c>
      <c r="AF34" s="9" t="str">
        <v>3. Neutre</v>
      </c>
      <c r="AG34" s="9" t="str">
        <v>4. Utile</v>
      </c>
      <c r="AH34" s="9" t="str">
        <v>3. Neutre</v>
      </c>
      <c r="AI34" s="9">
        <v>6</v>
      </c>
      <c r="AJ34" s="9" t="str">
        <v>5. Plutôt facile (Assez intuitif)</v>
      </c>
      <c r="AK34" s="9" t="str">
        <v>6. D'accord (S'intègre facilement)</v>
      </c>
      <c r="AL34" s="9">
        <v>5</v>
      </c>
      <c r="AM34" s="9">
        <v>7</v>
      </c>
      <c r="AN34" s="9">
        <v>6</v>
      </c>
      <c r="AO34" s="9">
        <v>5</v>
      </c>
      <c r="AP34" s="9">
        <v>4</v>
      </c>
      <c r="AQ34" s="9" t="str">
        <v>4. Important</v>
      </c>
      <c r="AR34" s="9" t="str">
        <v>5. Très important</v>
      </c>
      <c r="AS34" s="9" t="str">
        <v>4. Important</v>
      </c>
      <c r="AT34" s="9" t="str">
        <v>3. Moyennement important</v>
      </c>
      <c r="AU34" s="9">
        <v>6</v>
      </c>
      <c r="AV34" s="9">
        <v>6</v>
      </c>
      <c r="AW34" s="9" t="str">
        <v>2. Très limitée (Quelques vidéos ou articles consultés)</v>
      </c>
      <c r="AX34" s="9">
        <v>5</v>
      </c>
      <c r="AY34" s="9">
        <v>5</v>
      </c>
      <c r="AZ34" s="9" t="str">
        <v>6. D'accord (Je fais globalement confiance au résultat)</v>
      </c>
      <c r="BA34" s="9">
        <v>7</v>
      </c>
      <c r="BB34" s="9">
        <v>7</v>
      </c>
      <c r="BC34" s="9">
        <v>2</v>
      </c>
      <c r="BD34" s="9">
        <v>1</v>
      </c>
      <c r="BE34" s="9" t="str">
        <v>Non</v>
      </c>
      <c r="BF34" s="9">
        <v>5</v>
      </c>
      <c r="BG34" s="9" t="str">
        <v>4. Neutre</v>
      </c>
      <c r="BH34" s="9">
        <v>5</v>
      </c>
      <c r="BI34" s="9" t="str">
        <v>18-25</v>
      </c>
      <c r="BJ34" s="9" t="str">
        <v>Femme</v>
      </c>
      <c r="BK34" s="9" t="str">
        <v>Junior</v>
      </c>
      <c r="BL34" s="9" t="str">
        <v>2 - 3 ans</v>
      </c>
      <c r="BM34" s="9" t="str">
        <v>Audit Financier, Audit RSE</v>
      </c>
      <c r="BN34" s="9" t="str">
        <v>Cabinet international</v>
      </c>
      <c r="BO34" s="9" t="str">
        <v>Je l'utilise essentiellement pour retravailler un texte/reformuler/traduire mais quasiment jamais pour conclure sur des travaux, pour donner un avis, essentiellement de la mise en forme et rédaction</v>
      </c>
      <c r="BP34" s="9">
        <f>IF(ISNUMBER($AI$34),ROUND((((($AI$34-1)*(4/6))+1)),4),"")</f>
        <v>4.3333000000000004</v>
      </c>
      <c r="BQ34" s="9">
        <f>IF(ISNUMBER($AL$34),8-$AL$34,"")</f>
        <v>3</v>
      </c>
      <c r="BR34" s="9">
        <f>IFERROR(8-VALUE(LEFT($AZ$34,1)),"")</f>
        <v>2</v>
      </c>
      <c r="BS34" s="9">
        <f>IF(ISNUMBER($BC$34),8-$BC$34,"")</f>
        <v>6</v>
      </c>
      <c r="BT34" s="9">
        <f>IF(ISNUMBER($BD$34),8-$BD$34,"")</f>
        <v>7</v>
      </c>
      <c r="BU34" s="9">
        <f>IFERROR(ROUND(AVERAGE(VALUE(LEFT($O$34,1)),VALUE(LEFT($P$34,1)),VALUE(LEFT($Q$34,1)),VALUE(LEFT($R$34,1)),VALUE(LEFT($S$34,1)),VALUE(LEFT($T$34,1)),VALUE(LEFT($U$34,1)),VALUE(LEFT($V$34,1)),VALUE(LEFT($W$34,1)),VALUE(LEFT($X$34,1)),VALUE(LEFT($Y$34,1)),VALUE(LEFT($Z$34,1)),VALUE(LEFT($AA$34,1)),VALUE(LEFT($AB$34,1)),VALUE(LEFT($AC$34,1)),VALUE(LEFT($AD$34,1)),VALUE(LEFT($AE$34,1)),VALUE(LEFT($AF$34,1)),VALUE(LEFT($AG$34,1)),VALUE(LEFT($AH$34,1)),$BP$34),4),"")</f>
        <v>3.1587000000000001</v>
      </c>
      <c r="BV34" s="9">
        <f>IFERROR(ROUND(AVERAGE(VALUE(LEFT($AJ$34,1)),VALUE(LEFT($AK$34,1)),$BQ$34),4),"")</f>
        <v>4.6666999999999996</v>
      </c>
      <c r="BW34" s="9">
        <f>IFERROR(ROUND(AVERAGE($AM$34,$AN$34,$AO$34,$AP$34),4),"")</f>
        <v>5.5</v>
      </c>
      <c r="BX34" s="9">
        <f>IFERROR(ROUND(AVERAGE(VALUE(LEFT($AW$34,1)),$AX$34,$AY$34),4),"")</f>
        <v>4</v>
      </c>
      <c r="BY34" s="9">
        <f>IFERROR(ROUND(AVERAGE($BR$34,$BA$34,$BB$34,$BS$34,$BT$34),4),"")</f>
        <v>5.8</v>
      </c>
      <c r="BZ34" s="9" t="str">
        <f>IF(OR($BK$34="Junior",$BK$34="Stagiaire",$BK$34="Alternant"),"Junior",IF(OR($BK$34="Superviseur",$BK$34="Superviseur ",$BK$34="Senior",$BK$34="Senior Manager",$BK$34="Manager"),"Senior-Manager",IF(OR($BK$34="Associe",$BK$34="Associé"),"Associe","Autre")))</f>
        <v>Junior</v>
      </c>
      <c r="CA34" s="9" t="b">
        <f>AND(NOT(ISNUMBER(SEARCH("Jamais",$B$34))),$BG$34="4. Neutre")</f>
        <v>1</v>
      </c>
      <c r="CB34">
        <f t="shared" si="0"/>
        <v>5</v>
      </c>
    </row>
    <row r="35" spans="1:80" x14ac:dyDescent="0.25">
      <c r="A35" s="42">
        <v>46064.935977928239</v>
      </c>
      <c r="B35" s="10" t="str">
        <v>5. Régulièrement (Plusieurs fois par semaine)</v>
      </c>
      <c r="C35" s="10" t="str">
        <v>Outils grand public (ex: ChatGPT, Gemini )</v>
      </c>
      <c r="D35" s="10">
        <v>0</v>
      </c>
      <c r="E35" s="10">
        <v>0</v>
      </c>
      <c r="F35" s="10" t="str">
        <v>Version grand public</v>
      </c>
      <c r="G35" s="10">
        <v>0</v>
      </c>
      <c r="H35" s="10">
        <v>0</v>
      </c>
      <c r="I35" s="10">
        <v>0</v>
      </c>
      <c r="J35" s="10" t="str">
        <v>Version grand public</v>
      </c>
      <c r="K35" s="10" t="str">
        <v>Version grand public</v>
      </c>
      <c r="L35" s="10">
        <v>0</v>
      </c>
      <c r="M35" s="10" t="str">
        <v>Rédaction (rapports, synthèses, notes, mails), Reformulation ou traduction de documents, Analyse de données et génération d'insights</v>
      </c>
      <c r="N35" s="10" t="str">
        <v>De manière RECOMMANDÉE (cabinet encourage, mais facultatif)</v>
      </c>
      <c r="O35" s="10" t="str">
        <v>2. Peu utile</v>
      </c>
      <c r="P35" s="10" t="str">
        <v>4. Utile</v>
      </c>
      <c r="Q35" s="10" t="str">
        <v>4. Utile</v>
      </c>
      <c r="R35" s="10" t="str">
        <v>1. Pas du tout utile</v>
      </c>
      <c r="S35" s="10" t="str">
        <v>4. Utile</v>
      </c>
      <c r="T35" s="10" t="str">
        <v>3. Neutre</v>
      </c>
      <c r="U35" s="10" t="str">
        <v>3. Neutre</v>
      </c>
      <c r="V35" s="10" t="str">
        <v>3. Neutre</v>
      </c>
      <c r="W35" s="10" t="str">
        <v>4. Utile</v>
      </c>
      <c r="X35" s="10" t="str">
        <v>3. Neutre</v>
      </c>
      <c r="Y35" s="10" t="str">
        <v>1. Pas du tout utile</v>
      </c>
      <c r="Z35" s="10" t="str">
        <v>4. Utile</v>
      </c>
      <c r="AA35" s="10" t="str">
        <v>4. Utile</v>
      </c>
      <c r="AB35" s="10" t="str">
        <v>1. Pas du tout utile</v>
      </c>
      <c r="AC35" s="10" t="str">
        <v>4. Utile</v>
      </c>
      <c r="AD35" s="10" t="str">
        <v>1. Pas du tout utile</v>
      </c>
      <c r="AE35" s="10" t="str">
        <v>1. Pas du tout utile</v>
      </c>
      <c r="AF35" s="10" t="str">
        <v>1. Pas du tout utile</v>
      </c>
      <c r="AG35" s="10" t="str">
        <v>4. Utile</v>
      </c>
      <c r="AH35" s="10" t="str">
        <v>4. Utile</v>
      </c>
      <c r="AI35" s="10">
        <v>6</v>
      </c>
      <c r="AJ35" s="10" t="str">
        <v>5. Plutôt facile (Assez intuitif)</v>
      </c>
      <c r="AK35" s="10" t="str">
        <v>5. Plutôt d'accord (S'intègre assez bien)</v>
      </c>
      <c r="AL35" s="10">
        <v>4</v>
      </c>
      <c r="AM35" s="10">
        <v>6</v>
      </c>
      <c r="AN35" s="10">
        <v>7</v>
      </c>
      <c r="AO35" s="10">
        <v>4</v>
      </c>
      <c r="AP35" s="10">
        <v>5</v>
      </c>
      <c r="AQ35" s="10" t="str">
        <v>5. Très important</v>
      </c>
      <c r="AR35" s="10" t="str">
        <v>5. Très important</v>
      </c>
      <c r="AS35" s="10" t="str">
        <v>4. Important</v>
      </c>
      <c r="AT35" s="10" t="str">
        <v>4. Important</v>
      </c>
      <c r="AU35" s="10">
        <v>6</v>
      </c>
      <c r="AV35" s="10">
        <v>6</v>
      </c>
      <c r="AW35" s="10" t="str">
        <v>4. Moyenne (Environ une journée de formation cumulée)</v>
      </c>
      <c r="AX35" s="10">
        <v>5</v>
      </c>
      <c r="AY35" s="10">
        <v>5</v>
      </c>
      <c r="AZ35" s="10" t="str">
        <v>2. En désaccord (Je contrôle la quasi-totalité des éléments)</v>
      </c>
      <c r="BA35" s="10">
        <v>5</v>
      </c>
      <c r="BB35" s="10">
        <v>6</v>
      </c>
      <c r="BC35" s="10">
        <v>6</v>
      </c>
      <c r="BD35" s="10">
        <v>3</v>
      </c>
      <c r="BE35" s="10" t="str">
        <v>Oui</v>
      </c>
      <c r="BF35" s="10">
        <v>6</v>
      </c>
      <c r="BG35" s="10" t="str">
        <v>4. Neutre</v>
      </c>
      <c r="BH35" s="10">
        <v>3</v>
      </c>
      <c r="BI35" s="10" t="str">
        <v>26-35</v>
      </c>
      <c r="BJ35" s="10" t="str">
        <v>Homme</v>
      </c>
      <c r="BK35" s="10" t="str">
        <v>Senior</v>
      </c>
      <c r="BL35" s="10" t="str">
        <v>4  - 5 ans</v>
      </c>
      <c r="BM35" s="10" t="str">
        <v>Audit Financier</v>
      </c>
      <c r="BN35" s="10" t="str">
        <v>Cabinet local</v>
      </c>
      <c r="BO35" s="10">
        <v>0</v>
      </c>
      <c r="BP35" s="10">
        <f>IF(ISNUMBER($AI$35),ROUND((((($AI$35-1)*(4/6))+1)),4),"")</f>
        <v>4.3333000000000004</v>
      </c>
      <c r="BQ35" s="10">
        <f>IF(ISNUMBER($AL$35),8-$AL$35,"")</f>
        <v>4</v>
      </c>
      <c r="BR35" s="10">
        <f>IFERROR(8-VALUE(LEFT($AZ$35,1)),"")</f>
        <v>6</v>
      </c>
      <c r="BS35" s="10">
        <f>IF(ISNUMBER($BC$35),8-$BC$35,"")</f>
        <v>2</v>
      </c>
      <c r="BT35" s="10">
        <f>IF(ISNUMBER($BD$35),8-$BD$35,"")</f>
        <v>5</v>
      </c>
      <c r="BU35" s="10">
        <f>IFERROR(ROUND(AVERAGE(VALUE(LEFT($O$35,1)),VALUE(LEFT($P$35,1)),VALUE(LEFT($Q$35,1)),VALUE(LEFT($R$35,1)),VALUE(LEFT($S$35,1)),VALUE(LEFT($T$35,1)),VALUE(LEFT($U$35,1)),VALUE(LEFT($V$35,1)),VALUE(LEFT($W$35,1)),VALUE(LEFT($X$35,1)),VALUE(LEFT($Y$35,1)),VALUE(LEFT($Z$35,1)),VALUE(LEFT($AA$35,1)),VALUE(LEFT($AB$35,1)),VALUE(LEFT($AC$35,1)),VALUE(LEFT($AD$35,1)),VALUE(LEFT($AE$35,1)),VALUE(LEFT($AF$35,1)),VALUE(LEFT($AG$35,1)),VALUE(LEFT($AH$35,1)),$BP$35),4),"")</f>
        <v>2.8730000000000002</v>
      </c>
      <c r="BV35" s="10">
        <f>IFERROR(ROUND(AVERAGE(VALUE(LEFT($AJ$35,1)),VALUE(LEFT($AK$35,1)),$BQ$35),4),"")</f>
        <v>4.6666999999999996</v>
      </c>
      <c r="BW35" s="10">
        <f>IFERROR(ROUND(AVERAGE($AM$35,$AN$35,$AO$35,$AP$35),4),"")</f>
        <v>5.5</v>
      </c>
      <c r="BX35" s="10">
        <f>IFERROR(ROUND(AVERAGE(VALUE(LEFT($AW$35,1)),$AX$35,$AY$35),4),"")</f>
        <v>4.6666999999999996</v>
      </c>
      <c r="BY35" s="10">
        <f>IFERROR(ROUND(AVERAGE($BR$35,$BA$35,$BB$35,$BS$35,$BT$35),4),"")</f>
        <v>4.8</v>
      </c>
      <c r="BZ35" s="10" t="str">
        <f>IF(OR($BK$35="Junior",$BK$35="Stagiaire",$BK$35="Alternant"),"Junior",IF(OR($BK$35="Superviseur",$BK$35="Superviseur ",$BK$35="Senior",$BK$35="Senior Manager",$BK$35="Manager"),"Senior-Manager",IF(OR($BK$35="Associe",$BK$35="Associé"),"Associe","Autre")))</f>
        <v>Senior-Manager</v>
      </c>
      <c r="CA35" s="10" t="b">
        <f>AND(NOT(ISNUMBER(SEARCH("Jamais",$B$35))),$BG$35="4. Neutre")</f>
        <v>1</v>
      </c>
      <c r="CB35">
        <f t="shared" si="0"/>
        <v>5</v>
      </c>
    </row>
    <row r="36" spans="1:80" x14ac:dyDescent="0.25">
      <c r="A36" s="41">
        <v>46065.424292256947</v>
      </c>
      <c r="B36" s="9" t="str">
        <v>5. Régulièrement (Plusieurs fois par semaine)</v>
      </c>
      <c r="C36" s="9" t="str">
        <v>Outils grand public (ex: ChatGPT, Gemini )</v>
      </c>
      <c r="D36" s="9">
        <v>0</v>
      </c>
      <c r="E36" s="9">
        <v>0</v>
      </c>
      <c r="F36" s="9" t="str">
        <v>Version entreprise</v>
      </c>
      <c r="G36" s="9">
        <v>0</v>
      </c>
      <c r="H36" s="9">
        <v>0</v>
      </c>
      <c r="I36" s="9">
        <v>0</v>
      </c>
      <c r="J36" s="9">
        <v>0</v>
      </c>
      <c r="K36" s="9">
        <v>0</v>
      </c>
      <c r="L36" s="9">
        <v>0</v>
      </c>
      <c r="M36" s="9" t="str">
        <v>Rédaction (rapports, synthèses, notes, mails), Reformulation ou traduction de documents, Recherche d'informations ou de points techniques</v>
      </c>
      <c r="N36" s="9" t="str">
        <v>De manière VOLONTAIRE (vous avez choisi vous-même)</v>
      </c>
      <c r="O36" s="9" t="str">
        <v>5. Très utile</v>
      </c>
      <c r="P36" s="9" t="str">
        <v>5. Très utile</v>
      </c>
      <c r="Q36" s="9" t="str">
        <v>5. Très utile</v>
      </c>
      <c r="R36" s="9" t="str">
        <v>3. Neutre</v>
      </c>
      <c r="S36" s="9" t="str">
        <v>3. Neutre</v>
      </c>
      <c r="T36" s="9" t="str">
        <v>3. Neutre</v>
      </c>
      <c r="U36" s="9" t="str">
        <v>1. Pas du tout utile</v>
      </c>
      <c r="V36" s="9" t="str">
        <v>1. Pas du tout utile</v>
      </c>
      <c r="W36" s="9" t="str">
        <v>1. Pas du tout utile</v>
      </c>
      <c r="X36" s="9" t="str">
        <v>4. Utile</v>
      </c>
      <c r="Y36" s="9" t="str">
        <v>5. Très utile</v>
      </c>
      <c r="Z36" s="9" t="str">
        <v>5. Très utile</v>
      </c>
      <c r="AA36" s="9" t="str">
        <v>5. Très utile</v>
      </c>
      <c r="AB36" s="9" t="str">
        <v>4. Utile</v>
      </c>
      <c r="AC36" s="9" t="str">
        <v>3. Neutre</v>
      </c>
      <c r="AD36" s="9" t="str">
        <v>3. Neutre</v>
      </c>
      <c r="AE36" s="9" t="str">
        <v>3. Neutre</v>
      </c>
      <c r="AF36" s="9" t="str">
        <v>3. Neutre</v>
      </c>
      <c r="AG36" s="9" t="str">
        <v>4. Utile</v>
      </c>
      <c r="AH36" s="9" t="str">
        <v>3. Neutre</v>
      </c>
      <c r="AI36" s="9">
        <v>6</v>
      </c>
      <c r="AJ36" s="9" t="str">
        <v>6. Facile (Maîtrise rapide)</v>
      </c>
      <c r="AK36" s="9" t="str">
        <v>6. D'accord (S'intègre facilement)</v>
      </c>
      <c r="AL36" s="9">
        <v>6</v>
      </c>
      <c r="AM36" s="9">
        <v>7</v>
      </c>
      <c r="AN36" s="9">
        <v>7</v>
      </c>
      <c r="AO36" s="9">
        <v>7</v>
      </c>
      <c r="AP36" s="9">
        <v>7</v>
      </c>
      <c r="AQ36" s="9" t="str">
        <v>5. Très important</v>
      </c>
      <c r="AR36" s="9" t="str">
        <v>5. Très important</v>
      </c>
      <c r="AS36" s="9" t="str">
        <v>5. Très important</v>
      </c>
      <c r="AT36" s="9" t="str">
        <v>5. Très important</v>
      </c>
      <c r="AU36" s="9">
        <v>6</v>
      </c>
      <c r="AV36" s="9">
        <v>7</v>
      </c>
      <c r="AW36" s="9" t="str">
        <v>6. Approfondie (Parcours certifiant ou auto-formation technique longue)</v>
      </c>
      <c r="AX36" s="9">
        <v>6</v>
      </c>
      <c r="AY36" s="9">
        <v>2</v>
      </c>
      <c r="AZ36" s="9" t="str">
        <v>5. Plutôt d'accord (Je vérifie uniquement les points clés)</v>
      </c>
      <c r="BA36" s="9">
        <v>6</v>
      </c>
      <c r="BB36" s="9">
        <v>4</v>
      </c>
      <c r="BC36" s="9">
        <v>5</v>
      </c>
      <c r="BD36" s="9">
        <v>6</v>
      </c>
      <c r="BE36" s="9" t="str">
        <v>Non</v>
      </c>
      <c r="BF36" s="9">
        <v>5</v>
      </c>
      <c r="BG36" s="9" t="str">
        <v>4. Neutre</v>
      </c>
      <c r="BH36" s="9">
        <v>5</v>
      </c>
      <c r="BI36" s="9" t="str">
        <v>26-35</v>
      </c>
      <c r="BJ36" s="9" t="str">
        <v>Homme</v>
      </c>
      <c r="BK36" s="9" t="str">
        <v>Associé</v>
      </c>
      <c r="BL36" s="9" t="str">
        <v>6  - 7 ans</v>
      </c>
      <c r="BM36" s="9" t="str">
        <v>Audit Financier</v>
      </c>
      <c r="BN36" s="9" t="str">
        <v>Cabinet local</v>
      </c>
      <c r="BO36" s="9">
        <v>0</v>
      </c>
      <c r="BP36" s="9">
        <f>IF(ISNUMBER($AI$36),ROUND((((($AI$36-1)*(4/6))+1)),4),"")</f>
        <v>4.3333000000000004</v>
      </c>
      <c r="BQ36" s="9">
        <f>IF(ISNUMBER($AL$36),8-$AL$36,"")</f>
        <v>2</v>
      </c>
      <c r="BR36" s="9">
        <f>IFERROR(8-VALUE(LEFT($AZ$36,1)),"")</f>
        <v>3</v>
      </c>
      <c r="BS36" s="9">
        <f>IF(ISNUMBER($BC$36),8-$BC$36,"")</f>
        <v>3</v>
      </c>
      <c r="BT36" s="9">
        <f>IF(ISNUMBER($BD$36),8-$BD$36,"")</f>
        <v>2</v>
      </c>
      <c r="BU36" s="9">
        <f>IFERROR(ROUND(AVERAGE(VALUE(LEFT($O$36,1)),VALUE(LEFT($P$36,1)),VALUE(LEFT($Q$36,1)),VALUE(LEFT($R$36,1)),VALUE(LEFT($S$36,1)),VALUE(LEFT($T$36,1)),VALUE(LEFT($U$36,1)),VALUE(LEFT($V$36,1)),VALUE(LEFT($W$36,1)),VALUE(LEFT($X$36,1)),VALUE(LEFT($Y$36,1)),VALUE(LEFT($Z$36,1)),VALUE(LEFT($AA$36,1)),VALUE(LEFT($AB$36,1)),VALUE(LEFT($AC$36,1)),VALUE(LEFT($AD$36,1)),VALUE(LEFT($AE$36,1)),VALUE(LEFT($AF$36,1)),VALUE(LEFT($AG$36,1)),VALUE(LEFT($AH$36,1)),$BP$36),4),"")</f>
        <v>3.4921000000000002</v>
      </c>
      <c r="BV36" s="9">
        <f>IFERROR(ROUND(AVERAGE(VALUE(LEFT($AJ$36,1)),VALUE(LEFT($AK$36,1)),$BQ$36),4),"")</f>
        <v>4.6666999999999996</v>
      </c>
      <c r="BW36" s="9">
        <f>IFERROR(ROUND(AVERAGE($AM$36,$AN$36,$AO$36,$AP$36),4),"")</f>
        <v>7</v>
      </c>
      <c r="BX36" s="9">
        <f>IFERROR(ROUND(AVERAGE(VALUE(LEFT($AW$36,1)),$AX$36,$AY$36),4),"")</f>
        <v>4.6666999999999996</v>
      </c>
      <c r="BY36" s="9">
        <f>IFERROR(ROUND(AVERAGE($BR$36,$BA$36,$BB$36,$BS$36,$BT$36),4),"")</f>
        <v>3.6</v>
      </c>
      <c r="BZ36" s="9" t="str">
        <f>IF(OR($BK$36="Junior",$BK$36="Stagiaire",$BK$36="Alternant"),"Junior",IF(OR($BK$36="Superviseur",$BK$36="Superviseur ",$BK$36="Senior",$BK$36="Senior Manager",$BK$36="Manager"),"Senior-Manager",IF(OR($BK$36="Associe",$BK$36="Associé"),"Associe","Autre")))</f>
        <v>Associe</v>
      </c>
      <c r="CA36" s="9" t="b">
        <f>AND(NOT(ISNUMBER(SEARCH("Jamais",$B$36))),$BG$36="4. Neutre")</f>
        <v>1</v>
      </c>
      <c r="CB36">
        <f t="shared" si="0"/>
        <v>5</v>
      </c>
    </row>
    <row r="37" spans="1:80" x14ac:dyDescent="0.25">
      <c r="A37" s="42">
        <v>46065.432047314818</v>
      </c>
      <c r="B37" s="10" t="str">
        <v>4. Parfois (Environ une fois par semaine)</v>
      </c>
      <c r="C37" s="10" t="str">
        <v>Usage mix des deux</v>
      </c>
      <c r="D37" s="10" t="str">
        <v>Version grand public</v>
      </c>
      <c r="E37" s="10" t="str">
        <v>Version grand public</v>
      </c>
      <c r="F37" s="10" t="str">
        <v>Version grand public</v>
      </c>
      <c r="G37" s="10">
        <v>0</v>
      </c>
      <c r="H37" s="10">
        <v>0</v>
      </c>
      <c r="I37" s="10">
        <v>0</v>
      </c>
      <c r="J37" s="10" t="str">
        <v>Version grand public</v>
      </c>
      <c r="K37" s="10">
        <v>0</v>
      </c>
      <c r="L37" s="10">
        <v>0</v>
      </c>
      <c r="M37" s="10" t="str">
        <v>Préparation de données (format, structuration, harmonisation des valeurs), Détection de la fraude, Reformulation ou traduction de documents, Analyse de données et génération d'insights, Rédaction (rapports, synthèses, notes, mails), Correction et mise en cohérence de documents, Recherche d'informations ou de points techniques, Aide à la décision</v>
      </c>
      <c r="N37" s="10" t="str">
        <v>De manière VOLONTAIRE (vous avez choisi vous-même)</v>
      </c>
      <c r="O37" s="10" t="str">
        <v>4. Utile</v>
      </c>
      <c r="P37" s="10" t="str">
        <v>5. Très utile</v>
      </c>
      <c r="Q37" s="10" t="str">
        <v>5. Très utile</v>
      </c>
      <c r="R37" s="10" t="str">
        <v>4. Utile</v>
      </c>
      <c r="S37" s="10" t="str">
        <v>3. Neutre</v>
      </c>
      <c r="T37" s="10" t="str">
        <v>4. Utile</v>
      </c>
      <c r="U37" s="10" t="str">
        <v>3. Neutre</v>
      </c>
      <c r="V37" s="10" t="str">
        <v>3. Neutre</v>
      </c>
      <c r="W37" s="10" t="str">
        <v>4. Utile</v>
      </c>
      <c r="X37" s="10" t="str">
        <v>3. Neutre</v>
      </c>
      <c r="Y37" s="10" t="str">
        <v>4. Utile</v>
      </c>
      <c r="Z37" s="10" t="str">
        <v>5. Très utile</v>
      </c>
      <c r="AA37" s="10" t="str">
        <v>5. Très utile</v>
      </c>
      <c r="AB37" s="10" t="str">
        <v>5. Très utile</v>
      </c>
      <c r="AC37" s="10" t="str">
        <v>3. Neutre</v>
      </c>
      <c r="AD37" s="10" t="str">
        <v>4. Utile</v>
      </c>
      <c r="AE37" s="10" t="str">
        <v>4. Utile</v>
      </c>
      <c r="AF37" s="10" t="str">
        <v>3. Neutre</v>
      </c>
      <c r="AG37" s="10" t="str">
        <v>3. Neutre</v>
      </c>
      <c r="AH37" s="10" t="str">
        <v>4. Utile</v>
      </c>
      <c r="AI37" s="10">
        <v>6</v>
      </c>
      <c r="AJ37" s="10" t="str">
        <v>5. Plutôt facile (Assez intuitif)</v>
      </c>
      <c r="AK37" s="10" t="str">
        <v>5. Plutôt d'accord (S'intègre assez bien)</v>
      </c>
      <c r="AL37" s="10">
        <v>5</v>
      </c>
      <c r="AM37" s="10">
        <v>7</v>
      </c>
      <c r="AN37" s="10">
        <v>7</v>
      </c>
      <c r="AO37" s="10">
        <v>7</v>
      </c>
      <c r="AP37" s="10">
        <v>7</v>
      </c>
      <c r="AQ37" s="10" t="str">
        <v>4. Important</v>
      </c>
      <c r="AR37" s="10" t="str">
        <v>5. Très important</v>
      </c>
      <c r="AS37" s="10" t="str">
        <v>4. Important</v>
      </c>
      <c r="AT37" s="10" t="str">
        <v>4. Important</v>
      </c>
      <c r="AU37" s="10">
        <v>5</v>
      </c>
      <c r="AV37" s="10">
        <v>7</v>
      </c>
      <c r="AW37" s="10" t="str">
        <v>3. Faible (Moins de 5 heures de formation au total)</v>
      </c>
      <c r="AX37" s="10">
        <v>5</v>
      </c>
      <c r="AY37" s="10">
        <v>6</v>
      </c>
      <c r="AZ37" s="10" t="str">
        <v>2. En désaccord (Je contrôle la quasi-totalité des éléments)</v>
      </c>
      <c r="BA37" s="10">
        <v>6</v>
      </c>
      <c r="BB37" s="10">
        <v>6</v>
      </c>
      <c r="BC37" s="10">
        <v>4</v>
      </c>
      <c r="BD37" s="10">
        <v>4</v>
      </c>
      <c r="BE37" s="10" t="str">
        <v>Oui</v>
      </c>
      <c r="BF37" s="10">
        <v>7</v>
      </c>
      <c r="BG37" s="10" t="str">
        <v>4. Neutre</v>
      </c>
      <c r="BH37" s="10">
        <v>6</v>
      </c>
      <c r="BI37" s="10" t="str">
        <v>36-45</v>
      </c>
      <c r="BJ37" s="10" t="str">
        <v>Homme</v>
      </c>
      <c r="BK37" s="10" t="str">
        <v>Manager</v>
      </c>
      <c r="BL37" s="10" t="str">
        <v>Plus de 10 ans</v>
      </c>
      <c r="BM37" s="10" t="str">
        <v>Audit Financier, Audit Interne</v>
      </c>
      <c r="BN37" s="10" t="str">
        <v>Cabinet local</v>
      </c>
      <c r="BO37" s="10">
        <v>0</v>
      </c>
      <c r="BP37" s="10">
        <f>IF(ISNUMBER($AI$37),ROUND((((($AI$37-1)*(4/6))+1)),4),"")</f>
        <v>4.3333000000000004</v>
      </c>
      <c r="BQ37" s="10">
        <f>IF(ISNUMBER($AL$37),8-$AL$37,"")</f>
        <v>3</v>
      </c>
      <c r="BR37" s="10">
        <f>IFERROR(8-VALUE(LEFT($AZ$37,1)),"")</f>
        <v>6</v>
      </c>
      <c r="BS37" s="10">
        <f>IF(ISNUMBER($BC$37),8-$BC$37,"")</f>
        <v>4</v>
      </c>
      <c r="BT37" s="10">
        <f>IF(ISNUMBER($BD$37),8-$BD$37,"")</f>
        <v>4</v>
      </c>
      <c r="BU37" s="10">
        <f>IFERROR(ROUND(AVERAGE(VALUE(LEFT($O$37,1)),VALUE(LEFT($P$37,1)),VALUE(LEFT($Q$37,1)),VALUE(LEFT($R$37,1)),VALUE(LEFT($S$37,1)),VALUE(LEFT($T$37,1)),VALUE(LEFT($U$37,1)),VALUE(LEFT($V$37,1)),VALUE(LEFT($W$37,1)),VALUE(LEFT($X$37,1)),VALUE(LEFT($Y$37,1)),VALUE(LEFT($Z$37,1)),VALUE(LEFT($AA$37,1)),VALUE(LEFT($AB$37,1)),VALUE(LEFT($AC$37,1)),VALUE(LEFT($AD$37,1)),VALUE(LEFT($AE$37,1)),VALUE(LEFT($AF$37,1)),VALUE(LEFT($AG$37,1)),VALUE(LEFT($AH$37,1)),$BP$37),4),"")</f>
        <v>3.9205999999999999</v>
      </c>
      <c r="BV37" s="10">
        <f>IFERROR(ROUND(AVERAGE(VALUE(LEFT($AJ$37,1)),VALUE(LEFT($AK$37,1)),$BQ$37),4),"")</f>
        <v>4.3333000000000004</v>
      </c>
      <c r="BW37" s="10">
        <f>IFERROR(ROUND(AVERAGE($AM$37,$AN$37,$AO$37,$AP$37),4),"")</f>
        <v>7</v>
      </c>
      <c r="BX37" s="10">
        <f>IFERROR(ROUND(AVERAGE(VALUE(LEFT($AW$37,1)),$AX$37,$AY$37),4),"")</f>
        <v>4.6666999999999996</v>
      </c>
      <c r="BY37" s="10">
        <f>IFERROR(ROUND(AVERAGE($BR$37,$BA$37,$BB$37,$BS$37,$BT$37),4),"")</f>
        <v>5.2</v>
      </c>
      <c r="BZ37" s="10" t="str">
        <f>IF(OR($BK$37="Junior",$BK$37="Stagiaire",$BK$37="Alternant"),"Junior",IF(OR($BK$37="Superviseur",$BK$37="Superviseur ",$BK$37="Senior",$BK$37="Senior Manager",$BK$37="Manager"),"Senior-Manager",IF(OR($BK$37="Associe",$BK$37="Associé"),"Associe","Autre")))</f>
        <v>Senior-Manager</v>
      </c>
      <c r="CA37" s="10" t="b">
        <f>AND(NOT(ISNUMBER(SEARCH("Jamais",$B$37))),$BG$37="4. Neutre")</f>
        <v>1</v>
      </c>
      <c r="CB37">
        <f t="shared" si="0"/>
        <v>4</v>
      </c>
    </row>
    <row r="38" spans="1:80" x14ac:dyDescent="0.25">
      <c r="A38" s="41">
        <v>46065.459353194441</v>
      </c>
      <c r="B38" s="9" t="str">
        <v>5. Régulièrement (Plusieurs fois par semaine)</v>
      </c>
      <c r="C38" s="9" t="str">
        <v>Usage mix des deux</v>
      </c>
      <c r="D38" s="9" t="str">
        <v>Version grand public</v>
      </c>
      <c r="E38" s="9" t="str">
        <v>Version entreprise</v>
      </c>
      <c r="F38" s="9" t="str">
        <v>Version entreprise</v>
      </c>
      <c r="G38" s="9" t="str">
        <v>Version grand public</v>
      </c>
      <c r="H38" s="9" t="str">
        <v>Version entreprise</v>
      </c>
      <c r="I38" s="9" t="str">
        <v>Version grand public</v>
      </c>
      <c r="J38" s="9">
        <v>0</v>
      </c>
      <c r="K38" s="9">
        <v>0</v>
      </c>
      <c r="L38" s="9">
        <v>0</v>
      </c>
      <c r="M38" s="9" t="str">
        <v>Reformulation ou traduction de documents, Rédaction (rapports, synthèses, notes, mails), Analyse de données et génération d'insights, Recherche d'informations ou de points techniques, Rapprochement/Comparaison de documents, Correction et mise en cohérence de documents, Aide à la décision</v>
      </c>
      <c r="N38" s="9" t="str">
        <v>De manière VOLONTAIRE (vous avez choisi vous-même)</v>
      </c>
      <c r="O38" s="9" t="str">
        <v>4. Utile</v>
      </c>
      <c r="P38" s="9" t="str">
        <v>5. Très utile</v>
      </c>
      <c r="Q38" s="9" t="str">
        <v>5. Très utile</v>
      </c>
      <c r="R38" s="9" t="str">
        <v>4. Utile</v>
      </c>
      <c r="S38" s="9" t="str">
        <v>3. Neutre</v>
      </c>
      <c r="T38" s="9" t="str">
        <v>4. Utile</v>
      </c>
      <c r="U38" s="9" t="str">
        <v>4. Utile</v>
      </c>
      <c r="V38" s="9" t="str">
        <v>3. Neutre</v>
      </c>
      <c r="W38" s="9" t="str">
        <v>4. Utile</v>
      </c>
      <c r="X38" s="9" t="str">
        <v>5. Très utile</v>
      </c>
      <c r="Y38" s="9" t="str">
        <v>5. Très utile</v>
      </c>
      <c r="Z38" s="9" t="str">
        <v>5. Très utile</v>
      </c>
      <c r="AA38" s="9" t="str">
        <v>5. Très utile</v>
      </c>
      <c r="AB38" s="9" t="str">
        <v>4. Utile</v>
      </c>
      <c r="AC38" s="9" t="str">
        <v>3. Neutre</v>
      </c>
      <c r="AD38" s="9" t="str">
        <v>3. Neutre</v>
      </c>
      <c r="AE38" s="9" t="str">
        <v>3. Neutre</v>
      </c>
      <c r="AF38" s="9" t="str">
        <v>2. Peu utile</v>
      </c>
      <c r="AG38" s="9" t="str">
        <v>4. Utile</v>
      </c>
      <c r="AH38" s="9" t="str">
        <v>4. Utile</v>
      </c>
      <c r="AI38" s="9">
        <v>5</v>
      </c>
      <c r="AJ38" s="9" t="str">
        <v>3. Plutôt difficile (Peu intuitif)</v>
      </c>
      <c r="AK38" s="9" t="str">
        <v>6. D'accord (S'intègre facilement)</v>
      </c>
      <c r="AL38" s="9">
        <v>6</v>
      </c>
      <c r="AM38" s="9">
        <v>6</v>
      </c>
      <c r="AN38" s="9">
        <v>7</v>
      </c>
      <c r="AO38" s="9">
        <v>5</v>
      </c>
      <c r="AP38" s="9">
        <v>4</v>
      </c>
      <c r="AQ38" s="9" t="str">
        <v>4. Important</v>
      </c>
      <c r="AR38" s="9" t="str">
        <v>5. Très important</v>
      </c>
      <c r="AS38" s="9" t="str">
        <v>3. Moyennement important</v>
      </c>
      <c r="AT38" s="9" t="str">
        <v>3. Moyennement important</v>
      </c>
      <c r="AU38" s="9">
        <v>3</v>
      </c>
      <c r="AV38" s="9">
        <v>7</v>
      </c>
      <c r="AW38" s="9" t="str">
        <v>5. Solide (Plusieurs jours de formation ou modules suivis)</v>
      </c>
      <c r="AX38" s="9">
        <v>5</v>
      </c>
      <c r="AY38" s="9">
        <v>6</v>
      </c>
      <c r="AZ38" s="9" t="str">
        <v>2. En désaccord (Je contrôle la quasi-totalité des éléments)</v>
      </c>
      <c r="BA38" s="9">
        <v>5</v>
      </c>
      <c r="BB38" s="9">
        <v>5</v>
      </c>
      <c r="BC38" s="9">
        <v>5</v>
      </c>
      <c r="BD38" s="9">
        <v>2</v>
      </c>
      <c r="BE38" s="9" t="str">
        <v>Oui</v>
      </c>
      <c r="BF38" s="9">
        <v>7</v>
      </c>
      <c r="BG38" s="9" t="str">
        <v>4. Neutre</v>
      </c>
      <c r="BH38" s="9">
        <v>6</v>
      </c>
      <c r="BI38" s="9" t="str">
        <v>46-55</v>
      </c>
      <c r="BJ38" s="9" t="str">
        <v>Homme</v>
      </c>
      <c r="BK38" s="9" t="str">
        <v>Associé</v>
      </c>
      <c r="BL38" s="9" t="str">
        <v>Plus de 10 ans</v>
      </c>
      <c r="BM38" s="9" t="str">
        <v>Audit Financier</v>
      </c>
      <c r="BN38" s="9" t="str">
        <v>Cabinet régional</v>
      </c>
      <c r="BO38" s="9">
        <v>0</v>
      </c>
      <c r="BP38" s="9">
        <f>IF(ISNUMBER($AI$38),ROUND((((($AI$38-1)*(4/6))+1)),4),"")</f>
        <v>3.6667000000000001</v>
      </c>
      <c r="BQ38" s="9">
        <f>IF(ISNUMBER($AL$38),8-$AL$38,"")</f>
        <v>2</v>
      </c>
      <c r="BR38" s="9">
        <f>IFERROR(8-VALUE(LEFT($AZ$38,1)),"")</f>
        <v>6</v>
      </c>
      <c r="BS38" s="9">
        <f>IF(ISNUMBER($BC$38),8-$BC$38,"")</f>
        <v>3</v>
      </c>
      <c r="BT38" s="9">
        <f>IF(ISNUMBER($BD$38),8-$BD$38,"")</f>
        <v>6</v>
      </c>
      <c r="BU38" s="9">
        <f>IFERROR(ROUND(AVERAGE(VALUE(LEFT($O$38,1)),VALUE(LEFT($P$38,1)),VALUE(LEFT($Q$38,1)),VALUE(LEFT($R$38,1)),VALUE(LEFT($S$38,1)),VALUE(LEFT($T$38,1)),VALUE(LEFT($U$38,1)),VALUE(LEFT($V$38,1)),VALUE(LEFT($W$38,1)),VALUE(LEFT($X$38,1)),VALUE(LEFT($Y$38,1)),VALUE(LEFT($Z$38,1)),VALUE(LEFT($AA$38,1)),VALUE(LEFT($AB$38,1)),VALUE(LEFT($AC$38,1)),VALUE(LEFT($AD$38,1)),VALUE(LEFT($AE$38,1)),VALUE(LEFT($AF$38,1)),VALUE(LEFT($AG$38,1)),VALUE(LEFT($AH$38,1)),$BP$38),4),"")</f>
        <v>3.9365000000000001</v>
      </c>
      <c r="BV38" s="9">
        <f>IFERROR(ROUND(AVERAGE(VALUE(LEFT($AJ$38,1)),VALUE(LEFT($AK$38,1)),$BQ$38),4),"")</f>
        <v>3.6667000000000001</v>
      </c>
      <c r="BW38" s="9">
        <f>IFERROR(ROUND(AVERAGE($AM$38,$AN$38,$AO$38,$AP$38),4),"")</f>
        <v>5.5</v>
      </c>
      <c r="BX38" s="9">
        <f>IFERROR(ROUND(AVERAGE(VALUE(LEFT($AW$38,1)),$AX$38,$AY$38),4),"")</f>
        <v>5.3333000000000004</v>
      </c>
      <c r="BY38" s="9">
        <f>IFERROR(ROUND(AVERAGE($BR$38,$BA$38,$BB$38,$BS$38,$BT$38),4),"")</f>
        <v>5</v>
      </c>
      <c r="BZ38" s="9" t="str">
        <f>IF(OR($BK$38="Junior",$BK$38="Stagiaire",$BK$38="Alternant"),"Junior",IF(OR($BK$38="Superviseur",$BK$38="Superviseur ",$BK$38="Senior",$BK$38="Senior Manager",$BK$38="Manager"),"Senior-Manager",IF(OR($BK$38="Associe",$BK$38="Associé"),"Associe","Autre")))</f>
        <v>Associe</v>
      </c>
      <c r="CA38" s="9" t="b">
        <f>AND(NOT(ISNUMBER(SEARCH("Jamais",$B$38))),$BG$38="4. Neutre")</f>
        <v>1</v>
      </c>
      <c r="CB38">
        <f t="shared" si="0"/>
        <v>5</v>
      </c>
    </row>
    <row r="39" spans="1:80" x14ac:dyDescent="0.25">
      <c r="A39" s="42">
        <v>46065.460523078713</v>
      </c>
      <c r="B39" s="10" t="str">
        <v>6. Quotidiennement (Une fois par jour)</v>
      </c>
      <c r="C39" s="10" t="str">
        <v>Usage mix des deux</v>
      </c>
      <c r="D39" s="10" t="str">
        <v>Version grand public</v>
      </c>
      <c r="E39" s="10" t="str">
        <v>Version entreprise</v>
      </c>
      <c r="F39" s="10" t="str">
        <v>Version entreprise</v>
      </c>
      <c r="G39" s="10" t="str">
        <v>Version grand public</v>
      </c>
      <c r="H39" s="10" t="str">
        <v>Version entreprise</v>
      </c>
      <c r="I39" s="10">
        <v>0</v>
      </c>
      <c r="J39" s="10">
        <v>0</v>
      </c>
      <c r="K39" s="10">
        <v>0</v>
      </c>
      <c r="L39" s="10">
        <v>0</v>
      </c>
      <c r="M39" s="10" t="str">
        <v>Automatisation et création de scripts (SQL, VBA), Aide à la décision, Rédaction (rapports, synthèses, notes, mails), Recherche d'informations ou de points techniques, Analyse de données et génération d'insights, Reformulation ou traduction de documents</v>
      </c>
      <c r="N39" s="10" t="str">
        <v>De manière RECOMMANDÉE (cabinet encourage, mais facultatif)</v>
      </c>
      <c r="O39" s="10" t="str">
        <v>3. Neutre</v>
      </c>
      <c r="P39" s="10" t="str">
        <v>4. Utile</v>
      </c>
      <c r="Q39" s="10" t="str">
        <v>5. Très utile</v>
      </c>
      <c r="R39" s="10" t="str">
        <v>5. Très utile</v>
      </c>
      <c r="S39" s="10" t="str">
        <v>5. Très utile</v>
      </c>
      <c r="T39" s="10" t="str">
        <v>3. Neutre</v>
      </c>
      <c r="U39" s="10" t="str">
        <v>3. Neutre</v>
      </c>
      <c r="V39" s="10" t="str">
        <v>3. Neutre</v>
      </c>
      <c r="W39" s="10" t="str">
        <v>4. Utile</v>
      </c>
      <c r="X39" s="10" t="str">
        <v>5. Très utile</v>
      </c>
      <c r="Y39" s="10" t="str">
        <v>4. Utile</v>
      </c>
      <c r="Z39" s="10" t="str">
        <v>4. Utile</v>
      </c>
      <c r="AA39" s="10" t="str">
        <v>5. Très utile</v>
      </c>
      <c r="AB39" s="10" t="str">
        <v>5. Très utile</v>
      </c>
      <c r="AC39" s="10" t="str">
        <v>5. Très utile</v>
      </c>
      <c r="AD39" s="10" t="str">
        <v>3. Neutre</v>
      </c>
      <c r="AE39" s="10" t="str">
        <v>3. Neutre</v>
      </c>
      <c r="AF39" s="10" t="str">
        <v>3. Neutre</v>
      </c>
      <c r="AG39" s="10" t="str">
        <v>4. Utile</v>
      </c>
      <c r="AH39" s="10" t="str">
        <v>5. Très utile</v>
      </c>
      <c r="AI39" s="10">
        <v>7</v>
      </c>
      <c r="AJ39" s="10" t="str">
        <v>6. Facile (Maîtrise rapide)</v>
      </c>
      <c r="AK39" s="10" t="str">
        <v>6. D'accord (S'intègre facilement)</v>
      </c>
      <c r="AL39" s="10">
        <v>7</v>
      </c>
      <c r="AM39" s="10">
        <v>7</v>
      </c>
      <c r="AN39" s="10">
        <v>7</v>
      </c>
      <c r="AO39" s="10">
        <v>7</v>
      </c>
      <c r="AP39" s="10">
        <v>5</v>
      </c>
      <c r="AQ39" s="10" t="str">
        <v>5. Très important</v>
      </c>
      <c r="AR39" s="10" t="str">
        <v>4. Important</v>
      </c>
      <c r="AS39" s="10" t="str">
        <v>4. Important</v>
      </c>
      <c r="AT39" s="10" t="str">
        <v>5. Très important</v>
      </c>
      <c r="AU39" s="10">
        <v>6</v>
      </c>
      <c r="AV39" s="10">
        <v>7</v>
      </c>
      <c r="AW39" s="10" t="str">
        <v>7. Experte (Maîtrise totale / Capacité à former les autres)</v>
      </c>
      <c r="AX39" s="10">
        <v>6</v>
      </c>
      <c r="AY39" s="10">
        <v>6</v>
      </c>
      <c r="AZ39" s="10" t="str">
        <v>4. Neutre (Le niveau de vérification dépend de la complexité)</v>
      </c>
      <c r="BA39" s="10">
        <v>5</v>
      </c>
      <c r="BB39" s="10">
        <v>6</v>
      </c>
      <c r="BC39" s="10">
        <v>6</v>
      </c>
      <c r="BD39" s="10">
        <v>4</v>
      </c>
      <c r="BE39" s="10" t="str">
        <v>Oui</v>
      </c>
      <c r="BF39" s="10">
        <v>7</v>
      </c>
      <c r="BG39" s="10" t="str">
        <v>4. Neutre</v>
      </c>
      <c r="BH39" s="10">
        <v>6</v>
      </c>
      <c r="BI39" s="10" t="str">
        <v>56-65</v>
      </c>
      <c r="BJ39" s="10" t="str">
        <v>Homme</v>
      </c>
      <c r="BK39" s="10" t="str">
        <v>Associé</v>
      </c>
      <c r="BL39" s="10" t="str">
        <v>Plus de 10 ans</v>
      </c>
      <c r="BM39" s="10" t="str">
        <v>Audit Financier, Audit Interne</v>
      </c>
      <c r="BN39" s="10" t="str">
        <v>Cabinet régional</v>
      </c>
      <c r="BO39" s="10">
        <v>0</v>
      </c>
      <c r="BP39" s="10">
        <f>IF(ISNUMBER($AI$39),ROUND((((($AI$39-1)*(4/6))+1)),4),"")</f>
        <v>5</v>
      </c>
      <c r="BQ39" s="10">
        <f>IF(ISNUMBER($AL$39),8-$AL$39,"")</f>
        <v>1</v>
      </c>
      <c r="BR39" s="10">
        <f>IFERROR(8-VALUE(LEFT($AZ$39,1)),"")</f>
        <v>4</v>
      </c>
      <c r="BS39" s="10">
        <f>IF(ISNUMBER($BC$39),8-$BC$39,"")</f>
        <v>2</v>
      </c>
      <c r="BT39" s="10">
        <f>IF(ISNUMBER($BD$39),8-$BD$39,"")</f>
        <v>4</v>
      </c>
      <c r="BU39" s="10">
        <f>IFERROR(ROUND(AVERAGE(VALUE(LEFT($O$39,1)),VALUE(LEFT($P$39,1)),VALUE(LEFT($Q$39,1)),VALUE(LEFT($R$39,1)),VALUE(LEFT($S$39,1)),VALUE(LEFT($T$39,1)),VALUE(LEFT($U$39,1)),VALUE(LEFT($V$39,1)),VALUE(LEFT($W$39,1)),VALUE(LEFT($X$39,1)),VALUE(LEFT($Y$39,1)),VALUE(LEFT($Z$39,1)),VALUE(LEFT($AA$39,1)),VALUE(LEFT($AB$39,1)),VALUE(LEFT($AC$39,1)),VALUE(LEFT($AD$39,1)),VALUE(LEFT($AE$39,1)),VALUE(LEFT($AF$39,1)),VALUE(LEFT($AG$39,1)),VALUE(LEFT($AH$39,1)),$BP$39),4),"")</f>
        <v>4.0952000000000002</v>
      </c>
      <c r="BV39" s="10">
        <f>IFERROR(ROUND(AVERAGE(VALUE(LEFT($AJ$39,1)),VALUE(LEFT($AK$39,1)),$BQ$39),4),"")</f>
        <v>4.3333000000000004</v>
      </c>
      <c r="BW39" s="10">
        <f>IFERROR(ROUND(AVERAGE($AM$39,$AN$39,$AO$39,$AP$39),4),"")</f>
        <v>6.5</v>
      </c>
      <c r="BX39" s="10">
        <f>IFERROR(ROUND(AVERAGE(VALUE(LEFT($AW$39,1)),$AX$39,$AY$39),4),"")</f>
        <v>6.3333000000000004</v>
      </c>
      <c r="BY39" s="10">
        <f>IFERROR(ROUND(AVERAGE($BR$39,$BA$39,$BB$39,$BS$39,$BT$39),4),"")</f>
        <v>4.2</v>
      </c>
      <c r="BZ39" s="10" t="str">
        <f>IF(OR($BK$39="Junior",$BK$39="Stagiaire",$BK$39="Alternant"),"Junior",IF(OR($BK$39="Superviseur",$BK$39="Superviseur ",$BK$39="Senior",$BK$39="Senior Manager",$BK$39="Manager"),"Senior-Manager",IF(OR($BK$39="Associe",$BK$39="Associé"),"Associe","Autre")))</f>
        <v>Associe</v>
      </c>
      <c r="CA39" s="10" t="b">
        <f>AND(NOT(ISNUMBER(SEARCH("Jamais",$B$39))),$BG$39="4. Neutre")</f>
        <v>1</v>
      </c>
      <c r="CB39">
        <f t="shared" si="0"/>
        <v>6</v>
      </c>
    </row>
    <row r="40" spans="1:80" x14ac:dyDescent="0.25">
      <c r="A40" s="41">
        <v>46065.481855775462</v>
      </c>
      <c r="B40" s="9" t="str">
        <v>4. Parfois (Environ une fois par semaine)</v>
      </c>
      <c r="C40" s="9" t="str">
        <v>Usage mix des deux</v>
      </c>
      <c r="D40" s="9" t="str">
        <v>Version entreprise</v>
      </c>
      <c r="E40" s="9" t="str">
        <v>Version entreprise</v>
      </c>
      <c r="F40" s="9">
        <v>0</v>
      </c>
      <c r="G40" s="9" t="str">
        <v>Version grand public</v>
      </c>
      <c r="H40" s="9" t="str">
        <v>Version grand public</v>
      </c>
      <c r="I40" s="9">
        <v>0</v>
      </c>
      <c r="J40" s="9">
        <v>0</v>
      </c>
      <c r="K40" s="9">
        <v>0</v>
      </c>
      <c r="L40" s="9">
        <v>0</v>
      </c>
      <c r="M40" s="9" t="str">
        <v>Automatisation et création de scripts (SQL, VBA), Analyse de données et génération d'insights, Recherche d'informations ou de points techniques, Reformulation ou traduction de documents</v>
      </c>
      <c r="N40" s="9" t="str">
        <v>De manière VOLONTAIRE (vous avez choisi vous-même)</v>
      </c>
      <c r="O40" s="9" t="str">
        <v>4. Utile</v>
      </c>
      <c r="P40" s="9" t="str">
        <v>4. Utile</v>
      </c>
      <c r="Q40" s="9" t="str">
        <v>3. Neutre</v>
      </c>
      <c r="R40" s="9" t="str">
        <v>4. Utile</v>
      </c>
      <c r="S40" s="9" t="str">
        <v>5. Très utile</v>
      </c>
      <c r="T40" s="9" t="str">
        <v>2. Peu utile</v>
      </c>
      <c r="U40" s="9" t="str">
        <v>2. Peu utile</v>
      </c>
      <c r="V40" s="9" t="str">
        <v>3. Neutre</v>
      </c>
      <c r="W40" s="9" t="str">
        <v>3. Neutre</v>
      </c>
      <c r="X40" s="9" t="str">
        <v>4. Utile</v>
      </c>
      <c r="Y40" s="9" t="str">
        <v>4. Utile</v>
      </c>
      <c r="Z40" s="9" t="str">
        <v>4. Utile</v>
      </c>
      <c r="AA40" s="9" t="str">
        <v>3. Neutre</v>
      </c>
      <c r="AB40" s="9" t="str">
        <v>3. Neutre</v>
      </c>
      <c r="AC40" s="9" t="str">
        <v>5. Très utile</v>
      </c>
      <c r="AD40" s="9" t="str">
        <v>3. Neutre</v>
      </c>
      <c r="AE40" s="9" t="str">
        <v>2. Peu utile</v>
      </c>
      <c r="AF40" s="9" t="str">
        <v>3. Neutre</v>
      </c>
      <c r="AG40" s="9" t="str">
        <v>3. Neutre</v>
      </c>
      <c r="AH40" s="9" t="str">
        <v>4. Utile</v>
      </c>
      <c r="AI40" s="9">
        <v>4</v>
      </c>
      <c r="AJ40" s="9" t="str">
        <v>4. Ni facile, ni difficile (Prise en main normale)</v>
      </c>
      <c r="AK40" s="9" t="str">
        <v>6. D'accord (S'intègre facilement)</v>
      </c>
      <c r="AL40" s="9">
        <v>6</v>
      </c>
      <c r="AM40" s="9">
        <v>6</v>
      </c>
      <c r="AN40" s="9">
        <v>7</v>
      </c>
      <c r="AO40" s="9">
        <v>5</v>
      </c>
      <c r="AP40" s="9">
        <v>5</v>
      </c>
      <c r="AQ40" s="9" t="str">
        <v>2. Peu important</v>
      </c>
      <c r="AR40" s="9" t="str">
        <v>4. Important</v>
      </c>
      <c r="AS40" s="9" t="str">
        <v>3. Moyennement important</v>
      </c>
      <c r="AT40" s="9" t="str">
        <v>2. Peu important</v>
      </c>
      <c r="AU40" s="9">
        <v>3</v>
      </c>
      <c r="AV40" s="9">
        <v>4</v>
      </c>
      <c r="AW40" s="9" t="str">
        <v>5. Solide (Plusieurs jours de formation ou modules suivis)</v>
      </c>
      <c r="AX40" s="9">
        <v>4</v>
      </c>
      <c r="AY40" s="9">
        <v>5</v>
      </c>
      <c r="AZ40" s="9" t="str">
        <v>3. Plutôt en désaccord (Je procède à une revue importante)</v>
      </c>
      <c r="BA40" s="9">
        <v>6</v>
      </c>
      <c r="BB40" s="9">
        <v>6</v>
      </c>
      <c r="BC40" s="9">
        <v>4</v>
      </c>
      <c r="BD40" s="9">
        <v>2</v>
      </c>
      <c r="BE40" s="9" t="str">
        <v>Oui</v>
      </c>
      <c r="BF40" s="9">
        <v>7</v>
      </c>
      <c r="BG40" s="9" t="str">
        <v>4. Neutre</v>
      </c>
      <c r="BH40" s="9">
        <v>6</v>
      </c>
      <c r="BI40" s="9" t="str">
        <v>46-55</v>
      </c>
      <c r="BJ40" s="9" t="str">
        <v>Homme</v>
      </c>
      <c r="BK40" s="9" t="str">
        <v>Associé</v>
      </c>
      <c r="BL40" s="9" t="str">
        <v>Plus de 10 ans</v>
      </c>
      <c r="BM40" s="9" t="str">
        <v>Audit Financier</v>
      </c>
      <c r="BN40" s="9" t="str">
        <v>Cabinet régional</v>
      </c>
      <c r="BO40" s="9" t="str">
        <v>L'IA générative est utile, mais elle a 2 biais : l'hallucination et l'imprécision. En temps qu'auditeur nous avons l'habitude de résultat précis et reproductible. Les  obtenir avec l'IAG est plus difficile. Mais le champ des possibles est énorme</v>
      </c>
      <c r="BP40" s="9">
        <f>IF(ISNUMBER($AI$40),ROUND((((($AI$40-1)*(4/6))+1)),4),"")</f>
        <v>3</v>
      </c>
      <c r="BQ40" s="9">
        <f>IF(ISNUMBER($AL$40),8-$AL$40,"")</f>
        <v>2</v>
      </c>
      <c r="BR40" s="9">
        <f>IFERROR(8-VALUE(LEFT($AZ$40,1)),"")</f>
        <v>5</v>
      </c>
      <c r="BS40" s="9">
        <f>IF(ISNUMBER($BC$40),8-$BC$40,"")</f>
        <v>4</v>
      </c>
      <c r="BT40" s="9">
        <f>IF(ISNUMBER($BD$40),8-$BD$40,"")</f>
        <v>6</v>
      </c>
      <c r="BU40" s="9">
        <f>IFERROR(ROUND(AVERAGE(VALUE(LEFT($O$40,1)),VALUE(LEFT($P$40,1)),VALUE(LEFT($Q$40,1)),VALUE(LEFT($R$40,1)),VALUE(LEFT($S$40,1)),VALUE(LEFT($T$40,1)),VALUE(LEFT($U$40,1)),VALUE(LEFT($V$40,1)),VALUE(LEFT($W$40,1)),VALUE(LEFT($X$40,1)),VALUE(LEFT($Y$40,1)),VALUE(LEFT($Z$40,1)),VALUE(LEFT($AA$40,1)),VALUE(LEFT($AB$40,1)),VALUE(LEFT($AC$40,1)),VALUE(LEFT($AD$40,1)),VALUE(LEFT($AE$40,1)),VALUE(LEFT($AF$40,1)),VALUE(LEFT($AG$40,1)),VALUE(LEFT($AH$40,1)),$BP$40),4),"")</f>
        <v>3.3809999999999998</v>
      </c>
      <c r="BV40" s="9">
        <f>IFERROR(ROUND(AVERAGE(VALUE(LEFT($AJ$40,1)),VALUE(LEFT($AK$40,1)),$BQ$40),4),"")</f>
        <v>4</v>
      </c>
      <c r="BW40" s="9">
        <f>IFERROR(ROUND(AVERAGE($AM$40,$AN$40,$AO$40,$AP$40),4),"")</f>
        <v>5.75</v>
      </c>
      <c r="BX40" s="9">
        <f>IFERROR(ROUND(AVERAGE(VALUE(LEFT($AW$40,1)),$AX$40,$AY$40),4),"")</f>
        <v>4.6666999999999996</v>
      </c>
      <c r="BY40" s="9">
        <f>IFERROR(ROUND(AVERAGE($BR$40,$BA$40,$BB$40,$BS$40,$BT$40),4),"")</f>
        <v>5.4</v>
      </c>
      <c r="BZ40" s="9" t="str">
        <f>IF(OR($BK$40="Junior",$BK$40="Stagiaire",$BK$40="Alternant"),"Junior",IF(OR($BK$40="Superviseur",$BK$40="Superviseur ",$BK$40="Senior",$BK$40="Senior Manager",$BK$40="Manager"),"Senior-Manager",IF(OR($BK$40="Associe",$BK$40="Associé"),"Associe","Autre")))</f>
        <v>Associe</v>
      </c>
      <c r="CA40" s="9" t="b">
        <f>AND(NOT(ISNUMBER(SEARCH("Jamais",$B$40))),$BG$40="4. Neutre")</f>
        <v>1</v>
      </c>
      <c r="CB40">
        <f t="shared" si="0"/>
        <v>4</v>
      </c>
    </row>
    <row r="41" spans="1:80" x14ac:dyDescent="0.25">
      <c r="A41" s="42">
        <v>46065.503549733803</v>
      </c>
      <c r="B41" s="10" t="str">
        <v>5. Régulièrement (Plusieurs fois par semaine)</v>
      </c>
      <c r="C41" s="10" t="str">
        <v>Usage mix des deux</v>
      </c>
      <c r="D41" s="10">
        <v>0</v>
      </c>
      <c r="E41" s="10">
        <v>0</v>
      </c>
      <c r="F41" s="10" t="str">
        <v>Version entreprise</v>
      </c>
      <c r="G41" s="10">
        <v>0</v>
      </c>
      <c r="H41" s="10" t="str">
        <v>Version grand public</v>
      </c>
      <c r="I41" s="10">
        <v>0</v>
      </c>
      <c r="J41" s="10" t="str">
        <v>Version grand public</v>
      </c>
      <c r="K41" s="10">
        <v>0</v>
      </c>
      <c r="L41" s="10">
        <v>0</v>
      </c>
      <c r="M41" s="10" t="str">
        <v>Rédaction (rapports, synthèses, notes, mails), Reformulation ou traduction de documents, Rapprochement/Comparaison de documents, Recherche d'informations ou de points techniques, Automatisation et création de scripts (SQL, VBA)</v>
      </c>
      <c r="N41" s="10" t="str">
        <v>De manière VOLONTAIRE (vous avez choisi vous-même)</v>
      </c>
      <c r="O41" s="10" t="str">
        <v>2. Peu utile</v>
      </c>
      <c r="P41" s="10" t="str">
        <v>2. Peu utile</v>
      </c>
      <c r="Q41" s="10" t="str">
        <v>5. Très utile</v>
      </c>
      <c r="R41" s="10" t="str">
        <v>4. Utile</v>
      </c>
      <c r="S41" s="10" t="str">
        <v>5. Très utile</v>
      </c>
      <c r="T41" s="10" t="str">
        <v>3. Neutre</v>
      </c>
      <c r="U41" s="10" t="str">
        <v>3. Neutre</v>
      </c>
      <c r="V41" s="10" t="str">
        <v>3. Neutre</v>
      </c>
      <c r="W41" s="10" t="str">
        <v>3. Neutre</v>
      </c>
      <c r="X41" s="10" t="str">
        <v>4. Utile</v>
      </c>
      <c r="Y41" s="10" t="str">
        <v>1. Pas du tout utile</v>
      </c>
      <c r="Z41" s="10" t="str">
        <v>1. Pas du tout utile</v>
      </c>
      <c r="AA41" s="10" t="str">
        <v>5. Très utile</v>
      </c>
      <c r="AB41" s="10" t="str">
        <v>5. Très utile</v>
      </c>
      <c r="AC41" s="10" t="str">
        <v>5. Très utile</v>
      </c>
      <c r="AD41" s="10" t="str">
        <v>1. Pas du tout utile</v>
      </c>
      <c r="AE41" s="10" t="str">
        <v>1. Pas du tout utile</v>
      </c>
      <c r="AF41" s="10" t="str">
        <v>1. Pas du tout utile</v>
      </c>
      <c r="AG41" s="10" t="str">
        <v>1. Pas du tout utile</v>
      </c>
      <c r="AH41" s="10" t="str">
        <v>3. Neutre</v>
      </c>
      <c r="AI41" s="10">
        <v>5</v>
      </c>
      <c r="AJ41" s="10" t="str">
        <v>5. Plutôt facile (Assez intuitif)</v>
      </c>
      <c r="AK41" s="10" t="str">
        <v>5. Plutôt d'accord (S'intègre assez bien)</v>
      </c>
      <c r="AL41" s="10">
        <v>7</v>
      </c>
      <c r="AM41" s="10">
        <v>7</v>
      </c>
      <c r="AN41" s="10">
        <v>7</v>
      </c>
      <c r="AO41" s="10">
        <v>5</v>
      </c>
      <c r="AP41" s="10">
        <v>6</v>
      </c>
      <c r="AQ41" s="10" t="str">
        <v>5. Très important</v>
      </c>
      <c r="AR41" s="10" t="str">
        <v>5. Très important</v>
      </c>
      <c r="AS41" s="10" t="str">
        <v>3. Moyennement important</v>
      </c>
      <c r="AT41" s="10" t="str">
        <v>3. Moyennement important</v>
      </c>
      <c r="AU41" s="10">
        <v>4</v>
      </c>
      <c r="AV41" s="10">
        <v>7</v>
      </c>
      <c r="AW41" s="10" t="str">
        <v>6. Approfondie (Parcours certifiant ou auto-formation technique longue)</v>
      </c>
      <c r="AX41" s="10">
        <v>5</v>
      </c>
      <c r="AY41" s="10">
        <v>5</v>
      </c>
      <c r="AZ41" s="10" t="str">
        <v>3. Plutôt en désaccord (Je procède à une revue importante)</v>
      </c>
      <c r="BA41" s="10">
        <v>6</v>
      </c>
      <c r="BB41" s="10">
        <v>6</v>
      </c>
      <c r="BC41" s="10">
        <v>3</v>
      </c>
      <c r="BD41" s="10">
        <v>1</v>
      </c>
      <c r="BE41" s="10" t="str">
        <v>Oui</v>
      </c>
      <c r="BF41" s="10">
        <v>4</v>
      </c>
      <c r="BG41" s="10" t="str">
        <v>4. Neutre</v>
      </c>
      <c r="BH41" s="10">
        <v>4</v>
      </c>
      <c r="BI41" s="10" t="str">
        <v>36-45</v>
      </c>
      <c r="BJ41" s="10" t="str">
        <v>Femme</v>
      </c>
      <c r="BK41" s="10" t="str">
        <v>Associé</v>
      </c>
      <c r="BL41" s="10" t="str">
        <v>Plus de 10 ans</v>
      </c>
      <c r="BM41" s="10" t="str">
        <v>Audit Financier, Audit RSE</v>
      </c>
      <c r="BN41" s="10" t="str">
        <v>Cabinet local</v>
      </c>
      <c r="BO41" s="10">
        <v>0</v>
      </c>
      <c r="BP41" s="10">
        <f>IF(ISNUMBER($AI$41),ROUND((((($AI$41-1)*(4/6))+1)),4),"")</f>
        <v>3.6667000000000001</v>
      </c>
      <c r="BQ41" s="10">
        <f>IF(ISNUMBER($AL$41),8-$AL$41,"")</f>
        <v>1</v>
      </c>
      <c r="BR41" s="10">
        <f>IFERROR(8-VALUE(LEFT($AZ$41,1)),"")</f>
        <v>5</v>
      </c>
      <c r="BS41" s="10">
        <f>IF(ISNUMBER($BC$41),8-$BC$41,"")</f>
        <v>5</v>
      </c>
      <c r="BT41" s="10">
        <f>IF(ISNUMBER($BD$41),8-$BD$41,"")</f>
        <v>7</v>
      </c>
      <c r="BU41" s="10">
        <f>IFERROR(ROUND(AVERAGE(VALUE(LEFT($O$41,1)),VALUE(LEFT($P$41,1)),VALUE(LEFT($Q$41,1)),VALUE(LEFT($R$41,1)),VALUE(LEFT($S$41,1)),VALUE(LEFT($T$41,1)),VALUE(LEFT($U$41,1)),VALUE(LEFT($V$41,1)),VALUE(LEFT($W$41,1)),VALUE(LEFT($X$41,1)),VALUE(LEFT($Y$41,1)),VALUE(LEFT($Z$41,1)),VALUE(LEFT($AA$41,1)),VALUE(LEFT($AB$41,1)),VALUE(LEFT($AC$41,1)),VALUE(LEFT($AD$41,1)),VALUE(LEFT($AE$41,1)),VALUE(LEFT($AF$41,1)),VALUE(LEFT($AG$41,1)),VALUE(LEFT($AH$41,1)),$BP$41),4),"")</f>
        <v>2.9365000000000001</v>
      </c>
      <c r="BV41" s="10">
        <f>IFERROR(ROUND(AVERAGE(VALUE(LEFT($AJ$41,1)),VALUE(LEFT($AK$41,1)),$BQ$41),4),"")</f>
        <v>3.6667000000000001</v>
      </c>
      <c r="BW41" s="10">
        <f>IFERROR(ROUND(AVERAGE($AM$41,$AN$41,$AO$41,$AP$41),4),"")</f>
        <v>6.25</v>
      </c>
      <c r="BX41" s="10">
        <f>IFERROR(ROUND(AVERAGE(VALUE(LEFT($AW$41,1)),$AX$41,$AY$41),4),"")</f>
        <v>5.3333000000000004</v>
      </c>
      <c r="BY41" s="10">
        <f>IFERROR(ROUND(AVERAGE($BR$41,$BA$41,$BB$41,$BS$41,$BT$41),4),"")</f>
        <v>5.8</v>
      </c>
      <c r="BZ41" s="10" t="str">
        <f>IF(OR($BK$41="Junior",$BK$41="Stagiaire",$BK$41="Alternant"),"Junior",IF(OR($BK$41="Superviseur",$BK$41="Superviseur ",$BK$41="Senior",$BK$41="Senior Manager",$BK$41="Manager"),"Senior-Manager",IF(OR($BK$41="Associe",$BK$41="Associé"),"Associe","Autre")))</f>
        <v>Associe</v>
      </c>
      <c r="CA41" s="10" t="b">
        <f>AND(NOT(ISNUMBER(SEARCH("Jamais",$B$41))),$BG$41="4. Neutre")</f>
        <v>1</v>
      </c>
      <c r="CB41">
        <f t="shared" si="0"/>
        <v>5</v>
      </c>
    </row>
    <row r="42" spans="1:80" x14ac:dyDescent="0.25">
      <c r="A42" s="41">
        <v>46065.528444178242</v>
      </c>
      <c r="B42" s="9" t="str">
        <v>7. Très fréquemment (Plusieurs fois par jour)</v>
      </c>
      <c r="C42" s="9" t="str">
        <v>Outils fournis/agréés par le cabinet (ex: Copilot sécurisé)</v>
      </c>
      <c r="D42" s="9">
        <v>0</v>
      </c>
      <c r="E42" s="9">
        <v>0</v>
      </c>
      <c r="F42" s="9" t="str">
        <v>Version entreprise</v>
      </c>
      <c r="G42" s="9">
        <v>0</v>
      </c>
      <c r="H42" s="9">
        <v>0</v>
      </c>
      <c r="I42" s="9">
        <v>0</v>
      </c>
      <c r="J42" s="9">
        <v>0</v>
      </c>
      <c r="K42" s="9">
        <v>0</v>
      </c>
      <c r="L42" s="9">
        <v>0</v>
      </c>
      <c r="M42" s="9" t="str">
        <v>Reformulation ou traduction de documents, Recherche d'informations ou de points techniques, Préparation de données (format, structuration, harmonisation des valeurs), Aide à la décision, Rapprochement/Comparaison de documents, Analyse de données et génération d'insights, Correction et mise en cohérence de documents, Rédaction (rapports, synthèses, notes, mails), Automatisation et création de scripts (SQL, VBA)</v>
      </c>
      <c r="N42" s="9" t="str">
        <v>De manière RECOMMANDÉE (cabinet encourage, mais facultatif)</v>
      </c>
      <c r="O42" s="9" t="str">
        <v>5. Très utile</v>
      </c>
      <c r="P42" s="9" t="str">
        <v>5. Très utile</v>
      </c>
      <c r="Q42" s="9" t="str">
        <v>5. Très utile</v>
      </c>
      <c r="R42" s="9" t="str">
        <v>5. Très utile</v>
      </c>
      <c r="S42" s="9" t="str">
        <v>5. Très utile</v>
      </c>
      <c r="T42" s="9" t="str">
        <v>3. Neutre</v>
      </c>
      <c r="U42" s="9" t="str">
        <v>3. Neutre</v>
      </c>
      <c r="V42" s="9" t="str">
        <v>3. Neutre</v>
      </c>
      <c r="W42" s="9" t="str">
        <v>4. Utile</v>
      </c>
      <c r="X42" s="9" t="str">
        <v>5. Très utile</v>
      </c>
      <c r="Y42" s="9" t="str">
        <v>5. Très utile</v>
      </c>
      <c r="Z42" s="9" t="str">
        <v>5. Très utile</v>
      </c>
      <c r="AA42" s="9" t="str">
        <v>5. Très utile</v>
      </c>
      <c r="AB42" s="9" t="str">
        <v>5. Très utile</v>
      </c>
      <c r="AC42" s="9" t="str">
        <v>5. Très utile</v>
      </c>
      <c r="AD42" s="9" t="str">
        <v>5. Très utile</v>
      </c>
      <c r="AE42" s="9" t="str">
        <v>4. Utile</v>
      </c>
      <c r="AF42" s="9" t="str">
        <v>5. Très utile</v>
      </c>
      <c r="AG42" s="9" t="str">
        <v>5. Très utile</v>
      </c>
      <c r="AH42" s="9" t="str">
        <v>5. Très utile</v>
      </c>
      <c r="AI42" s="9">
        <v>7</v>
      </c>
      <c r="AJ42" s="9" t="str">
        <v>6. Facile (Maîtrise rapide)</v>
      </c>
      <c r="AK42" s="9" t="str">
        <v>4. Ni d'accord, ni en désaccord</v>
      </c>
      <c r="AL42" s="9">
        <v>6</v>
      </c>
      <c r="AM42" s="9">
        <v>6</v>
      </c>
      <c r="AN42" s="9">
        <v>3</v>
      </c>
      <c r="AO42" s="9">
        <v>2</v>
      </c>
      <c r="AP42" s="9">
        <v>7</v>
      </c>
      <c r="AQ42" s="9" t="str">
        <v>5. Très important</v>
      </c>
      <c r="AR42" s="9" t="str">
        <v>1. Pas du tout important</v>
      </c>
      <c r="AS42" s="9" t="str">
        <v>2. Peu important</v>
      </c>
      <c r="AT42" s="9" t="str">
        <v>5. Très important</v>
      </c>
      <c r="AU42" s="9">
        <v>1</v>
      </c>
      <c r="AV42" s="9">
        <v>7</v>
      </c>
      <c r="AW42" s="9" t="str">
        <v>5. Solide (Plusieurs jours de formation ou modules suivis)</v>
      </c>
      <c r="AX42" s="9">
        <v>6</v>
      </c>
      <c r="AY42" s="9">
        <v>7</v>
      </c>
      <c r="AZ42" s="9" t="str">
        <v>6. D'accord (Je fais globalement confiance au résultat)</v>
      </c>
      <c r="BA42" s="9">
        <v>6</v>
      </c>
      <c r="BB42" s="9">
        <v>7</v>
      </c>
      <c r="BC42" s="9">
        <v>7</v>
      </c>
      <c r="BD42" s="9">
        <v>5</v>
      </c>
      <c r="BE42" s="9" t="str">
        <v>Oui</v>
      </c>
      <c r="BF42" s="9">
        <v>4</v>
      </c>
      <c r="BG42" s="9" t="str">
        <v>4. Neutre</v>
      </c>
      <c r="BH42" s="9">
        <v>7</v>
      </c>
      <c r="BI42" s="9" t="str">
        <v>26-35</v>
      </c>
      <c r="BJ42" s="9" t="str">
        <v>Homme</v>
      </c>
      <c r="BK42" s="9" t="str">
        <v>Associé</v>
      </c>
      <c r="BL42" s="9" t="str">
        <v>Plus de 10 ans</v>
      </c>
      <c r="BM42" s="9" t="str">
        <v>Audit Financier</v>
      </c>
      <c r="BN42" s="9" t="str">
        <v>Cabinet local</v>
      </c>
      <c r="BO42" s="9">
        <v>0</v>
      </c>
      <c r="BP42" s="9">
        <f>IF(ISNUMBER($AI$42),ROUND((((($AI$42-1)*(4/6))+1)),4),"")</f>
        <v>5</v>
      </c>
      <c r="BQ42" s="9">
        <f>IF(ISNUMBER($AL$42),8-$AL$42,"")</f>
        <v>2</v>
      </c>
      <c r="BR42" s="9">
        <f>IFERROR(8-VALUE(LEFT($AZ$42,1)),"")</f>
        <v>2</v>
      </c>
      <c r="BS42" s="9">
        <f>IF(ISNUMBER($BC$42),8-$BC$42,"")</f>
        <v>1</v>
      </c>
      <c r="BT42" s="9">
        <f>IF(ISNUMBER($BD$42),8-$BD$42,"")</f>
        <v>3</v>
      </c>
      <c r="BU42" s="9">
        <f>IFERROR(ROUND(AVERAGE(VALUE(LEFT($O$42,1)),VALUE(LEFT($P$42,1)),VALUE(LEFT($Q$42,1)),VALUE(LEFT($R$42,1)),VALUE(LEFT($S$42,1)),VALUE(LEFT($T$42,1)),VALUE(LEFT($U$42,1)),VALUE(LEFT($V$42,1)),VALUE(LEFT($W$42,1)),VALUE(LEFT($X$42,1)),VALUE(LEFT($Y$42,1)),VALUE(LEFT($Z$42,1)),VALUE(LEFT($AA$42,1)),VALUE(LEFT($AB$42,1)),VALUE(LEFT($AC$42,1)),VALUE(LEFT($AD$42,1)),VALUE(LEFT($AE$42,1)),VALUE(LEFT($AF$42,1)),VALUE(LEFT($AG$42,1)),VALUE(LEFT($AH$42,1)),$BP$42),4),"")</f>
        <v>4.6189999999999998</v>
      </c>
      <c r="BV42" s="9">
        <f>IFERROR(ROUND(AVERAGE(VALUE(LEFT($AJ$42,1)),VALUE(LEFT($AK$42,1)),$BQ$42),4),"")</f>
        <v>4</v>
      </c>
      <c r="BW42" s="9">
        <f>IFERROR(ROUND(AVERAGE($AM$42,$AN$42,$AO$42,$AP$42),4),"")</f>
        <v>4.5</v>
      </c>
      <c r="BX42" s="9">
        <f>IFERROR(ROUND(AVERAGE(VALUE(LEFT($AW$42,1)),$AX$42,$AY$42),4),"")</f>
        <v>6</v>
      </c>
      <c r="BY42" s="9">
        <f>IFERROR(ROUND(AVERAGE($BR$42,$BA$42,$BB$42,$BS$42,$BT$42),4),"")</f>
        <v>3.8</v>
      </c>
      <c r="BZ42" s="9" t="str">
        <f>IF(OR($BK$42="Junior",$BK$42="Stagiaire",$BK$42="Alternant"),"Junior",IF(OR($BK$42="Superviseur",$BK$42="Superviseur ",$BK$42="Senior",$BK$42="Senior Manager",$BK$42="Manager"),"Senior-Manager",IF(OR($BK$42="Associe",$BK$42="Associé"),"Associe","Autre")))</f>
        <v>Associe</v>
      </c>
      <c r="CA42" s="9" t="b">
        <f>AND(NOT(ISNUMBER(SEARCH("Jamais",$B$42))),$BG$42="4. Neutre")</f>
        <v>1</v>
      </c>
      <c r="CB42">
        <f t="shared" si="0"/>
        <v>7</v>
      </c>
    </row>
    <row r="43" spans="1:80" x14ac:dyDescent="0.25">
      <c r="A43" s="42">
        <v>46065.622051874998</v>
      </c>
      <c r="B43" s="10" t="str">
        <v>5. Régulièrement (Plusieurs fois par semaine)</v>
      </c>
      <c r="C43" s="10" t="str">
        <v>Outils grand public (ex: ChatGPT, Gemini )</v>
      </c>
      <c r="D43" s="10">
        <v>0</v>
      </c>
      <c r="E43" s="10">
        <v>0</v>
      </c>
      <c r="F43" s="10" t="str">
        <v>Version entreprise</v>
      </c>
      <c r="G43" s="10">
        <v>0</v>
      </c>
      <c r="H43" s="10">
        <v>0</v>
      </c>
      <c r="I43" s="10">
        <v>0</v>
      </c>
      <c r="J43" s="10">
        <v>0</v>
      </c>
      <c r="K43" s="10">
        <v>0</v>
      </c>
      <c r="L43" s="10" t="str">
        <v>Version grand public</v>
      </c>
      <c r="M43" s="10" t="str">
        <v>Préparation de données (format, structuration, harmonisation des valeurs), Évaluation du contrôle interne, Reformulation ou traduction de documents, Correction et mise en cohérence de documents, Rédaction (rapports, synthèses, notes, mails), Recherche d'informations ou de points techniques</v>
      </c>
      <c r="N43" s="10" t="str">
        <v>De manière VOLONTAIRE (vous avez choisi vous-même)</v>
      </c>
      <c r="O43" s="10" t="str">
        <v>5. Très utile</v>
      </c>
      <c r="P43" s="10" t="str">
        <v>5. Très utile</v>
      </c>
      <c r="Q43" s="10" t="str">
        <v>5. Très utile</v>
      </c>
      <c r="R43" s="10" t="str">
        <v>5. Très utile</v>
      </c>
      <c r="S43" s="10" t="str">
        <v>3. Neutre</v>
      </c>
      <c r="T43" s="10" t="str">
        <v>3. Neutre</v>
      </c>
      <c r="U43" s="10" t="str">
        <v>3. Neutre</v>
      </c>
      <c r="V43" s="10" t="str">
        <v>3. Neutre</v>
      </c>
      <c r="W43" s="10" t="str">
        <v>3. Neutre</v>
      </c>
      <c r="X43" s="10" t="str">
        <v>5. Très utile</v>
      </c>
      <c r="Y43" s="10" t="str">
        <v>5. Très utile</v>
      </c>
      <c r="Z43" s="10" t="str">
        <v>5. Très utile</v>
      </c>
      <c r="AA43" s="10" t="str">
        <v>5. Très utile</v>
      </c>
      <c r="AB43" s="10" t="str">
        <v>5. Très utile</v>
      </c>
      <c r="AC43" s="10" t="str">
        <v>3. Neutre</v>
      </c>
      <c r="AD43" s="10" t="str">
        <v>3. Neutre</v>
      </c>
      <c r="AE43" s="10" t="str">
        <v>3. Neutre</v>
      </c>
      <c r="AF43" s="10" t="str">
        <v>3. Neutre</v>
      </c>
      <c r="AG43" s="10" t="str">
        <v>3. Neutre</v>
      </c>
      <c r="AH43" s="10" t="str">
        <v>5. Très utile</v>
      </c>
      <c r="AI43" s="10">
        <v>7</v>
      </c>
      <c r="AJ43" s="10" t="str">
        <v>5. Plutôt facile (Assez intuitif)</v>
      </c>
      <c r="AK43" s="10" t="str">
        <v>6. D'accord (S'intègre facilement)</v>
      </c>
      <c r="AL43" s="10">
        <v>4</v>
      </c>
      <c r="AM43" s="10">
        <v>7</v>
      </c>
      <c r="AN43" s="10">
        <v>7</v>
      </c>
      <c r="AO43" s="10">
        <v>6</v>
      </c>
      <c r="AP43" s="10">
        <v>7</v>
      </c>
      <c r="AQ43" s="10" t="str">
        <v>5. Très important</v>
      </c>
      <c r="AR43" s="10" t="str">
        <v>5. Très important</v>
      </c>
      <c r="AS43" s="10" t="str">
        <v>5. Très important</v>
      </c>
      <c r="AT43" s="10" t="str">
        <v>5. Très important</v>
      </c>
      <c r="AU43" s="10">
        <v>3</v>
      </c>
      <c r="AV43" s="10">
        <v>7</v>
      </c>
      <c r="AW43" s="10" t="str">
        <v>4. Moyenne (Environ une journée de formation cumulée)</v>
      </c>
      <c r="AX43" s="10">
        <v>7</v>
      </c>
      <c r="AY43" s="10">
        <v>7</v>
      </c>
      <c r="AZ43" s="10" t="str">
        <v>4. Neutre (Le niveau de vérification dépend de la complexité)</v>
      </c>
      <c r="BA43" s="10">
        <v>5</v>
      </c>
      <c r="BB43" s="10">
        <v>7</v>
      </c>
      <c r="BC43" s="10">
        <v>2</v>
      </c>
      <c r="BD43" s="10">
        <v>1</v>
      </c>
      <c r="BE43" s="10" t="str">
        <v>Oui</v>
      </c>
      <c r="BF43" s="10">
        <v>4</v>
      </c>
      <c r="BG43" s="10" t="str">
        <v>4. Neutre</v>
      </c>
      <c r="BH43" s="10">
        <v>6</v>
      </c>
      <c r="BI43" s="10" t="str">
        <v>36-45</v>
      </c>
      <c r="BJ43" s="10" t="str">
        <v>Homme</v>
      </c>
      <c r="BK43" s="10" t="str">
        <v>Manager</v>
      </c>
      <c r="BL43" s="10" t="str">
        <v>Plus de 10 ans</v>
      </c>
      <c r="BM43" s="10" t="str">
        <v>Audit Financier</v>
      </c>
      <c r="BN43" s="10" t="str">
        <v>Cabinet international</v>
      </c>
      <c r="BO43" s="10">
        <v>0</v>
      </c>
      <c r="BP43" s="10">
        <f>IF(ISNUMBER($AI$43),ROUND((((($AI$43-1)*(4/6))+1)),4),"")</f>
        <v>5</v>
      </c>
      <c r="BQ43" s="10">
        <f>IF(ISNUMBER($AL$43),8-$AL$43,"")</f>
        <v>4</v>
      </c>
      <c r="BR43" s="10">
        <f>IFERROR(8-VALUE(LEFT($AZ$43,1)),"")</f>
        <v>4</v>
      </c>
      <c r="BS43" s="10">
        <f>IF(ISNUMBER($BC$43),8-$BC$43,"")</f>
        <v>6</v>
      </c>
      <c r="BT43" s="10">
        <f>IF(ISNUMBER($BD$43),8-$BD$43,"")</f>
        <v>7</v>
      </c>
      <c r="BU43" s="10">
        <f>IFERROR(ROUND(AVERAGE(VALUE(LEFT($O$43,1)),VALUE(LEFT($P$43,1)),VALUE(LEFT($Q$43,1)),VALUE(LEFT($R$43,1)),VALUE(LEFT($S$43,1)),VALUE(LEFT($T$43,1)),VALUE(LEFT($U$43,1)),VALUE(LEFT($V$43,1)),VALUE(LEFT($W$43,1)),VALUE(LEFT($X$43,1)),VALUE(LEFT($Y$43,1)),VALUE(LEFT($Z$43,1)),VALUE(LEFT($AA$43,1)),VALUE(LEFT($AB$43,1)),VALUE(LEFT($AC$43,1)),VALUE(LEFT($AD$43,1)),VALUE(LEFT($AE$43,1)),VALUE(LEFT($AF$43,1)),VALUE(LEFT($AG$43,1)),VALUE(LEFT($AH$43,1)),$BP$43),4),"")</f>
        <v>4.0476000000000001</v>
      </c>
      <c r="BV43" s="10">
        <f>IFERROR(ROUND(AVERAGE(VALUE(LEFT($AJ$43,1)),VALUE(LEFT($AK$43,1)),$BQ$43),4),"")</f>
        <v>5</v>
      </c>
      <c r="BW43" s="10">
        <f>IFERROR(ROUND(AVERAGE($AM$43,$AN$43,$AO$43,$AP$43),4),"")</f>
        <v>6.75</v>
      </c>
      <c r="BX43" s="10">
        <f>IFERROR(ROUND(AVERAGE(VALUE(LEFT($AW$43,1)),$AX$43,$AY$43),4),"")</f>
        <v>6</v>
      </c>
      <c r="BY43" s="10">
        <f>IFERROR(ROUND(AVERAGE($BR$43,$BA$43,$BB$43,$BS$43,$BT$43),4),"")</f>
        <v>5.8</v>
      </c>
      <c r="BZ43" s="10" t="str">
        <f>IF(OR($BK$43="Junior",$BK$43="Stagiaire",$BK$43="Alternant"),"Junior",IF(OR($BK$43="Superviseur",$BK$43="Superviseur ",$BK$43="Senior",$BK$43="Senior Manager",$BK$43="Manager"),"Senior-Manager",IF(OR($BK$43="Associe",$BK$43="Associé"),"Associe","Autre")))</f>
        <v>Senior-Manager</v>
      </c>
      <c r="CA43" s="10" t="b">
        <f>AND(NOT(ISNUMBER(SEARCH("Jamais",$B$43))),$BG$43="4. Neutre")</f>
        <v>1</v>
      </c>
      <c r="CB43">
        <f t="shared" si="0"/>
        <v>5</v>
      </c>
    </row>
    <row r="44" spans="1:80" x14ac:dyDescent="0.25">
      <c r="A44" s="41">
        <v>46065.721003391212</v>
      </c>
      <c r="B44" s="9" t="str">
        <v>5. Régulièrement (Plusieurs fois par semaine)</v>
      </c>
      <c r="C44" s="9" t="str">
        <v>Outils fournis/agréés par le cabinet (ex: Copilot sécurisé)</v>
      </c>
      <c r="D44" s="9">
        <v>0</v>
      </c>
      <c r="E44" s="9" t="str">
        <v>Version entreprise</v>
      </c>
      <c r="F44" s="9" t="str">
        <v>Version grand public</v>
      </c>
      <c r="G44" s="9">
        <v>0</v>
      </c>
      <c r="H44" s="9">
        <v>0</v>
      </c>
      <c r="I44" s="9">
        <v>0</v>
      </c>
      <c r="J44" s="9">
        <v>0</v>
      </c>
      <c r="K44" s="9" t="str">
        <v>Version entreprise</v>
      </c>
      <c r="L44" s="9">
        <v>0</v>
      </c>
      <c r="M44" s="9" t="str">
        <v>Reformulation ou traduction de documents, Rédaction (rapports, synthèses, notes, mails), Recherche d'informations ou de points techniques</v>
      </c>
      <c r="N44" s="9" t="str">
        <v>De manière VOLONTAIRE (vous avez choisi vous-même)</v>
      </c>
      <c r="O44" s="9" t="str">
        <v>4. Utile</v>
      </c>
      <c r="P44" s="9" t="str">
        <v>4. Utile</v>
      </c>
      <c r="Q44" s="9" t="str">
        <v>4. Utile</v>
      </c>
      <c r="R44" s="9" t="str">
        <v>4. Utile</v>
      </c>
      <c r="S44" s="9" t="str">
        <v>3. Neutre</v>
      </c>
      <c r="T44" s="9" t="str">
        <v>3. Neutre</v>
      </c>
      <c r="U44" s="9" t="str">
        <v>3. Neutre</v>
      </c>
      <c r="V44" s="9" t="str">
        <v>3. Neutre</v>
      </c>
      <c r="W44" s="9" t="str">
        <v>3. Neutre</v>
      </c>
      <c r="X44" s="9" t="str">
        <v>4. Utile</v>
      </c>
      <c r="Y44" s="9" t="str">
        <v>4. Utile</v>
      </c>
      <c r="Z44" s="9" t="str">
        <v>4. Utile</v>
      </c>
      <c r="AA44" s="9" t="str">
        <v>4. Utile</v>
      </c>
      <c r="AB44" s="9" t="str">
        <v>4. Utile</v>
      </c>
      <c r="AC44" s="9" t="str">
        <v>3. Neutre</v>
      </c>
      <c r="AD44" s="9" t="str">
        <v>3. Neutre</v>
      </c>
      <c r="AE44" s="9" t="str">
        <v>3. Neutre</v>
      </c>
      <c r="AF44" s="9" t="str">
        <v>3. Neutre</v>
      </c>
      <c r="AG44" s="9" t="str">
        <v>3. Neutre</v>
      </c>
      <c r="AH44" s="9" t="str">
        <v>4. Utile</v>
      </c>
      <c r="AI44" s="9">
        <v>6</v>
      </c>
      <c r="AJ44" s="9" t="str">
        <v>4. Ni facile, ni difficile (Prise en main normale)</v>
      </c>
      <c r="AK44" s="9" t="str">
        <v>5. Plutôt d'accord (S'intègre assez bien)</v>
      </c>
      <c r="AL44" s="9">
        <v>5</v>
      </c>
      <c r="AM44" s="9">
        <v>6</v>
      </c>
      <c r="AN44" s="9">
        <v>6</v>
      </c>
      <c r="AO44" s="9">
        <v>5</v>
      </c>
      <c r="AP44" s="9">
        <v>6</v>
      </c>
      <c r="AQ44" s="9" t="str">
        <v>4. Important</v>
      </c>
      <c r="AR44" s="9" t="str">
        <v>4. Important</v>
      </c>
      <c r="AS44" s="9" t="str">
        <v>4. Important</v>
      </c>
      <c r="AT44" s="9" t="str">
        <v>4. Important</v>
      </c>
      <c r="AU44" s="9">
        <v>6</v>
      </c>
      <c r="AV44" s="9">
        <v>6</v>
      </c>
      <c r="AW44" s="9" t="str">
        <v>4. Moyenne (Environ une journée de formation cumulée)</v>
      </c>
      <c r="AX44" s="9">
        <v>4</v>
      </c>
      <c r="AY44" s="9">
        <v>5</v>
      </c>
      <c r="AZ44" s="9" t="str">
        <v>3. Plutôt en désaccord (Je procède à une revue importante)</v>
      </c>
      <c r="BA44" s="9">
        <v>5</v>
      </c>
      <c r="BB44" s="9">
        <v>5</v>
      </c>
      <c r="BC44" s="9">
        <v>3</v>
      </c>
      <c r="BD44" s="9">
        <v>1</v>
      </c>
      <c r="BE44" s="9" t="str">
        <v>Oui</v>
      </c>
      <c r="BF44" s="9">
        <v>6</v>
      </c>
      <c r="BG44" s="9" t="str">
        <v>4. Neutre</v>
      </c>
      <c r="BH44" s="9">
        <v>5</v>
      </c>
      <c r="BI44" s="9" t="str">
        <v>36-45</v>
      </c>
      <c r="BJ44" s="9" t="str">
        <v>Homme</v>
      </c>
      <c r="BK44" s="9" t="str">
        <v>Associé</v>
      </c>
      <c r="BL44" s="9" t="str">
        <v>Plus de 10 ans</v>
      </c>
      <c r="BM44" s="9" t="str">
        <v>Audit Financier</v>
      </c>
      <c r="BN44" s="9" t="str">
        <v>Cabinet local</v>
      </c>
      <c r="BO44" s="9">
        <v>0</v>
      </c>
      <c r="BP44" s="9">
        <f>IF(ISNUMBER($AI$44),ROUND((((($AI$44-1)*(4/6))+1)),4),"")</f>
        <v>4.3333000000000004</v>
      </c>
      <c r="BQ44" s="9">
        <f>IF(ISNUMBER($AL$44),8-$AL$44,"")</f>
        <v>3</v>
      </c>
      <c r="BR44" s="9">
        <f>IFERROR(8-VALUE(LEFT($AZ$44,1)),"")</f>
        <v>5</v>
      </c>
      <c r="BS44" s="9">
        <f>IF(ISNUMBER($BC$44),8-$BC$44,"")</f>
        <v>5</v>
      </c>
      <c r="BT44" s="9">
        <f>IF(ISNUMBER($BD$44),8-$BD$44,"")</f>
        <v>7</v>
      </c>
      <c r="BU44" s="9">
        <f>IFERROR(ROUND(AVERAGE(VALUE(LEFT($O$44,1)),VALUE(LEFT($P$44,1)),VALUE(LEFT($Q$44,1)),VALUE(LEFT($R$44,1)),VALUE(LEFT($S$44,1)),VALUE(LEFT($T$44,1)),VALUE(LEFT($U$44,1)),VALUE(LEFT($V$44,1)),VALUE(LEFT($W$44,1)),VALUE(LEFT($X$44,1)),VALUE(LEFT($Y$44,1)),VALUE(LEFT($Z$44,1)),VALUE(LEFT($AA$44,1)),VALUE(LEFT($AB$44,1)),VALUE(LEFT($AC$44,1)),VALUE(LEFT($AD$44,1)),VALUE(LEFT($AE$44,1)),VALUE(LEFT($AF$44,1)),VALUE(LEFT($AG$44,1)),VALUE(LEFT($AH$44,1)),$BP$44),4),"")</f>
        <v>3.5396999999999998</v>
      </c>
      <c r="BV44" s="9">
        <f>IFERROR(ROUND(AVERAGE(VALUE(LEFT($AJ$44,1)),VALUE(LEFT($AK$44,1)),$BQ$44),4),"")</f>
        <v>4</v>
      </c>
      <c r="BW44" s="9">
        <f>IFERROR(ROUND(AVERAGE($AM$44,$AN$44,$AO$44,$AP$44),4),"")</f>
        <v>5.75</v>
      </c>
      <c r="BX44" s="9">
        <f>IFERROR(ROUND(AVERAGE(VALUE(LEFT($AW$44,1)),$AX$44,$AY$44),4),"")</f>
        <v>4.3333000000000004</v>
      </c>
      <c r="BY44" s="9">
        <f>IFERROR(ROUND(AVERAGE($BR$44,$BA$44,$BB$44,$BS$44,$BT$44),4),"")</f>
        <v>5.4</v>
      </c>
      <c r="BZ44" s="9" t="str">
        <f>IF(OR($BK$44="Junior",$BK$44="Stagiaire",$BK$44="Alternant"),"Junior",IF(OR($BK$44="Superviseur",$BK$44="Superviseur ",$BK$44="Senior",$BK$44="Senior Manager",$BK$44="Manager"),"Senior-Manager",IF(OR($BK$44="Associe",$BK$44="Associé"),"Associe","Autre")))</f>
        <v>Associe</v>
      </c>
      <c r="CA44" s="9" t="b">
        <f>AND(NOT(ISNUMBER(SEARCH("Jamais",$B$44))),$BG$44="4. Neutre")</f>
        <v>1</v>
      </c>
      <c r="CB44">
        <f t="shared" si="0"/>
        <v>5</v>
      </c>
    </row>
    <row r="45" spans="1:80" x14ac:dyDescent="0.25">
      <c r="A45" s="42">
        <v>46065.867774120372</v>
      </c>
      <c r="B45" s="10" t="str">
        <v>6. Quotidiennement (Une fois par jour)</v>
      </c>
      <c r="C45" s="10" t="str">
        <v>Usage mix des deux</v>
      </c>
      <c r="D45" s="10">
        <v>0</v>
      </c>
      <c r="E45" s="10">
        <v>0</v>
      </c>
      <c r="F45" s="10" t="str">
        <v>Version entreprise</v>
      </c>
      <c r="G45" s="10" t="str">
        <v>Version entreprise</v>
      </c>
      <c r="H45" s="10">
        <v>0</v>
      </c>
      <c r="I45" s="10">
        <v>0</v>
      </c>
      <c r="J45" s="10">
        <v>0</v>
      </c>
      <c r="K45" s="10" t="str">
        <v>Version entreprise</v>
      </c>
      <c r="L45" s="10">
        <v>0</v>
      </c>
      <c r="M45" s="10" t="str">
        <v>Recherche d'informations ou de points techniques, Revue d'estimations comptables (provisions, dépréciations), Rédaction (rapports, synthèses, notes, mails), Correction et mise en cohérence de documents, Reformulation ou traduction de documents</v>
      </c>
      <c r="N45" s="10" t="str">
        <v>De manière VOLONTAIRE (vous avez choisi vous-même)</v>
      </c>
      <c r="O45" s="10" t="str">
        <v>4. Utile</v>
      </c>
      <c r="P45" s="10" t="str">
        <v>4. Utile</v>
      </c>
      <c r="Q45" s="10" t="str">
        <v>4. Utile</v>
      </c>
      <c r="R45" s="10" t="str">
        <v>4. Utile</v>
      </c>
      <c r="S45" s="10" t="str">
        <v>2. Peu utile</v>
      </c>
      <c r="T45" s="10" t="str">
        <v>2. Peu utile</v>
      </c>
      <c r="U45" s="10" t="str">
        <v>2. Peu utile</v>
      </c>
      <c r="V45" s="10" t="str">
        <v>2. Peu utile</v>
      </c>
      <c r="W45" s="10" t="str">
        <v>1. Pas du tout utile</v>
      </c>
      <c r="X45" s="10" t="str">
        <v>4. Utile</v>
      </c>
      <c r="Y45" s="10" t="str">
        <v>3. Neutre</v>
      </c>
      <c r="Z45" s="10" t="str">
        <v>4. Utile</v>
      </c>
      <c r="AA45" s="10" t="str">
        <v>4. Utile</v>
      </c>
      <c r="AB45" s="10" t="str">
        <v>4. Utile</v>
      </c>
      <c r="AC45" s="10" t="str">
        <v>3. Neutre</v>
      </c>
      <c r="AD45" s="10" t="str">
        <v>3. Neutre</v>
      </c>
      <c r="AE45" s="10" t="str">
        <v>2. Peu utile</v>
      </c>
      <c r="AF45" s="10" t="str">
        <v>3. Neutre</v>
      </c>
      <c r="AG45" s="10" t="str">
        <v>2. Peu utile</v>
      </c>
      <c r="AH45" s="10" t="str">
        <v>5. Très utile</v>
      </c>
      <c r="AI45" s="10">
        <v>3</v>
      </c>
      <c r="AJ45" s="10" t="str">
        <v>5. Plutôt facile (Assez intuitif)</v>
      </c>
      <c r="AK45" s="10" t="str">
        <v>5. Plutôt d'accord (S'intègre assez bien)</v>
      </c>
      <c r="AL45" s="10">
        <v>6</v>
      </c>
      <c r="AM45" s="10">
        <v>6</v>
      </c>
      <c r="AN45" s="10">
        <v>4</v>
      </c>
      <c r="AO45" s="10">
        <v>6</v>
      </c>
      <c r="AP45" s="10">
        <v>5</v>
      </c>
      <c r="AQ45" s="10" t="str">
        <v>4. Important</v>
      </c>
      <c r="AR45" s="10" t="str">
        <v>3. Moyennement important</v>
      </c>
      <c r="AS45" s="10" t="str">
        <v>4. Important</v>
      </c>
      <c r="AT45" s="10" t="str">
        <v>4. Important</v>
      </c>
      <c r="AU45" s="10">
        <v>4</v>
      </c>
      <c r="AV45" s="10">
        <v>6</v>
      </c>
      <c r="AW45" s="10" t="str">
        <v>2. Très limitée (Quelques vidéos ou articles consultés)</v>
      </c>
      <c r="AX45" s="10">
        <v>5</v>
      </c>
      <c r="AY45" s="10">
        <v>5</v>
      </c>
      <c r="AZ45" s="10" t="str">
        <v>4. Neutre (Le niveau de vérification dépend de la complexité)</v>
      </c>
      <c r="BA45" s="10">
        <v>5</v>
      </c>
      <c r="BB45" s="10">
        <v>5</v>
      </c>
      <c r="BC45" s="10">
        <v>4</v>
      </c>
      <c r="BD45" s="10">
        <v>4</v>
      </c>
      <c r="BE45" s="10" t="str">
        <v>Oui</v>
      </c>
      <c r="BF45" s="10">
        <v>4</v>
      </c>
      <c r="BG45" s="10" t="str">
        <v>4. Neutre</v>
      </c>
      <c r="BH45" s="10">
        <v>6</v>
      </c>
      <c r="BI45" s="10" t="str">
        <v>46-55</v>
      </c>
      <c r="BJ45" s="10" t="str">
        <v>Homme</v>
      </c>
      <c r="BK45" s="10" t="str">
        <v>Associé</v>
      </c>
      <c r="BL45" s="10" t="str">
        <v>Plus de 10 ans</v>
      </c>
      <c r="BM45" s="10" t="str">
        <v>Audit Financier, Audit Interne</v>
      </c>
      <c r="BN45" s="10" t="str">
        <v>Cabinet régional</v>
      </c>
      <c r="BO45" s="10">
        <v>0</v>
      </c>
      <c r="BP45" s="10">
        <f>IF(ISNUMBER($AI$45),ROUND((((($AI$45-1)*(4/6))+1)),4),"")</f>
        <v>2.3332999999999999</v>
      </c>
      <c r="BQ45" s="10">
        <f>IF(ISNUMBER($AL$45),8-$AL$45,"")</f>
        <v>2</v>
      </c>
      <c r="BR45" s="10">
        <f>IFERROR(8-VALUE(LEFT($AZ$45,1)),"")</f>
        <v>4</v>
      </c>
      <c r="BS45" s="10">
        <f>IF(ISNUMBER($BC$45),8-$BC$45,"")</f>
        <v>4</v>
      </c>
      <c r="BT45" s="10">
        <f>IF(ISNUMBER($BD$45),8-$BD$45,"")</f>
        <v>4</v>
      </c>
      <c r="BU45" s="10">
        <f>IFERROR(ROUND(AVERAGE(VALUE(LEFT($O$45,1)),VALUE(LEFT($P$45,1)),VALUE(LEFT($Q$45,1)),VALUE(LEFT($R$45,1)),VALUE(LEFT($S$45,1)),VALUE(LEFT($T$45,1)),VALUE(LEFT($U$45,1)),VALUE(LEFT($V$45,1)),VALUE(LEFT($W$45,1)),VALUE(LEFT($X$45,1)),VALUE(LEFT($Y$45,1)),VALUE(LEFT($Z$45,1)),VALUE(LEFT($AA$45,1)),VALUE(LEFT($AB$45,1)),VALUE(LEFT($AC$45,1)),VALUE(LEFT($AD$45,1)),VALUE(LEFT($AE$45,1)),VALUE(LEFT($AF$45,1)),VALUE(LEFT($AG$45,1)),VALUE(LEFT($AH$45,1)),$BP$45),4),"")</f>
        <v>3.0634999999999999</v>
      </c>
      <c r="BV45" s="10">
        <f>IFERROR(ROUND(AVERAGE(VALUE(LEFT($AJ$45,1)),VALUE(LEFT($AK$45,1)),$BQ$45),4),"")</f>
        <v>4</v>
      </c>
      <c r="BW45" s="10">
        <f>IFERROR(ROUND(AVERAGE($AM$45,$AN$45,$AO$45,$AP$45),4),"")</f>
        <v>5.25</v>
      </c>
      <c r="BX45" s="10">
        <f>IFERROR(ROUND(AVERAGE(VALUE(LEFT($AW$45,1)),$AX$45,$AY$45),4),"")</f>
        <v>4</v>
      </c>
      <c r="BY45" s="10">
        <f>IFERROR(ROUND(AVERAGE($BR$45,$BA$45,$BB$45,$BS$45,$BT$45),4),"")</f>
        <v>4.4000000000000004</v>
      </c>
      <c r="BZ45" s="10" t="str">
        <f>IF(OR($BK$45="Junior",$BK$45="Stagiaire",$BK$45="Alternant"),"Junior",IF(OR($BK$45="Superviseur",$BK$45="Superviseur ",$BK$45="Senior",$BK$45="Senior Manager",$BK$45="Manager"),"Senior-Manager",IF(OR($BK$45="Associe",$BK$45="Associé"),"Associe","Autre")))</f>
        <v>Associe</v>
      </c>
      <c r="CA45" s="10" t="b">
        <f>AND(NOT(ISNUMBER(SEARCH("Jamais",$B$45))),$BG$45="4. Neutre")</f>
        <v>1</v>
      </c>
      <c r="CB45">
        <f t="shared" si="0"/>
        <v>6</v>
      </c>
    </row>
    <row r="46" spans="1:80" x14ac:dyDescent="0.25">
      <c r="A46" s="41">
        <v>46066.609131712961</v>
      </c>
      <c r="B46" s="9" t="str">
        <v>6. Quotidiennement (Une fois par jour)</v>
      </c>
      <c r="C46" s="9" t="str">
        <v>Outils grand public (ex: ChatGPT, Gemini )</v>
      </c>
      <c r="D46" s="9">
        <v>0</v>
      </c>
      <c r="E46" s="9">
        <v>0</v>
      </c>
      <c r="F46" s="9" t="str">
        <v>Version grand public</v>
      </c>
      <c r="G46" s="9" t="str">
        <v>Version grand public</v>
      </c>
      <c r="H46" s="9">
        <v>0</v>
      </c>
      <c r="I46" s="9">
        <v>0</v>
      </c>
      <c r="J46" s="9">
        <v>0</v>
      </c>
      <c r="K46" s="9">
        <v>0</v>
      </c>
      <c r="L46" s="9">
        <v>0</v>
      </c>
      <c r="M46" s="9" t="str">
        <v>Préparation de données (format, structuration, harmonisation des valeurs), Automatisation et création de scripts (SQL, VBA), Rédaction (rapports, synthèses, notes, mails), Recherche d'informations ou de points techniques</v>
      </c>
      <c r="N46" s="9" t="str">
        <v>De manière VOLONTAIRE (vous avez choisi vous-même)</v>
      </c>
      <c r="O46" s="9" t="str">
        <v>4. Utile</v>
      </c>
      <c r="P46" s="9" t="str">
        <v>4. Utile</v>
      </c>
      <c r="Q46" s="9" t="str">
        <v>4. Utile</v>
      </c>
      <c r="R46" s="9" t="str">
        <v>1. Pas du tout utile</v>
      </c>
      <c r="S46" s="9" t="str">
        <v>5. Très utile</v>
      </c>
      <c r="T46" s="9" t="str">
        <v>4. Utile</v>
      </c>
      <c r="U46" s="9" t="str">
        <v>1. Pas du tout utile</v>
      </c>
      <c r="V46" s="9" t="str">
        <v>1. Pas du tout utile</v>
      </c>
      <c r="W46" s="9" t="str">
        <v>2. Peu utile</v>
      </c>
      <c r="X46" s="9" t="str">
        <v>4. Utile</v>
      </c>
      <c r="Y46" s="9" t="str">
        <v>4. Utile</v>
      </c>
      <c r="Z46" s="9" t="str">
        <v>4. Utile</v>
      </c>
      <c r="AA46" s="9" t="str">
        <v>5. Très utile</v>
      </c>
      <c r="AB46" s="9" t="str">
        <v>1. Pas du tout utile</v>
      </c>
      <c r="AC46" s="9" t="str">
        <v>2. Peu utile</v>
      </c>
      <c r="AD46" s="9" t="str">
        <v>3. Neutre</v>
      </c>
      <c r="AE46" s="9" t="str">
        <v>1. Pas du tout utile</v>
      </c>
      <c r="AF46" s="9" t="str">
        <v>1. Pas du tout utile</v>
      </c>
      <c r="AG46" s="9" t="str">
        <v>2. Peu utile</v>
      </c>
      <c r="AH46" s="9" t="str">
        <v>3. Neutre</v>
      </c>
      <c r="AI46" s="9">
        <v>6</v>
      </c>
      <c r="AJ46" s="9" t="str">
        <v>4. Ni facile, ni difficile (Prise en main normale)</v>
      </c>
      <c r="AK46" s="9" t="str">
        <v>6. D'accord (S'intègre facilement)</v>
      </c>
      <c r="AL46" s="9">
        <v>4</v>
      </c>
      <c r="AM46" s="9">
        <v>7</v>
      </c>
      <c r="AN46" s="9">
        <v>7</v>
      </c>
      <c r="AO46" s="9">
        <v>6</v>
      </c>
      <c r="AP46" s="9">
        <v>2</v>
      </c>
      <c r="AQ46" s="9" t="str">
        <v>4. Important</v>
      </c>
      <c r="AR46" s="9" t="str">
        <v>5. Très important</v>
      </c>
      <c r="AS46" s="9" t="str">
        <v>4. Important</v>
      </c>
      <c r="AT46" s="9" t="str">
        <v>3. Moyennement important</v>
      </c>
      <c r="AU46" s="9">
        <v>1</v>
      </c>
      <c r="AV46" s="9">
        <v>5</v>
      </c>
      <c r="AW46" s="9" t="str">
        <v>5. Solide (Plusieurs jours de formation ou modules suivis)</v>
      </c>
      <c r="AX46" s="9">
        <v>7</v>
      </c>
      <c r="AY46" s="9">
        <v>7</v>
      </c>
      <c r="AZ46" s="9" t="str">
        <v>1. Pas du tout d’accord (Je vérifie systématiquement chaque détail)</v>
      </c>
      <c r="BA46" s="9">
        <v>7</v>
      </c>
      <c r="BB46" s="9">
        <v>7</v>
      </c>
      <c r="BC46" s="9">
        <v>3</v>
      </c>
      <c r="BD46" s="9">
        <v>2</v>
      </c>
      <c r="BE46" s="9" t="str">
        <v>Non</v>
      </c>
      <c r="BF46" s="9">
        <v>2</v>
      </c>
      <c r="BG46" s="9" t="str">
        <v>4. Neutre</v>
      </c>
      <c r="BH46" s="9">
        <v>5</v>
      </c>
      <c r="BI46" s="9" t="str">
        <v>18-25</v>
      </c>
      <c r="BJ46" s="9" t="str">
        <v>Homme</v>
      </c>
      <c r="BK46" s="9" t="str">
        <v>Junior</v>
      </c>
      <c r="BL46" s="9" t="str">
        <v>2 - 3 ans</v>
      </c>
      <c r="BM46" s="9" t="str">
        <v>Audit Financier, Consolidation</v>
      </c>
      <c r="BN46" s="9" t="str">
        <v>Cabinet local</v>
      </c>
      <c r="BO46" s="9">
        <v>0</v>
      </c>
      <c r="BP46" s="9">
        <f>IF(ISNUMBER($AI$46),ROUND((((($AI$46-1)*(4/6))+1)),4),"")</f>
        <v>4.3333000000000004</v>
      </c>
      <c r="BQ46" s="9">
        <f>IF(ISNUMBER($AL$46),8-$AL$46,"")</f>
        <v>4</v>
      </c>
      <c r="BR46" s="9">
        <f>IFERROR(8-VALUE(LEFT($AZ$46,1)),"")</f>
        <v>7</v>
      </c>
      <c r="BS46" s="9">
        <f>IF(ISNUMBER($BC$46),8-$BC$46,"")</f>
        <v>5</v>
      </c>
      <c r="BT46" s="9">
        <f>IF(ISNUMBER($BD$46),8-$BD$46,"")</f>
        <v>6</v>
      </c>
      <c r="BU46" s="9">
        <f>IFERROR(ROUND(AVERAGE(VALUE(LEFT($O$46,1)),VALUE(LEFT($P$46,1)),VALUE(LEFT($Q$46,1)),VALUE(LEFT($R$46,1)),VALUE(LEFT($S$46,1)),VALUE(LEFT($T$46,1)),VALUE(LEFT($U$46,1)),VALUE(LEFT($V$46,1)),VALUE(LEFT($W$46,1)),VALUE(LEFT($X$46,1)),VALUE(LEFT($Y$46,1)),VALUE(LEFT($Z$46,1)),VALUE(LEFT($AA$46,1)),VALUE(LEFT($AB$46,1)),VALUE(LEFT($AC$46,1)),VALUE(LEFT($AD$46,1)),VALUE(LEFT($AE$46,1)),VALUE(LEFT($AF$46,1)),VALUE(LEFT($AG$46,1)),VALUE(LEFT($AH$46,1)),$BP$46),4),"")</f>
        <v>2.8730000000000002</v>
      </c>
      <c r="BV46" s="9">
        <f>IFERROR(ROUND(AVERAGE(VALUE(LEFT($AJ$46,1)),VALUE(LEFT($AK$46,1)),$BQ$46),4),"")</f>
        <v>4.6666999999999996</v>
      </c>
      <c r="BW46" s="9">
        <f>IFERROR(ROUND(AVERAGE($AM$46,$AN$46,$AO$46,$AP$46),4),"")</f>
        <v>5.5</v>
      </c>
      <c r="BX46" s="9">
        <f>IFERROR(ROUND(AVERAGE(VALUE(LEFT($AW$46,1)),$AX$46,$AY$46),4),"")</f>
        <v>6.3333000000000004</v>
      </c>
      <c r="BY46" s="9">
        <f>IFERROR(ROUND(AVERAGE($BR$46,$BA$46,$BB$46,$BS$46,$BT$46),4),"")</f>
        <v>6.4</v>
      </c>
      <c r="BZ46" s="9" t="str">
        <f>IF(OR($BK$46="Junior",$BK$46="Stagiaire",$BK$46="Alternant"),"Junior",IF(OR($BK$46="Superviseur",$BK$46="Superviseur ",$BK$46="Senior",$BK$46="Senior Manager",$BK$46="Manager"),"Senior-Manager",IF(OR($BK$46="Associe",$BK$46="Associé"),"Associe","Autre")))</f>
        <v>Junior</v>
      </c>
      <c r="CA46" s="9" t="b">
        <f>AND(NOT(ISNUMBER(SEARCH("Jamais",$B$46))),$BG$46="4. Neutre")</f>
        <v>1</v>
      </c>
      <c r="CB46">
        <f t="shared" si="0"/>
        <v>6</v>
      </c>
    </row>
    <row r="47" spans="1:80" x14ac:dyDescent="0.25">
      <c r="A47" s="42">
        <v>46072.736240092592</v>
      </c>
      <c r="B47" s="10" t="str">
        <v>4. Parfois (Environ une fois par semaine)</v>
      </c>
      <c r="C47" s="10" t="str">
        <v>Outils fournis/agréés par le cabinet (ex: Copilot sécurisé)</v>
      </c>
      <c r="D47" s="10">
        <v>0</v>
      </c>
      <c r="E47" s="10" t="str">
        <v>Version entreprise</v>
      </c>
      <c r="F47" s="10">
        <v>0</v>
      </c>
      <c r="G47" s="10">
        <v>0</v>
      </c>
      <c r="H47" s="10">
        <v>0</v>
      </c>
      <c r="I47" s="10">
        <v>0</v>
      </c>
      <c r="J47" s="10">
        <v>0</v>
      </c>
      <c r="K47" s="10">
        <v>0</v>
      </c>
      <c r="L47" s="10">
        <v>0</v>
      </c>
      <c r="M47" s="10" t="str">
        <v>Préparation de données (format, structuration, harmonisation des valeurs), Correction et mise en cohérence de documents</v>
      </c>
      <c r="N47" s="10" t="str">
        <v>De manière VOLONTAIRE (vous avez choisi vous-même)</v>
      </c>
      <c r="O47" s="10" t="str">
        <v>4. Utile</v>
      </c>
      <c r="P47" s="10" t="str">
        <v>5. Très utile</v>
      </c>
      <c r="Q47" s="10" t="str">
        <v>5. Très utile</v>
      </c>
      <c r="R47" s="10" t="str">
        <v>5. Très utile</v>
      </c>
      <c r="S47" s="10" t="str">
        <v>4. Utile</v>
      </c>
      <c r="T47" s="10" t="str">
        <v>4. Utile</v>
      </c>
      <c r="U47" s="10" t="str">
        <v>5. Très utile</v>
      </c>
      <c r="V47" s="10" t="str">
        <v>4. Utile</v>
      </c>
      <c r="W47" s="10" t="str">
        <v>3. Neutre</v>
      </c>
      <c r="X47" s="10" t="str">
        <v>4. Utile</v>
      </c>
      <c r="Y47" s="10" t="str">
        <v>5. Très utile</v>
      </c>
      <c r="Z47" s="10" t="str">
        <v>4. Utile</v>
      </c>
      <c r="AA47" s="10" t="str">
        <v>5. Très utile</v>
      </c>
      <c r="AB47" s="10" t="str">
        <v>5. Très utile</v>
      </c>
      <c r="AC47" s="10" t="str">
        <v>4. Utile</v>
      </c>
      <c r="AD47" s="10" t="str">
        <v>4. Utile</v>
      </c>
      <c r="AE47" s="10" t="str">
        <v>4. Utile</v>
      </c>
      <c r="AF47" s="10" t="str">
        <v>4. Utile</v>
      </c>
      <c r="AG47" s="10" t="str">
        <v>3. Neutre</v>
      </c>
      <c r="AH47" s="10" t="str">
        <v>5. Très utile</v>
      </c>
      <c r="AI47" s="10">
        <v>6</v>
      </c>
      <c r="AJ47" s="10" t="str">
        <v>6. Facile (Maîtrise rapide)</v>
      </c>
      <c r="AK47" s="10" t="str">
        <v>6. D'accord (S'intègre facilement)</v>
      </c>
      <c r="AL47" s="10">
        <v>4</v>
      </c>
      <c r="AM47" s="10">
        <v>5</v>
      </c>
      <c r="AN47" s="10">
        <v>5</v>
      </c>
      <c r="AO47" s="10">
        <v>6</v>
      </c>
      <c r="AP47" s="10">
        <v>6</v>
      </c>
      <c r="AQ47" s="10" t="str">
        <v>4. Important</v>
      </c>
      <c r="AR47" s="10" t="str">
        <v>2. Peu important</v>
      </c>
      <c r="AS47" s="10" t="str">
        <v>4. Important</v>
      </c>
      <c r="AT47" s="10" t="str">
        <v>4. Important</v>
      </c>
      <c r="AU47" s="10">
        <v>2</v>
      </c>
      <c r="AV47" s="10">
        <v>6</v>
      </c>
      <c r="AW47" s="10" t="str">
        <v>2. Très limitée (Quelques vidéos ou articles consultés)</v>
      </c>
      <c r="AX47" s="10">
        <v>6</v>
      </c>
      <c r="AY47" s="10">
        <v>5</v>
      </c>
      <c r="AZ47" s="10" t="str">
        <v>5. Plutôt d'accord (Je vérifie uniquement les points clés)</v>
      </c>
      <c r="BA47" s="10">
        <v>2</v>
      </c>
      <c r="BB47" s="10">
        <v>5</v>
      </c>
      <c r="BC47" s="10">
        <v>5</v>
      </c>
      <c r="BD47" s="10">
        <v>3</v>
      </c>
      <c r="BE47" s="10" t="str">
        <v>Oui</v>
      </c>
      <c r="BF47" s="10">
        <v>6</v>
      </c>
      <c r="BG47" s="10" t="str">
        <v>4. Neutre</v>
      </c>
      <c r="BH47" s="10">
        <v>5</v>
      </c>
      <c r="BI47" s="10" t="str">
        <v>18-25</v>
      </c>
      <c r="BJ47" s="10" t="str">
        <v>Femme</v>
      </c>
      <c r="BK47" s="10" t="str">
        <v>Junior</v>
      </c>
      <c r="BL47" s="10" t="str">
        <v>Moins de 2 ans</v>
      </c>
      <c r="BM47" s="10" t="str">
        <v>Audit Financier</v>
      </c>
      <c r="BN47" s="10" t="str">
        <v>Cabinet international</v>
      </c>
      <c r="BO47" s="10">
        <v>0</v>
      </c>
      <c r="BP47" s="10">
        <f>IF(ISNUMBER($AI$47),ROUND((((($AI$47-1)*(4/6))+1)),4),"")</f>
        <v>4.3333000000000004</v>
      </c>
      <c r="BQ47" s="10">
        <f>IF(ISNUMBER($AL$47),8-$AL$47,"")</f>
        <v>4</v>
      </c>
      <c r="BR47" s="10">
        <f>IFERROR(8-VALUE(LEFT($AZ$47,1)),"")</f>
        <v>3</v>
      </c>
      <c r="BS47" s="10">
        <f>IF(ISNUMBER($BC$47),8-$BC$47,"")</f>
        <v>3</v>
      </c>
      <c r="BT47" s="10">
        <f>IF(ISNUMBER($BD$47),8-$BD$47,"")</f>
        <v>5</v>
      </c>
      <c r="BU47" s="10">
        <f>IFERROR(ROUND(AVERAGE(VALUE(LEFT($O$47,1)),VALUE(LEFT($P$47,1)),VALUE(LEFT($Q$47,1)),VALUE(LEFT($R$47,1)),VALUE(LEFT($S$47,1)),VALUE(LEFT($T$47,1)),VALUE(LEFT($U$47,1)),VALUE(LEFT($V$47,1)),VALUE(LEFT($W$47,1)),VALUE(LEFT($X$47,1)),VALUE(LEFT($Y$47,1)),VALUE(LEFT($Z$47,1)),VALUE(LEFT($AA$47,1)),VALUE(LEFT($AB$47,1)),VALUE(LEFT($AC$47,1)),VALUE(LEFT($AD$47,1)),VALUE(LEFT($AE$47,1)),VALUE(LEFT($AF$47,1)),VALUE(LEFT($AG$47,1)),VALUE(LEFT($AH$47,1)),$BP$47),4),"")</f>
        <v>4.3015999999999996</v>
      </c>
      <c r="BV47" s="10">
        <f>IFERROR(ROUND(AVERAGE(VALUE(LEFT($AJ$47,1)),VALUE(LEFT($AK$47,1)),$BQ$47),4),"")</f>
        <v>5.3333000000000004</v>
      </c>
      <c r="BW47" s="10">
        <f>IFERROR(ROUND(AVERAGE($AM$47,$AN$47,$AO$47,$AP$47),4),"")</f>
        <v>5.5</v>
      </c>
      <c r="BX47" s="10">
        <f>IFERROR(ROUND(AVERAGE(VALUE(LEFT($AW$47,1)),$AX$47,$AY$47),4),"")</f>
        <v>4.3333000000000004</v>
      </c>
      <c r="BY47" s="10">
        <f>IFERROR(ROUND(AVERAGE($BR$47,$BA$47,$BB$47,$BS$47,$BT$47),4),"")</f>
        <v>3.6</v>
      </c>
      <c r="BZ47" s="10" t="str">
        <f>IF(OR($BK$47="Junior",$BK$47="Stagiaire",$BK$47="Alternant"),"Junior",IF(OR($BK$47="Superviseur",$BK$47="Superviseur ",$BK$47="Senior",$BK$47="Senior Manager",$BK$47="Manager"),"Senior-Manager",IF(OR($BK$47="Associe",$BK$47="Associé"),"Associe","Autre")))</f>
        <v>Junior</v>
      </c>
      <c r="CA47" s="10" t="b">
        <f>AND(NOT(ISNUMBER(SEARCH("Jamais",$B$47))),$BG$47="4. Neutre")</f>
        <v>1</v>
      </c>
      <c r="CB47">
        <f t="shared" si="0"/>
        <v>4</v>
      </c>
    </row>
    <row r="48" spans="1:80" x14ac:dyDescent="0.25">
      <c r="A48" s="41">
        <v>46072.741909942131</v>
      </c>
      <c r="B48" s="9" t="str">
        <v>5. Régulièrement (Plusieurs fois par semaine)</v>
      </c>
      <c r="C48" s="9" t="str">
        <v>Usage mix des deux</v>
      </c>
      <c r="D48" s="9">
        <v>0</v>
      </c>
      <c r="E48" s="9" t="str">
        <v>Version entreprise</v>
      </c>
      <c r="F48" s="9">
        <v>0</v>
      </c>
      <c r="G48" s="9">
        <v>0</v>
      </c>
      <c r="H48" s="9">
        <v>0</v>
      </c>
      <c r="I48" s="9">
        <v>0</v>
      </c>
      <c r="J48" s="9">
        <v>0</v>
      </c>
      <c r="K48" s="9">
        <v>0</v>
      </c>
      <c r="L48" s="9">
        <v>0</v>
      </c>
      <c r="M48" s="9" t="str">
        <v>Reformulation ou traduction de documents, Préparation de données (format, structuration, harmonisation des valeurs), Recherche d'informations ou de points techniques</v>
      </c>
      <c r="N48" s="9" t="str">
        <v>De manière VOLONTAIRE (vous avez choisi vous-même)</v>
      </c>
      <c r="O48" s="9" t="str">
        <v>4. Utile</v>
      </c>
      <c r="P48" s="9" t="str">
        <v>5. Très utile</v>
      </c>
      <c r="Q48" s="9" t="str">
        <v>4. Utile</v>
      </c>
      <c r="R48" s="9" t="str">
        <v>4. Utile</v>
      </c>
      <c r="S48" s="9" t="str">
        <v>4. Utile</v>
      </c>
      <c r="T48" s="9" t="str">
        <v>3. Neutre</v>
      </c>
      <c r="U48" s="9" t="str">
        <v>3. Neutre</v>
      </c>
      <c r="V48" s="9" t="str">
        <v>3. Neutre</v>
      </c>
      <c r="W48" s="9" t="str">
        <v>4. Utile</v>
      </c>
      <c r="X48" s="9" t="str">
        <v>5. Très utile</v>
      </c>
      <c r="Y48" s="9" t="str">
        <v>5. Très utile</v>
      </c>
      <c r="Z48" s="9" t="str">
        <v>5. Très utile</v>
      </c>
      <c r="AA48" s="9" t="str">
        <v>5. Très utile</v>
      </c>
      <c r="AB48" s="9" t="str">
        <v>5. Très utile</v>
      </c>
      <c r="AC48" s="9" t="str">
        <v>3. Neutre</v>
      </c>
      <c r="AD48" s="9" t="str">
        <v>4. Utile</v>
      </c>
      <c r="AE48" s="9" t="str">
        <v>3. Neutre</v>
      </c>
      <c r="AF48" s="9" t="str">
        <v>3. Neutre</v>
      </c>
      <c r="AG48" s="9" t="str">
        <v>4. Utile</v>
      </c>
      <c r="AH48" s="9" t="str">
        <v>4. Utile</v>
      </c>
      <c r="AI48" s="9">
        <v>6</v>
      </c>
      <c r="AJ48" s="9" t="str">
        <v>7. Très facile (Instinctif / Sans aide)</v>
      </c>
      <c r="AK48" s="9" t="str">
        <v>7. Tout à fait d'accord (Automatisme quotidien)</v>
      </c>
      <c r="AL48" s="9">
        <v>5</v>
      </c>
      <c r="AM48" s="9">
        <v>6</v>
      </c>
      <c r="AN48" s="9">
        <v>7</v>
      </c>
      <c r="AO48" s="9">
        <v>7</v>
      </c>
      <c r="AP48" s="9">
        <v>4</v>
      </c>
      <c r="AQ48" s="9" t="str">
        <v>5. Très important</v>
      </c>
      <c r="AR48" s="9" t="str">
        <v>5. Très important</v>
      </c>
      <c r="AS48" s="9" t="str">
        <v>3. Moyennement important</v>
      </c>
      <c r="AT48" s="9" t="str">
        <v>3. Moyennement important</v>
      </c>
      <c r="AU48" s="9">
        <v>3</v>
      </c>
      <c r="AV48" s="9">
        <v>3</v>
      </c>
      <c r="AW48" s="9" t="str">
        <v>1. Aucune</v>
      </c>
      <c r="AX48" s="9">
        <v>5</v>
      </c>
      <c r="AY48" s="9">
        <v>4</v>
      </c>
      <c r="AZ48" s="9" t="str">
        <v>2. En désaccord (Je contrôle la quasi-totalité des éléments)</v>
      </c>
      <c r="BA48" s="9">
        <v>6</v>
      </c>
      <c r="BB48" s="9">
        <v>7</v>
      </c>
      <c r="BC48" s="9">
        <v>4</v>
      </c>
      <c r="BD48" s="9">
        <v>3</v>
      </c>
      <c r="BE48" s="9" t="str">
        <v>Non</v>
      </c>
      <c r="BF48" s="9">
        <v>5</v>
      </c>
      <c r="BG48" s="9" t="str">
        <v>4. Neutre</v>
      </c>
      <c r="BH48" s="9">
        <v>6</v>
      </c>
      <c r="BI48" s="9" t="str">
        <v>36-45</v>
      </c>
      <c r="BJ48" s="9" t="str">
        <v>Femme</v>
      </c>
      <c r="BK48" s="9" t="str">
        <v>Associé</v>
      </c>
      <c r="BL48" s="9" t="str">
        <v>Plus de 10 ans</v>
      </c>
      <c r="BM48" s="9" t="str">
        <v>Audit Financier</v>
      </c>
      <c r="BN48" s="9" t="str">
        <v>Cabinet international</v>
      </c>
      <c r="BO48" s="9">
        <v>0</v>
      </c>
      <c r="BP48" s="9">
        <f>IF(ISNUMBER($AI$48),ROUND((((($AI$48-1)*(4/6))+1)),4),"")</f>
        <v>4.3333000000000004</v>
      </c>
      <c r="BQ48" s="9">
        <f>IF(ISNUMBER($AL$48),8-$AL$48,"")</f>
        <v>3</v>
      </c>
      <c r="BR48" s="9">
        <f>IFERROR(8-VALUE(LEFT($AZ$48,1)),"")</f>
        <v>6</v>
      </c>
      <c r="BS48" s="9">
        <f>IF(ISNUMBER($BC$48),8-$BC$48,"")</f>
        <v>4</v>
      </c>
      <c r="BT48" s="9">
        <f>IF(ISNUMBER($BD$48),8-$BD$48,"")</f>
        <v>5</v>
      </c>
      <c r="BU48" s="9">
        <f>IFERROR(ROUND(AVERAGE(VALUE(LEFT($O$48,1)),VALUE(LEFT($P$48,1)),VALUE(LEFT($Q$48,1)),VALUE(LEFT($R$48,1)),VALUE(LEFT($S$48,1)),VALUE(LEFT($T$48,1)),VALUE(LEFT($U$48,1)),VALUE(LEFT($V$48,1)),VALUE(LEFT($W$48,1)),VALUE(LEFT($X$48,1)),VALUE(LEFT($Y$48,1)),VALUE(LEFT($Z$48,1)),VALUE(LEFT($AA$48,1)),VALUE(LEFT($AB$48,1)),VALUE(LEFT($AC$48,1)),VALUE(LEFT($AD$48,1)),VALUE(LEFT($AE$48,1)),VALUE(LEFT($AF$48,1)),VALUE(LEFT($AG$48,1)),VALUE(LEFT($AH$48,1)),$BP$48),4),"")</f>
        <v>4.0159000000000002</v>
      </c>
      <c r="BV48" s="9">
        <f>IFERROR(ROUND(AVERAGE(VALUE(LEFT($AJ$48,1)),VALUE(LEFT($AK$48,1)),$BQ$48),4),"")</f>
        <v>5.6666999999999996</v>
      </c>
      <c r="BW48" s="9">
        <f>IFERROR(ROUND(AVERAGE($AM$48,$AN$48,$AO$48,$AP$48),4),"")</f>
        <v>6</v>
      </c>
      <c r="BX48" s="9">
        <f>IFERROR(ROUND(AVERAGE(VALUE(LEFT($AW$48,1)),$AX$48,$AY$48),4),"")</f>
        <v>3.3332999999999999</v>
      </c>
      <c r="BY48" s="9">
        <f>IFERROR(ROUND(AVERAGE($BR$48,$BA$48,$BB$48,$BS$48,$BT$48),4),"")</f>
        <v>5.6</v>
      </c>
      <c r="BZ48" s="9" t="str">
        <f>IF(OR($BK$48="Junior",$BK$48="Stagiaire",$BK$48="Alternant"),"Junior",IF(OR($BK$48="Superviseur",$BK$48="Superviseur ",$BK$48="Senior",$BK$48="Senior Manager",$BK$48="Manager"),"Senior-Manager",IF(OR($BK$48="Associe",$BK$48="Associé"),"Associe","Autre")))</f>
        <v>Associe</v>
      </c>
      <c r="CA48" s="9" t="b">
        <f>AND(NOT(ISNUMBER(SEARCH("Jamais",$B$48))),$BG$48="4. Neutre")</f>
        <v>1</v>
      </c>
      <c r="CB48">
        <f t="shared" si="0"/>
        <v>5</v>
      </c>
    </row>
    <row r="49" spans="1:80" x14ac:dyDescent="0.25">
      <c r="A49" s="42">
        <v>46072.757844004627</v>
      </c>
      <c r="B49" s="10" t="str">
        <v>5. Régulièrement (Plusieurs fois par semaine)</v>
      </c>
      <c r="C49" s="10" t="str">
        <v>Outils fournis/agréés par le cabinet (ex: Copilot sécurisé)</v>
      </c>
      <c r="D49" s="10" t="str">
        <v>Version entreprise</v>
      </c>
      <c r="E49" s="10" t="str">
        <v>Version entreprise</v>
      </c>
      <c r="F49" s="10" t="str">
        <v>Version grand public</v>
      </c>
      <c r="G49" s="10" t="str">
        <v>Version grand public</v>
      </c>
      <c r="H49" s="10" t="str">
        <v>Version grand public</v>
      </c>
      <c r="I49" s="10" t="str">
        <v>Version grand public</v>
      </c>
      <c r="J49" s="10" t="str">
        <v>Version grand public</v>
      </c>
      <c r="K49" s="10" t="str">
        <v>Version entreprise</v>
      </c>
      <c r="L49" s="10" t="str">
        <v>Version grand public</v>
      </c>
      <c r="M49" s="10" t="str">
        <v>Analyse de données et génération d'insights, Correction et mise en cohérence de documents, Rédaction (rapports, synthèses, notes, mails), Recherche d'informations ou de points techniques, Rapprochement/Comparaison de documents, Reformulation ou traduction de documents</v>
      </c>
      <c r="N49" s="10" t="str">
        <v>De manière VOLONTAIRE (vous avez choisi vous-même)</v>
      </c>
      <c r="O49" s="10" t="str">
        <v>4. Utile</v>
      </c>
      <c r="P49" s="10" t="str">
        <v>4. Utile</v>
      </c>
      <c r="Q49" s="10" t="str">
        <v>4. Utile</v>
      </c>
      <c r="R49" s="10" t="str">
        <v>4. Utile</v>
      </c>
      <c r="S49" s="10" t="str">
        <v>3. Neutre</v>
      </c>
      <c r="T49" s="10" t="str">
        <v>3. Neutre</v>
      </c>
      <c r="U49" s="10" t="str">
        <v>1. Pas du tout utile</v>
      </c>
      <c r="V49" s="10" t="str">
        <v>1. Pas du tout utile</v>
      </c>
      <c r="W49" s="10" t="str">
        <v>1. Pas du tout utile</v>
      </c>
      <c r="X49" s="10" t="str">
        <v>4. Utile</v>
      </c>
      <c r="Y49" s="10" t="str">
        <v>4. Utile</v>
      </c>
      <c r="Z49" s="10" t="str">
        <v>4. Utile</v>
      </c>
      <c r="AA49" s="10" t="str">
        <v>4. Utile</v>
      </c>
      <c r="AB49" s="10" t="str">
        <v>4. Utile</v>
      </c>
      <c r="AC49" s="10" t="str">
        <v>3. Neutre</v>
      </c>
      <c r="AD49" s="10" t="str">
        <v>3. Neutre</v>
      </c>
      <c r="AE49" s="10" t="str">
        <v>1. Pas du tout utile</v>
      </c>
      <c r="AF49" s="10" t="str">
        <v>1. Pas du tout utile</v>
      </c>
      <c r="AG49" s="10" t="str">
        <v>1. Pas du tout utile</v>
      </c>
      <c r="AH49" s="10" t="str">
        <v>4. Utile</v>
      </c>
      <c r="AI49" s="10">
        <v>5</v>
      </c>
      <c r="AJ49" s="10" t="str">
        <v>4. Ni facile, ni difficile (Prise en main normale)</v>
      </c>
      <c r="AK49" s="10" t="str">
        <v>5. Plutôt d'accord (S'intègre assez bien)</v>
      </c>
      <c r="AL49" s="10">
        <v>4</v>
      </c>
      <c r="AM49" s="10">
        <v>7</v>
      </c>
      <c r="AN49" s="10">
        <v>7</v>
      </c>
      <c r="AO49" s="10">
        <v>4</v>
      </c>
      <c r="AP49" s="10">
        <v>3</v>
      </c>
      <c r="AQ49" s="10" t="str">
        <v>5. Très important</v>
      </c>
      <c r="AR49" s="10" t="str">
        <v>5. Très important</v>
      </c>
      <c r="AS49" s="10" t="str">
        <v>5. Très important</v>
      </c>
      <c r="AT49" s="10" t="str">
        <v>5. Très important</v>
      </c>
      <c r="AU49" s="10">
        <v>4</v>
      </c>
      <c r="AV49" s="10">
        <v>4</v>
      </c>
      <c r="AW49" s="10" t="str">
        <v>4. Moyenne (Environ une journée de formation cumulée)</v>
      </c>
      <c r="AX49" s="10">
        <v>6</v>
      </c>
      <c r="AY49" s="10">
        <v>6</v>
      </c>
      <c r="AZ49" s="10" t="str">
        <v>2. En désaccord (Je contrôle la quasi-totalité des éléments)</v>
      </c>
      <c r="BA49" s="10">
        <v>6</v>
      </c>
      <c r="BB49" s="10">
        <v>7</v>
      </c>
      <c r="BC49" s="10">
        <v>3</v>
      </c>
      <c r="BD49" s="10">
        <v>1</v>
      </c>
      <c r="BE49" s="10" t="str">
        <v>Non</v>
      </c>
      <c r="BF49" s="10">
        <v>5</v>
      </c>
      <c r="BG49" s="10" t="str">
        <v>4. Neutre</v>
      </c>
      <c r="BH49" s="10">
        <v>3</v>
      </c>
      <c r="BI49" s="10" t="str">
        <v>18-25</v>
      </c>
      <c r="BJ49" s="10" t="str">
        <v>Homme</v>
      </c>
      <c r="BK49" s="10" t="str">
        <v>Junior</v>
      </c>
      <c r="BL49" s="10" t="str">
        <v>Moins de 2 ans</v>
      </c>
      <c r="BM49" s="10" t="str">
        <v>Audit Financier</v>
      </c>
      <c r="BN49" s="10" t="str">
        <v>Cabinet international</v>
      </c>
      <c r="BO49" s="10">
        <v>0</v>
      </c>
      <c r="BP49" s="10">
        <f>IF(ISNUMBER($AI$49),ROUND((((($AI$49-1)*(4/6))+1)),4),"")</f>
        <v>3.6667000000000001</v>
      </c>
      <c r="BQ49" s="10">
        <f>IF(ISNUMBER($AL$49),8-$AL$49,"")</f>
        <v>4</v>
      </c>
      <c r="BR49" s="10">
        <f>IFERROR(8-VALUE(LEFT($AZ$49,1)),"")</f>
        <v>6</v>
      </c>
      <c r="BS49" s="10">
        <f>IF(ISNUMBER($BC$49),8-$BC$49,"")</f>
        <v>5</v>
      </c>
      <c r="BT49" s="10">
        <f>IF(ISNUMBER($BD$49),8-$BD$49,"")</f>
        <v>7</v>
      </c>
      <c r="BU49" s="10">
        <f>IFERROR(ROUND(AVERAGE(VALUE(LEFT($O$49,1)),VALUE(LEFT($P$49,1)),VALUE(LEFT($Q$49,1)),VALUE(LEFT($R$49,1)),VALUE(LEFT($S$49,1)),VALUE(LEFT($T$49,1)),VALUE(LEFT($U$49,1)),VALUE(LEFT($V$49,1)),VALUE(LEFT($W$49,1)),VALUE(LEFT($X$49,1)),VALUE(LEFT($Y$49,1)),VALUE(LEFT($Z$49,1)),VALUE(LEFT($AA$49,1)),VALUE(LEFT($AB$49,1)),VALUE(LEFT($AC$49,1)),VALUE(LEFT($AD$49,1)),VALUE(LEFT($AE$49,1)),VALUE(LEFT($AF$49,1)),VALUE(LEFT($AG$49,1)),VALUE(LEFT($AH$49,1)),$BP$49),4),"")</f>
        <v>2.9365000000000001</v>
      </c>
      <c r="BV49" s="10">
        <f>IFERROR(ROUND(AVERAGE(VALUE(LEFT($AJ$49,1)),VALUE(LEFT($AK$49,1)),$BQ$49),4),"")</f>
        <v>4.3333000000000004</v>
      </c>
      <c r="BW49" s="10">
        <f>IFERROR(ROUND(AVERAGE($AM$49,$AN$49,$AO$49,$AP$49),4),"")</f>
        <v>5.25</v>
      </c>
      <c r="BX49" s="10">
        <f>IFERROR(ROUND(AVERAGE(VALUE(LEFT($AW$49,1)),$AX$49,$AY$49),4),"")</f>
        <v>5.3333000000000004</v>
      </c>
      <c r="BY49" s="10">
        <f>IFERROR(ROUND(AVERAGE($BR$49,$BA$49,$BB$49,$BS$49,$BT$49),4),"")</f>
        <v>6.2</v>
      </c>
      <c r="BZ49" s="10" t="str">
        <f>IF(OR($BK$49="Junior",$BK$49="Stagiaire",$BK$49="Alternant"),"Junior",IF(OR($BK$49="Superviseur",$BK$49="Superviseur ",$BK$49="Senior",$BK$49="Senior Manager",$BK$49="Manager"),"Senior-Manager",IF(OR($BK$49="Associe",$BK$49="Associé"),"Associe","Autre")))</f>
        <v>Junior</v>
      </c>
      <c r="CA49" s="10" t="b">
        <f>AND(NOT(ISNUMBER(SEARCH("Jamais",$B$49))),$BG$49="4. Neutre")</f>
        <v>1</v>
      </c>
      <c r="CB49">
        <f t="shared" si="0"/>
        <v>5</v>
      </c>
    </row>
    <row r="50" spans="1:80" x14ac:dyDescent="0.25">
      <c r="A50" s="41">
        <v>46073.359103020834</v>
      </c>
      <c r="B50" s="9" t="str">
        <v>5. Régulièrement (Plusieurs fois par semaine)</v>
      </c>
      <c r="C50" s="9" t="str">
        <v>Usage mix des deux</v>
      </c>
      <c r="D50" s="9">
        <v>0</v>
      </c>
      <c r="E50" s="9" t="str">
        <v>Version entreprise</v>
      </c>
      <c r="F50" s="9">
        <v>0</v>
      </c>
      <c r="G50" s="9">
        <v>0</v>
      </c>
      <c r="H50" s="9">
        <v>0</v>
      </c>
      <c r="I50" s="9">
        <v>0</v>
      </c>
      <c r="J50" s="9">
        <v>0</v>
      </c>
      <c r="K50" s="9">
        <v>0</v>
      </c>
      <c r="L50" s="9">
        <v>0</v>
      </c>
      <c r="M50" s="9" t="str">
        <v>Reformulation ou traduction de documents, Recherche d'informations ou de points techniques</v>
      </c>
      <c r="N50" s="9" t="str">
        <v>De manière VOLONTAIRE (vous avez choisi vous-même)</v>
      </c>
      <c r="O50" s="9" t="str">
        <v>3. Neutre</v>
      </c>
      <c r="P50" s="9" t="str">
        <v>5. Très utile</v>
      </c>
      <c r="Q50" s="9" t="str">
        <v>5. Très utile</v>
      </c>
      <c r="R50" s="9" t="str">
        <v>3. Neutre</v>
      </c>
      <c r="S50" s="9" t="str">
        <v>4. Utile</v>
      </c>
      <c r="T50" s="9" t="str">
        <v>2. Peu utile</v>
      </c>
      <c r="U50" s="9" t="str">
        <v>1. Pas du tout utile</v>
      </c>
      <c r="V50" s="9" t="str">
        <v>1. Pas du tout utile</v>
      </c>
      <c r="W50" s="9" t="str">
        <v>3. Neutre</v>
      </c>
      <c r="X50" s="9" t="str">
        <v>5. Très utile</v>
      </c>
      <c r="Y50" s="9" t="str">
        <v>4. Utile</v>
      </c>
      <c r="Z50" s="9" t="str">
        <v>4. Utile</v>
      </c>
      <c r="AA50" s="9" t="str">
        <v>5. Très utile</v>
      </c>
      <c r="AB50" s="9" t="str">
        <v>4. Utile</v>
      </c>
      <c r="AC50" s="9" t="str">
        <v>4. Utile</v>
      </c>
      <c r="AD50" s="9" t="str">
        <v>2. Peu utile</v>
      </c>
      <c r="AE50" s="9" t="str">
        <v>1. Pas du tout utile</v>
      </c>
      <c r="AF50" s="9" t="str">
        <v>1. Pas du tout utile</v>
      </c>
      <c r="AG50" s="9" t="str">
        <v>4. Utile</v>
      </c>
      <c r="AH50" s="9" t="str">
        <v>4. Utile</v>
      </c>
      <c r="AI50" s="9">
        <v>5</v>
      </c>
      <c r="AJ50" s="9" t="str">
        <v>5. Plutôt facile (Assez intuitif)</v>
      </c>
      <c r="AK50" s="9" t="str">
        <v>5. Plutôt d'accord (S'intègre assez bien)</v>
      </c>
      <c r="AL50" s="9">
        <v>5</v>
      </c>
      <c r="AM50" s="9">
        <v>7</v>
      </c>
      <c r="AN50" s="9">
        <v>5</v>
      </c>
      <c r="AO50" s="9">
        <v>3</v>
      </c>
      <c r="AP50" s="9">
        <v>2</v>
      </c>
      <c r="AQ50" s="9" t="str">
        <v>5. Très important</v>
      </c>
      <c r="AR50" s="9" t="str">
        <v>5. Très important</v>
      </c>
      <c r="AS50" s="9" t="str">
        <v>3. Moyennement important</v>
      </c>
      <c r="AT50" s="9" t="str">
        <v>5. Très important</v>
      </c>
      <c r="AU50" s="9">
        <v>2</v>
      </c>
      <c r="AV50" s="9">
        <v>3</v>
      </c>
      <c r="AW50" s="9" t="str">
        <v>5. Solide (Plusieurs jours de formation ou modules suivis)</v>
      </c>
      <c r="AX50" s="9">
        <v>5</v>
      </c>
      <c r="AY50" s="9">
        <v>5</v>
      </c>
      <c r="AZ50" s="9" t="str">
        <v>1. Pas du tout d’accord (Je vérifie systématiquement chaque détail)</v>
      </c>
      <c r="BA50" s="9">
        <v>4</v>
      </c>
      <c r="BB50" s="9">
        <v>5</v>
      </c>
      <c r="BC50" s="9">
        <v>5</v>
      </c>
      <c r="BD50" s="9">
        <v>2</v>
      </c>
      <c r="BE50" s="9" t="str">
        <v>Oui</v>
      </c>
      <c r="BF50" s="9">
        <v>5</v>
      </c>
      <c r="BG50" s="9" t="str">
        <v>4. Neutre</v>
      </c>
      <c r="BH50" s="9">
        <v>5</v>
      </c>
      <c r="BI50" s="9" t="str">
        <v>18-25</v>
      </c>
      <c r="BJ50" s="9" t="str">
        <v>Homme</v>
      </c>
      <c r="BK50" s="9" t="str">
        <v>Junior</v>
      </c>
      <c r="BL50" s="9" t="str">
        <v>Moins de 2 ans</v>
      </c>
      <c r="BM50" s="9" t="str">
        <v>Audit Financier</v>
      </c>
      <c r="BN50" s="9" t="str">
        <v>Cabinet international</v>
      </c>
      <c r="BO50" s="9">
        <v>0</v>
      </c>
      <c r="BP50" s="9">
        <f>IF(ISNUMBER($AI$50),ROUND((((($AI$50-1)*(4/6))+1)),4),"")</f>
        <v>3.6667000000000001</v>
      </c>
      <c r="BQ50" s="9">
        <f>IF(ISNUMBER($AL$50),8-$AL$50,"")</f>
        <v>3</v>
      </c>
      <c r="BR50" s="9">
        <f>IFERROR(8-VALUE(LEFT($AZ$50,1)),"")</f>
        <v>7</v>
      </c>
      <c r="BS50" s="9">
        <f>IF(ISNUMBER($BC$50),8-$BC$50,"")</f>
        <v>3</v>
      </c>
      <c r="BT50" s="9">
        <f>IF(ISNUMBER($BD$50),8-$BD$50,"")</f>
        <v>6</v>
      </c>
      <c r="BU50" s="9">
        <f>IFERROR(ROUND(AVERAGE(VALUE(LEFT($O$50,1)),VALUE(LEFT($P$50,1)),VALUE(LEFT($Q$50,1)),VALUE(LEFT($R$50,1)),VALUE(LEFT($S$50,1)),VALUE(LEFT($T$50,1)),VALUE(LEFT($U$50,1)),VALUE(LEFT($V$50,1)),VALUE(LEFT($W$50,1)),VALUE(LEFT($X$50,1)),VALUE(LEFT($Y$50,1)),VALUE(LEFT($Z$50,1)),VALUE(LEFT($AA$50,1)),VALUE(LEFT($AB$50,1)),VALUE(LEFT($AC$50,1)),VALUE(LEFT($AD$50,1)),VALUE(LEFT($AE$50,1)),VALUE(LEFT($AF$50,1)),VALUE(LEFT($AG$50,1)),VALUE(LEFT($AH$50,1)),$BP$50),4),"")</f>
        <v>3.2698</v>
      </c>
      <c r="BV50" s="9">
        <f>IFERROR(ROUND(AVERAGE(VALUE(LEFT($AJ$50,1)),VALUE(LEFT($AK$50,1)),$BQ$50),4),"")</f>
        <v>4.3333000000000004</v>
      </c>
      <c r="BW50" s="9">
        <f>IFERROR(ROUND(AVERAGE($AM$50,$AN$50,$AO$50,$AP$50),4),"")</f>
        <v>4.25</v>
      </c>
      <c r="BX50" s="9">
        <f>IFERROR(ROUND(AVERAGE(VALUE(LEFT($AW$50,1)),$AX$50,$AY$50),4),"")</f>
        <v>5</v>
      </c>
      <c r="BY50" s="9">
        <f>IFERROR(ROUND(AVERAGE($BR$50,$BA$50,$BB$50,$BS$50,$BT$50),4),"")</f>
        <v>5</v>
      </c>
      <c r="BZ50" s="9" t="str">
        <f>IF(OR($BK$50="Junior",$BK$50="Stagiaire",$BK$50="Alternant"),"Junior",IF(OR($BK$50="Superviseur",$BK$50="Superviseur ",$BK$50="Senior",$BK$50="Senior Manager",$BK$50="Manager"),"Senior-Manager",IF(OR($BK$50="Associe",$BK$50="Associé"),"Associe","Autre")))</f>
        <v>Junior</v>
      </c>
      <c r="CA50" s="9" t="b">
        <f>AND(NOT(ISNUMBER(SEARCH("Jamais",$B$50))),$BG$50="4. Neutre")</f>
        <v>1</v>
      </c>
      <c r="CB50">
        <f t="shared" si="0"/>
        <v>5</v>
      </c>
    </row>
    <row r="51" spans="1:80" x14ac:dyDescent="0.25">
      <c r="A51" s="42">
        <v>46073.436406111112</v>
      </c>
      <c r="B51" s="10" t="str">
        <v>5. Régulièrement (Plusieurs fois par semaine)</v>
      </c>
      <c r="C51" s="10" t="str">
        <v>Outils fournis/agréés par le cabinet (ex: Copilot sécurisé)</v>
      </c>
      <c r="D51" s="10">
        <v>0</v>
      </c>
      <c r="E51" s="10" t="str">
        <v>Version entreprise</v>
      </c>
      <c r="F51" s="10" t="str">
        <v>Version grand public</v>
      </c>
      <c r="G51" s="10" t="str">
        <v>Version grand public</v>
      </c>
      <c r="H51" s="10">
        <v>0</v>
      </c>
      <c r="I51" s="10">
        <v>0</v>
      </c>
      <c r="J51" s="10">
        <v>0</v>
      </c>
      <c r="K51" s="10">
        <v>0</v>
      </c>
      <c r="L51" s="10">
        <v>0</v>
      </c>
      <c r="M51" s="10" t="str">
        <v>Recherche d'informations ou de points techniques</v>
      </c>
      <c r="N51" s="10" t="str">
        <v>De manière RECOMMANDÉE (cabinet encourage, mais facultatif)</v>
      </c>
      <c r="O51" s="10" t="str">
        <v>4. Utile</v>
      </c>
      <c r="P51" s="10" t="str">
        <v>5. Très utile</v>
      </c>
      <c r="Q51" s="10" t="str">
        <v>5. Très utile</v>
      </c>
      <c r="R51" s="10" t="str">
        <v>5. Très utile</v>
      </c>
      <c r="S51" s="10" t="str">
        <v>5. Très utile</v>
      </c>
      <c r="T51" s="10" t="str">
        <v>3. Neutre</v>
      </c>
      <c r="U51" s="10" t="str">
        <v>3. Neutre</v>
      </c>
      <c r="V51" s="10" t="str">
        <v>4. Utile</v>
      </c>
      <c r="W51" s="10" t="str">
        <v>2. Peu utile</v>
      </c>
      <c r="X51" s="10" t="str">
        <v>5. Très utile</v>
      </c>
      <c r="Y51" s="10" t="str">
        <v>3. Neutre</v>
      </c>
      <c r="Z51" s="10" t="str">
        <v>4. Utile</v>
      </c>
      <c r="AA51" s="10" t="str">
        <v>4. Utile</v>
      </c>
      <c r="AB51" s="10" t="str">
        <v>3. Neutre</v>
      </c>
      <c r="AC51" s="10" t="str">
        <v>5. Très utile</v>
      </c>
      <c r="AD51" s="10" t="str">
        <v>2. Peu utile</v>
      </c>
      <c r="AE51" s="10" t="str">
        <v>2. Peu utile</v>
      </c>
      <c r="AF51" s="10" t="str">
        <v>3. Neutre</v>
      </c>
      <c r="AG51" s="10" t="str">
        <v>2. Peu utile</v>
      </c>
      <c r="AH51" s="10" t="str">
        <v>3. Neutre</v>
      </c>
      <c r="AI51" s="10">
        <v>6</v>
      </c>
      <c r="AJ51" s="10" t="str">
        <v>6. Facile (Maîtrise rapide)</v>
      </c>
      <c r="AK51" s="10" t="str">
        <v>5. Plutôt d'accord (S'intègre assez bien)</v>
      </c>
      <c r="AL51" s="10">
        <v>6</v>
      </c>
      <c r="AM51" s="10">
        <v>7</v>
      </c>
      <c r="AN51" s="10">
        <v>6</v>
      </c>
      <c r="AO51" s="10">
        <v>2</v>
      </c>
      <c r="AP51" s="10">
        <v>7</v>
      </c>
      <c r="AQ51" s="10" t="str">
        <v>5. Très important</v>
      </c>
      <c r="AR51" s="10" t="str">
        <v>5. Très important</v>
      </c>
      <c r="AS51" s="10" t="str">
        <v>3. Moyennement important</v>
      </c>
      <c r="AT51" s="10" t="str">
        <v>4. Important</v>
      </c>
      <c r="AU51" s="10">
        <v>5</v>
      </c>
      <c r="AV51" s="10">
        <v>5</v>
      </c>
      <c r="AW51" s="10" t="str">
        <v>4. Moyenne (Environ une journée de formation cumulée)</v>
      </c>
      <c r="AX51" s="10">
        <v>5</v>
      </c>
      <c r="AY51" s="10">
        <v>5</v>
      </c>
      <c r="AZ51" s="10" t="str">
        <v>4. Neutre (Le niveau de vérification dépend de la complexité)</v>
      </c>
      <c r="BA51" s="10">
        <v>3</v>
      </c>
      <c r="BB51" s="10">
        <v>5</v>
      </c>
      <c r="BC51" s="10">
        <v>3</v>
      </c>
      <c r="BD51" s="10">
        <v>4</v>
      </c>
      <c r="BE51" s="10" t="str">
        <v>Non</v>
      </c>
      <c r="BF51" s="10">
        <v>2</v>
      </c>
      <c r="BG51" s="10" t="str">
        <v>4. Neutre</v>
      </c>
      <c r="BH51" s="10">
        <v>6</v>
      </c>
      <c r="BI51" s="10" t="str">
        <v>18-25</v>
      </c>
      <c r="BJ51" s="10" t="str">
        <v>Homme</v>
      </c>
      <c r="BK51" s="10" t="str">
        <v>Junior</v>
      </c>
      <c r="BL51" s="10" t="str">
        <v>Moins de 2 ans</v>
      </c>
      <c r="BM51" s="10" t="str">
        <v>Audit Financier</v>
      </c>
      <c r="BN51" s="10" t="str">
        <v>Cabinet régional</v>
      </c>
      <c r="BO51" s="10">
        <v>0</v>
      </c>
      <c r="BP51" s="10">
        <f>IF(ISNUMBER($AI$51),ROUND((((($AI$51-1)*(4/6))+1)),4),"")</f>
        <v>4.3333000000000004</v>
      </c>
      <c r="BQ51" s="10">
        <f>IF(ISNUMBER($AL$51),8-$AL$51,"")</f>
        <v>2</v>
      </c>
      <c r="BR51" s="10">
        <f>IFERROR(8-VALUE(LEFT($AZ$51,1)),"")</f>
        <v>4</v>
      </c>
      <c r="BS51" s="10">
        <f>IF(ISNUMBER($BC$51),8-$BC$51,"")</f>
        <v>5</v>
      </c>
      <c r="BT51" s="10">
        <f>IF(ISNUMBER($BD$51),8-$BD$51,"")</f>
        <v>4</v>
      </c>
      <c r="BU51" s="10">
        <f>IFERROR(ROUND(AVERAGE(VALUE(LEFT($O$51,1)),VALUE(LEFT($P$51,1)),VALUE(LEFT($Q$51,1)),VALUE(LEFT($R$51,1)),VALUE(LEFT($S$51,1)),VALUE(LEFT($T$51,1)),VALUE(LEFT($U$51,1)),VALUE(LEFT($V$51,1)),VALUE(LEFT($W$51,1)),VALUE(LEFT($X$51,1)),VALUE(LEFT($Y$51,1)),VALUE(LEFT($Z$51,1)),VALUE(LEFT($AA$51,1)),VALUE(LEFT($AB$51,1)),VALUE(LEFT($AC$51,1)),VALUE(LEFT($AD$51,1)),VALUE(LEFT($AE$51,1)),VALUE(LEFT($AF$51,1)),VALUE(LEFT($AG$51,1)),VALUE(LEFT($AH$51,1)),$BP$51),4),"")</f>
        <v>3.6349</v>
      </c>
      <c r="BV51" s="10">
        <f>IFERROR(ROUND(AVERAGE(VALUE(LEFT($AJ$51,1)),VALUE(LEFT($AK$51,1)),$BQ$51),4),"")</f>
        <v>4.3333000000000004</v>
      </c>
      <c r="BW51" s="10">
        <f>IFERROR(ROUND(AVERAGE($AM$51,$AN$51,$AO$51,$AP$51),4),"")</f>
        <v>5.5</v>
      </c>
      <c r="BX51" s="10">
        <f>IFERROR(ROUND(AVERAGE(VALUE(LEFT($AW$51,1)),$AX$51,$AY$51),4),"")</f>
        <v>4.6666999999999996</v>
      </c>
      <c r="BY51" s="10">
        <f>IFERROR(ROUND(AVERAGE($BR$51,$BA$51,$BB$51,$BS$51,$BT$51),4),"")</f>
        <v>4.2</v>
      </c>
      <c r="BZ51" s="10" t="str">
        <f>IF(OR($BK$51="Junior",$BK$51="Stagiaire",$BK$51="Alternant"),"Junior",IF(OR($BK$51="Superviseur",$BK$51="Superviseur ",$BK$51="Senior",$BK$51="Senior Manager",$BK$51="Manager"),"Senior-Manager",IF(OR($BK$51="Associe",$BK$51="Associé"),"Associe","Autre")))</f>
        <v>Junior</v>
      </c>
      <c r="CA51" s="10" t="b">
        <f>AND(NOT(ISNUMBER(SEARCH("Jamais",$B$51))),$BG$51="4. Neutre")</f>
        <v>1</v>
      </c>
      <c r="CB51">
        <f t="shared" si="0"/>
        <v>5</v>
      </c>
    </row>
    <row r="52" spans="1:80" x14ac:dyDescent="0.25">
      <c r="A52" s="41">
        <v>46073.481208993056</v>
      </c>
      <c r="B52" s="9" t="str">
        <v>4. Parfois (Environ une fois par semaine)</v>
      </c>
      <c r="C52" s="9" t="str">
        <v>Outils fournis/agréés par le cabinet (ex: Copilot sécurisé)</v>
      </c>
      <c r="D52" s="9">
        <v>0</v>
      </c>
      <c r="E52" s="9" t="str">
        <v>Version entreprise</v>
      </c>
      <c r="F52" s="9">
        <v>0</v>
      </c>
      <c r="G52" s="9">
        <v>0</v>
      </c>
      <c r="H52" s="9">
        <v>0</v>
      </c>
      <c r="I52" s="9">
        <v>0</v>
      </c>
      <c r="J52" s="9">
        <v>0</v>
      </c>
      <c r="K52" s="9" t="str">
        <v>Version entreprise</v>
      </c>
      <c r="L52" s="9">
        <v>0</v>
      </c>
      <c r="M52" s="9" t="str">
        <v>Rédaction (rapports, synthèses, notes, mails), Reformulation ou traduction de documents</v>
      </c>
      <c r="N52" s="9" t="str">
        <v>De manière RECOMMANDÉE (cabinet encourage, mais facultatif)</v>
      </c>
      <c r="O52" s="9" t="str">
        <v>4. Utile</v>
      </c>
      <c r="P52" s="9" t="str">
        <v>5. Très utile</v>
      </c>
      <c r="Q52" s="9" t="str">
        <v>5. Très utile</v>
      </c>
      <c r="R52" s="9" t="str">
        <v>4. Utile</v>
      </c>
      <c r="S52" s="9" t="str">
        <v>4. Utile</v>
      </c>
      <c r="T52" s="9" t="str">
        <v>2. Peu utile</v>
      </c>
      <c r="U52" s="9" t="str">
        <v>1. Pas du tout utile</v>
      </c>
      <c r="V52" s="9" t="str">
        <v>1. Pas du tout utile</v>
      </c>
      <c r="W52" s="9" t="str">
        <v>1. Pas du tout utile</v>
      </c>
      <c r="X52" s="9" t="str">
        <v>4. Utile</v>
      </c>
      <c r="Y52" s="9" t="str">
        <v>4. Utile</v>
      </c>
      <c r="Z52" s="9" t="str">
        <v>4. Utile</v>
      </c>
      <c r="AA52" s="9" t="str">
        <v>4. Utile</v>
      </c>
      <c r="AB52" s="9" t="str">
        <v>4. Utile</v>
      </c>
      <c r="AC52" s="9" t="str">
        <v>4. Utile</v>
      </c>
      <c r="AD52" s="9" t="str">
        <v>2. Peu utile</v>
      </c>
      <c r="AE52" s="9" t="str">
        <v>2. Peu utile</v>
      </c>
      <c r="AF52" s="9" t="str">
        <v>1. Pas du tout utile</v>
      </c>
      <c r="AG52" s="9" t="str">
        <v>1. Pas du tout utile</v>
      </c>
      <c r="AH52" s="9" t="str">
        <v>2. Peu utile</v>
      </c>
      <c r="AI52" s="9">
        <v>6</v>
      </c>
      <c r="AJ52" s="9" t="str">
        <v>6. Facile (Maîtrise rapide)</v>
      </c>
      <c r="AK52" s="9" t="str">
        <v>5. Plutôt d'accord (S'intègre assez bien)</v>
      </c>
      <c r="AL52" s="9">
        <v>2</v>
      </c>
      <c r="AM52" s="9">
        <v>7</v>
      </c>
      <c r="AN52" s="9">
        <v>5</v>
      </c>
      <c r="AO52" s="9">
        <v>6</v>
      </c>
      <c r="AP52" s="9">
        <v>7</v>
      </c>
      <c r="AQ52" s="9" t="str">
        <v>5. Très important</v>
      </c>
      <c r="AR52" s="9" t="str">
        <v>3. Moyennement important</v>
      </c>
      <c r="AS52" s="9" t="str">
        <v>3. Moyennement important</v>
      </c>
      <c r="AT52" s="9" t="str">
        <v>5. Très important</v>
      </c>
      <c r="AU52" s="9">
        <v>4</v>
      </c>
      <c r="AV52" s="9">
        <v>6</v>
      </c>
      <c r="AW52" s="9" t="str">
        <v>3. Faible (Moins de 5 heures de formation au total)</v>
      </c>
      <c r="AX52" s="9">
        <v>5</v>
      </c>
      <c r="AY52" s="9">
        <v>5</v>
      </c>
      <c r="AZ52" s="9" t="str">
        <v>4. Neutre (Le niveau de vérification dépend de la complexité)</v>
      </c>
      <c r="BA52" s="9">
        <v>6</v>
      </c>
      <c r="BB52" s="9">
        <v>6</v>
      </c>
      <c r="BC52" s="9">
        <v>7</v>
      </c>
      <c r="BD52" s="9">
        <v>4</v>
      </c>
      <c r="BE52" s="9" t="str">
        <v>Oui</v>
      </c>
      <c r="BF52" s="9">
        <v>6</v>
      </c>
      <c r="BG52" s="9" t="str">
        <v>4. Neutre</v>
      </c>
      <c r="BH52" s="9">
        <v>6</v>
      </c>
      <c r="BI52" s="9" t="str">
        <v>18-25</v>
      </c>
      <c r="BJ52" s="9" t="str">
        <v>Homme</v>
      </c>
      <c r="BK52" s="9" t="str">
        <v>Junior</v>
      </c>
      <c r="BL52" s="9" t="str">
        <v>Moins de 2 ans</v>
      </c>
      <c r="BM52" s="9" t="str">
        <v>Audit Financier</v>
      </c>
      <c r="BN52" s="9" t="str">
        <v>Cabinet international</v>
      </c>
      <c r="BO52" s="9">
        <v>0</v>
      </c>
      <c r="BP52" s="9">
        <f>IF(ISNUMBER($AI$52),ROUND((((($AI$52-1)*(4/6))+1)),4),"")</f>
        <v>4.3333000000000004</v>
      </c>
      <c r="BQ52" s="9">
        <f>IF(ISNUMBER($AL$52),8-$AL$52,"")</f>
        <v>6</v>
      </c>
      <c r="BR52" s="9">
        <f>IFERROR(8-VALUE(LEFT($AZ$52,1)),"")</f>
        <v>4</v>
      </c>
      <c r="BS52" s="9">
        <f>IF(ISNUMBER($BC$52),8-$BC$52,"")</f>
        <v>1</v>
      </c>
      <c r="BT52" s="9">
        <f>IF(ISNUMBER($BD$52),8-$BD$52,"")</f>
        <v>4</v>
      </c>
      <c r="BU52" s="9">
        <f>IFERROR(ROUND(AVERAGE(VALUE(LEFT($O$52,1)),VALUE(LEFT($P$52,1)),VALUE(LEFT($Q$52,1)),VALUE(LEFT($R$52,1)),VALUE(LEFT($S$52,1)),VALUE(LEFT($T$52,1)),VALUE(LEFT($U$52,1)),VALUE(LEFT($V$52,1)),VALUE(LEFT($W$52,1)),VALUE(LEFT($X$52,1)),VALUE(LEFT($Y$52,1)),VALUE(LEFT($Z$52,1)),VALUE(LEFT($AA$52,1)),VALUE(LEFT($AB$52,1)),VALUE(LEFT($AC$52,1)),VALUE(LEFT($AD$52,1)),VALUE(LEFT($AE$52,1)),VALUE(LEFT($AF$52,1)),VALUE(LEFT($AG$52,1)),VALUE(LEFT($AH$52,1)),$BP$52),4),"")</f>
        <v>3.0158999999999998</v>
      </c>
      <c r="BV52" s="9">
        <f>IFERROR(ROUND(AVERAGE(VALUE(LEFT($AJ$52,1)),VALUE(LEFT($AK$52,1)),$BQ$52),4),"")</f>
        <v>5.6666999999999996</v>
      </c>
      <c r="BW52" s="9">
        <f>IFERROR(ROUND(AVERAGE($AM$52,$AN$52,$AO$52,$AP$52),4),"")</f>
        <v>6.25</v>
      </c>
      <c r="BX52" s="9">
        <f>IFERROR(ROUND(AVERAGE(VALUE(LEFT($AW$52,1)),$AX$52,$AY$52),4),"")</f>
        <v>4.3333000000000004</v>
      </c>
      <c r="BY52" s="9">
        <f>IFERROR(ROUND(AVERAGE($BR$52,$BA$52,$BB$52,$BS$52,$BT$52),4),"")</f>
        <v>4.2</v>
      </c>
      <c r="BZ52" s="9" t="str">
        <f>IF(OR($BK$52="Junior",$BK$52="Stagiaire",$BK$52="Alternant"),"Junior",IF(OR($BK$52="Superviseur",$BK$52="Superviseur ",$BK$52="Senior",$BK$52="Senior Manager",$BK$52="Manager"),"Senior-Manager",IF(OR($BK$52="Associe",$BK$52="Associé"),"Associe","Autre")))</f>
        <v>Junior</v>
      </c>
      <c r="CA52" s="9" t="b">
        <f>AND(NOT(ISNUMBER(SEARCH("Jamais",$B$52))),$BG$52="4. Neutre")</f>
        <v>1</v>
      </c>
      <c r="CB52">
        <f t="shared" si="0"/>
        <v>4</v>
      </c>
    </row>
    <row r="53" spans="1:80" x14ac:dyDescent="0.25">
      <c r="A53" s="42">
        <v>46073.564735914348</v>
      </c>
      <c r="B53" s="10" t="str">
        <v>7. Très fréquemment (Plusieurs fois par jour)</v>
      </c>
      <c r="C53" s="10" t="str">
        <v>Outils fournis/agréés par le cabinet (ex: Copilot sécurisé)</v>
      </c>
      <c r="D53" s="10">
        <v>0</v>
      </c>
      <c r="E53" s="10" t="str">
        <v>Version entreprise</v>
      </c>
      <c r="F53" s="10">
        <v>0</v>
      </c>
      <c r="G53" s="10">
        <v>0</v>
      </c>
      <c r="H53" s="10">
        <v>0</v>
      </c>
      <c r="I53" s="10">
        <v>0</v>
      </c>
      <c r="J53" s="10">
        <v>0</v>
      </c>
      <c r="K53" s="10" t="str">
        <v>Version entreprise</v>
      </c>
      <c r="L53" s="10">
        <v>0</v>
      </c>
      <c r="M53" s="10" t="str">
        <v>Reformulation ou traduction de documents, Correction et mise en cohérence de documents, Rédaction (rapports, synthèses, notes, mails), Aide à la décision, Recherche d'informations ou de points techniques, Analyse de données et génération d'insights</v>
      </c>
      <c r="N53" s="10" t="str">
        <v>De manière VOLONTAIRE (vous avez choisi vous-même)</v>
      </c>
      <c r="O53" s="10" t="str">
        <v>3. Neutre</v>
      </c>
      <c r="P53" s="10" t="str">
        <v>5. Très utile</v>
      </c>
      <c r="Q53" s="10" t="str">
        <v>4. Utile</v>
      </c>
      <c r="R53" s="10" t="str">
        <v>3. Neutre</v>
      </c>
      <c r="S53" s="10" t="str">
        <v>5. Très utile</v>
      </c>
      <c r="T53" s="10" t="str">
        <v>3. Neutre</v>
      </c>
      <c r="U53" s="10" t="str">
        <v>4. Utile</v>
      </c>
      <c r="V53" s="10" t="str">
        <v>4. Utile</v>
      </c>
      <c r="W53" s="10" t="str">
        <v>4. Utile</v>
      </c>
      <c r="X53" s="10" t="str">
        <v>5. Très utile</v>
      </c>
      <c r="Y53" s="10" t="str">
        <v>3. Neutre</v>
      </c>
      <c r="Z53" s="10" t="str">
        <v>4. Utile</v>
      </c>
      <c r="AA53" s="10" t="str">
        <v>4. Utile</v>
      </c>
      <c r="AB53" s="10" t="str">
        <v>3. Neutre</v>
      </c>
      <c r="AC53" s="10" t="str">
        <v>5. Très utile</v>
      </c>
      <c r="AD53" s="10" t="str">
        <v>3. Neutre</v>
      </c>
      <c r="AE53" s="10" t="str">
        <v>3. Neutre</v>
      </c>
      <c r="AF53" s="10" t="str">
        <v>3. Neutre</v>
      </c>
      <c r="AG53" s="10" t="str">
        <v>3. Neutre</v>
      </c>
      <c r="AH53" s="10" t="str">
        <v>4. Utile</v>
      </c>
      <c r="AI53" s="10">
        <v>6</v>
      </c>
      <c r="AJ53" s="10" t="str">
        <v>7. Très facile (Instinctif / Sans aide)</v>
      </c>
      <c r="AK53" s="10" t="str">
        <v>7. Tout à fait d'accord (Automatisme quotidien)</v>
      </c>
      <c r="AL53" s="10">
        <v>2</v>
      </c>
      <c r="AM53" s="10">
        <v>7</v>
      </c>
      <c r="AN53" s="10">
        <v>4</v>
      </c>
      <c r="AO53" s="10">
        <v>5</v>
      </c>
      <c r="AP53" s="10">
        <v>6</v>
      </c>
      <c r="AQ53" s="10" t="str">
        <v>5. Très important</v>
      </c>
      <c r="AR53" s="10" t="str">
        <v>5. Très important</v>
      </c>
      <c r="AS53" s="10" t="str">
        <v>3. Moyennement important</v>
      </c>
      <c r="AT53" s="10" t="str">
        <v>5. Très important</v>
      </c>
      <c r="AU53" s="10">
        <v>5</v>
      </c>
      <c r="AV53" s="10">
        <v>7</v>
      </c>
      <c r="AW53" s="10" t="str">
        <v>3. Faible (Moins de 5 heures de formation au total)</v>
      </c>
      <c r="AX53" s="10">
        <v>6</v>
      </c>
      <c r="AY53" s="10">
        <v>5</v>
      </c>
      <c r="AZ53" s="10" t="str">
        <v>1. Pas du tout d’accord (Je vérifie systématiquement chaque détail)</v>
      </c>
      <c r="BA53" s="10">
        <v>7</v>
      </c>
      <c r="BB53" s="10">
        <v>6</v>
      </c>
      <c r="BC53" s="10">
        <v>4</v>
      </c>
      <c r="BD53" s="10">
        <v>1</v>
      </c>
      <c r="BE53" s="10" t="str">
        <v>Non</v>
      </c>
      <c r="BF53" s="10">
        <v>5</v>
      </c>
      <c r="BG53" s="10" t="str">
        <v>4. Neutre</v>
      </c>
      <c r="BH53" s="10">
        <v>5</v>
      </c>
      <c r="BI53" s="10" t="str">
        <v>26-35</v>
      </c>
      <c r="BJ53" s="10" t="str">
        <v>Femme</v>
      </c>
      <c r="BK53" s="10" t="str">
        <v>Senior</v>
      </c>
      <c r="BL53" s="10" t="str">
        <v>4  - 5 ans</v>
      </c>
      <c r="BM53" s="10" t="str">
        <v>Audit Financier</v>
      </c>
      <c r="BN53" s="10" t="str">
        <v>Cabinet régional</v>
      </c>
      <c r="BO53" s="10">
        <v>0</v>
      </c>
      <c r="BP53" s="10">
        <f>IF(ISNUMBER($AI$53),ROUND((((($AI$53-1)*(4/6))+1)),4),"")</f>
        <v>4.3333000000000004</v>
      </c>
      <c r="BQ53" s="10">
        <f>IF(ISNUMBER($AL$53),8-$AL$53,"")</f>
        <v>6</v>
      </c>
      <c r="BR53" s="10">
        <f>IFERROR(8-VALUE(LEFT($AZ$53,1)),"")</f>
        <v>7</v>
      </c>
      <c r="BS53" s="10">
        <f>IF(ISNUMBER($BC$53),8-$BC$53,"")</f>
        <v>4</v>
      </c>
      <c r="BT53" s="10">
        <f>IF(ISNUMBER($BD$53),8-$BD$53,"")</f>
        <v>7</v>
      </c>
      <c r="BU53" s="10">
        <f>IFERROR(ROUND(AVERAGE(VALUE(LEFT($O$53,1)),VALUE(LEFT($P$53,1)),VALUE(LEFT($Q$53,1)),VALUE(LEFT($R$53,1)),VALUE(LEFT($S$53,1)),VALUE(LEFT($T$53,1)),VALUE(LEFT($U$53,1)),VALUE(LEFT($V$53,1)),VALUE(LEFT($W$53,1)),VALUE(LEFT($X$53,1)),VALUE(LEFT($Y$53,1)),VALUE(LEFT($Z$53,1)),VALUE(LEFT($AA$53,1)),VALUE(LEFT($AB$53,1)),VALUE(LEFT($AC$53,1)),VALUE(LEFT($AD$53,1)),VALUE(LEFT($AE$53,1)),VALUE(LEFT($AF$53,1)),VALUE(LEFT($AG$53,1)),VALUE(LEFT($AH$53,1)),$BP$53),4),"")</f>
        <v>3.7778</v>
      </c>
      <c r="BV53" s="10">
        <f>IFERROR(ROUND(AVERAGE(VALUE(LEFT($AJ$53,1)),VALUE(LEFT($AK$53,1)),$BQ$53),4),"")</f>
        <v>6.6666999999999996</v>
      </c>
      <c r="BW53" s="10">
        <f>IFERROR(ROUND(AVERAGE($AM$53,$AN$53,$AO$53,$AP$53),4),"")</f>
        <v>5.5</v>
      </c>
      <c r="BX53" s="10">
        <f>IFERROR(ROUND(AVERAGE(VALUE(LEFT($AW$53,1)),$AX$53,$AY$53),4),"")</f>
        <v>4.6666999999999996</v>
      </c>
      <c r="BY53" s="10">
        <f>IFERROR(ROUND(AVERAGE($BR$53,$BA$53,$BB$53,$BS$53,$BT$53),4),"")</f>
        <v>6.2</v>
      </c>
      <c r="BZ53" s="10" t="str">
        <f>IF(OR($BK$53="Junior",$BK$53="Stagiaire",$BK$53="Alternant"),"Junior",IF(OR($BK$53="Superviseur",$BK$53="Superviseur ",$BK$53="Senior",$BK$53="Senior Manager",$BK$53="Manager"),"Senior-Manager",IF(OR($BK$53="Associe",$BK$53="Associé"),"Associe","Autre")))</f>
        <v>Senior-Manager</v>
      </c>
      <c r="CA53" s="10" t="b">
        <f>AND(NOT(ISNUMBER(SEARCH("Jamais",$B$53))),$BG$53="4. Neutre")</f>
        <v>1</v>
      </c>
      <c r="CB53">
        <f t="shared" si="0"/>
        <v>7</v>
      </c>
    </row>
    <row r="54" spans="1:80" x14ac:dyDescent="0.25">
      <c r="A54" s="41">
        <v>46074.475416793983</v>
      </c>
      <c r="B54" s="9" t="str">
        <v>7. Très fréquemment (Plusieurs fois par jour)</v>
      </c>
      <c r="C54" s="9" t="str">
        <v>Outils fournis/agréés par le cabinet (ex: Copilot sécurisé)</v>
      </c>
      <c r="D54" s="9">
        <v>0</v>
      </c>
      <c r="E54" s="9" t="str">
        <v>Version entreprise</v>
      </c>
      <c r="F54" s="9">
        <v>0</v>
      </c>
      <c r="G54" s="9">
        <v>0</v>
      </c>
      <c r="H54" s="9">
        <v>0</v>
      </c>
      <c r="I54" s="9">
        <v>0</v>
      </c>
      <c r="J54" s="9">
        <v>0</v>
      </c>
      <c r="K54" s="9">
        <v>0</v>
      </c>
      <c r="L54" s="9">
        <v>0</v>
      </c>
      <c r="M54" s="9" t="str">
        <v>Rédaction (rapports, synthèses, notes, mails), Recherche d'informations ou de points techniques, Analyse de données et génération d'insights</v>
      </c>
      <c r="N54" s="9" t="str">
        <v>De manière RECOMMANDÉE (cabinet encourage, mais facultatif)</v>
      </c>
      <c r="O54" s="9" t="str">
        <v>4. Utile</v>
      </c>
      <c r="P54" s="9" t="str">
        <v>4. Utile</v>
      </c>
      <c r="Q54" s="9" t="str">
        <v>4. Utile</v>
      </c>
      <c r="R54" s="9" t="str">
        <v>4. Utile</v>
      </c>
      <c r="S54" s="9" t="str">
        <v>3. Neutre</v>
      </c>
      <c r="T54" s="9" t="str">
        <v>3. Neutre</v>
      </c>
      <c r="U54" s="9" t="str">
        <v>2. Peu utile</v>
      </c>
      <c r="V54" s="9" t="str">
        <v>2. Peu utile</v>
      </c>
      <c r="W54" s="9" t="str">
        <v>2. Peu utile</v>
      </c>
      <c r="X54" s="9" t="str">
        <v>3. Neutre</v>
      </c>
      <c r="Y54" s="9" t="str">
        <v>4. Utile</v>
      </c>
      <c r="Z54" s="9" t="str">
        <v>4. Utile</v>
      </c>
      <c r="AA54" s="9" t="str">
        <v>4. Utile</v>
      </c>
      <c r="AB54" s="9" t="str">
        <v>3. Neutre</v>
      </c>
      <c r="AC54" s="9" t="str">
        <v>3. Neutre</v>
      </c>
      <c r="AD54" s="9" t="str">
        <v>3. Neutre</v>
      </c>
      <c r="AE54" s="9" t="str">
        <v>3. Neutre</v>
      </c>
      <c r="AF54" s="9" t="str">
        <v>3. Neutre</v>
      </c>
      <c r="AG54" s="9" t="str">
        <v>3. Neutre</v>
      </c>
      <c r="AH54" s="9" t="str">
        <v>3. Neutre</v>
      </c>
      <c r="AI54" s="9">
        <v>7</v>
      </c>
      <c r="AJ54" s="9" t="str">
        <v>5. Plutôt facile (Assez intuitif)</v>
      </c>
      <c r="AK54" s="9" t="str">
        <v>6. D'accord (S'intègre facilement)</v>
      </c>
      <c r="AL54" s="9">
        <v>6</v>
      </c>
      <c r="AM54" s="9">
        <v>7</v>
      </c>
      <c r="AN54" s="9">
        <v>2</v>
      </c>
      <c r="AO54" s="9">
        <v>5</v>
      </c>
      <c r="AP54" s="9">
        <v>5</v>
      </c>
      <c r="AQ54" s="9" t="str">
        <v>4. Important</v>
      </c>
      <c r="AR54" s="9" t="str">
        <v>3. Moyennement important</v>
      </c>
      <c r="AS54" s="9" t="str">
        <v>3. Moyennement important</v>
      </c>
      <c r="AT54" s="9" t="str">
        <v>5. Très important</v>
      </c>
      <c r="AU54" s="9">
        <v>3</v>
      </c>
      <c r="AV54" s="9">
        <v>3</v>
      </c>
      <c r="AW54" s="9" t="str">
        <v>4. Moyenne (Environ une journée de formation cumulée)</v>
      </c>
      <c r="AX54" s="9">
        <v>5</v>
      </c>
      <c r="AY54" s="9">
        <v>5</v>
      </c>
      <c r="AZ54" s="9" t="str">
        <v>3. Plutôt en désaccord (Je procède à une revue importante)</v>
      </c>
      <c r="BA54" s="9">
        <v>6</v>
      </c>
      <c r="BB54" s="9">
        <v>6</v>
      </c>
      <c r="BC54" s="9">
        <v>5</v>
      </c>
      <c r="BD54" s="9">
        <v>2</v>
      </c>
      <c r="BE54" s="9" t="str">
        <v>Non</v>
      </c>
      <c r="BF54" s="9">
        <v>6</v>
      </c>
      <c r="BG54" s="9" t="str">
        <v>4. Neutre</v>
      </c>
      <c r="BH54" s="9">
        <v>7</v>
      </c>
      <c r="BI54" s="9" t="str">
        <v>18-25</v>
      </c>
      <c r="BJ54" s="9" t="str">
        <v>Homme</v>
      </c>
      <c r="BK54" s="9" t="str">
        <v>Junior</v>
      </c>
      <c r="BL54" s="9" t="str">
        <v>Moins de 2 ans</v>
      </c>
      <c r="BM54" s="9" t="str">
        <v>Audit Financier</v>
      </c>
      <c r="BN54" s="9" t="str">
        <v>Cabinet international</v>
      </c>
      <c r="BO54" s="9">
        <v>0</v>
      </c>
      <c r="BP54" s="9">
        <f>IF(ISNUMBER($AI$54),ROUND((((($AI$54-1)*(4/6))+1)),4),"")</f>
        <v>5</v>
      </c>
      <c r="BQ54" s="9">
        <f>IF(ISNUMBER($AL$54),8-$AL$54,"")</f>
        <v>2</v>
      </c>
      <c r="BR54" s="9">
        <f>IFERROR(8-VALUE(LEFT($AZ$54,1)),"")</f>
        <v>5</v>
      </c>
      <c r="BS54" s="9">
        <f>IF(ISNUMBER($BC$54),8-$BC$54,"")</f>
        <v>3</v>
      </c>
      <c r="BT54" s="9">
        <f>IF(ISNUMBER($BD$54),8-$BD$54,"")</f>
        <v>6</v>
      </c>
      <c r="BU54" s="9">
        <f>IFERROR(ROUND(AVERAGE(VALUE(LEFT($O$54,1)),VALUE(LEFT($P$54,1)),VALUE(LEFT($Q$54,1)),VALUE(LEFT($R$54,1)),VALUE(LEFT($S$54,1)),VALUE(LEFT($T$54,1)),VALUE(LEFT($U$54,1)),VALUE(LEFT($V$54,1)),VALUE(LEFT($W$54,1)),VALUE(LEFT($X$54,1)),VALUE(LEFT($Y$54,1)),VALUE(LEFT($Z$54,1)),VALUE(LEFT($AA$54,1)),VALUE(LEFT($AB$54,1)),VALUE(LEFT($AC$54,1)),VALUE(LEFT($AD$54,1)),VALUE(LEFT($AE$54,1)),VALUE(LEFT($AF$54,1)),VALUE(LEFT($AG$54,1)),VALUE(LEFT($AH$54,1)),$BP$54),4),"")</f>
        <v>3.2856999999999998</v>
      </c>
      <c r="BV54" s="9">
        <f>IFERROR(ROUND(AVERAGE(VALUE(LEFT($AJ$54,1)),VALUE(LEFT($AK$54,1)),$BQ$54),4),"")</f>
        <v>4.3333000000000004</v>
      </c>
      <c r="BW54" s="9">
        <f>IFERROR(ROUND(AVERAGE($AM$54,$AN$54,$AO$54,$AP$54),4),"")</f>
        <v>4.75</v>
      </c>
      <c r="BX54" s="9">
        <f>IFERROR(ROUND(AVERAGE(VALUE(LEFT($AW$54,1)),$AX$54,$AY$54),4),"")</f>
        <v>4.6666999999999996</v>
      </c>
      <c r="BY54" s="9">
        <f>IFERROR(ROUND(AVERAGE($BR$54,$BA$54,$BB$54,$BS$54,$BT$54),4),"")</f>
        <v>5.2</v>
      </c>
      <c r="BZ54" s="9" t="str">
        <f>IF(OR($BK$54="Junior",$BK$54="Stagiaire",$BK$54="Alternant"),"Junior",IF(OR($BK$54="Superviseur",$BK$54="Superviseur ",$BK$54="Senior",$BK$54="Senior Manager",$BK$54="Manager"),"Senior-Manager",IF(OR($BK$54="Associe",$BK$54="Associé"),"Associe","Autre")))</f>
        <v>Junior</v>
      </c>
      <c r="CA54" s="9" t="b">
        <f>AND(NOT(ISNUMBER(SEARCH("Jamais",$B$54))),$BG$54="4. Neutre")</f>
        <v>1</v>
      </c>
      <c r="CB54">
        <f t="shared" si="0"/>
        <v>7</v>
      </c>
    </row>
    <row r="55" spans="1:80" x14ac:dyDescent="0.25">
      <c r="A55" s="42">
        <v>46074.654695659723</v>
      </c>
      <c r="B55" s="10" t="str">
        <v>5. Régulièrement (Plusieurs fois par semaine)</v>
      </c>
      <c r="C55" s="10" t="str">
        <v>Outils grand public (ex: ChatGPT, Gemini )</v>
      </c>
      <c r="D55" s="10">
        <v>0</v>
      </c>
      <c r="E55" s="10">
        <v>0</v>
      </c>
      <c r="F55" s="10" t="str">
        <v>Version grand public</v>
      </c>
      <c r="G55" s="10" t="str">
        <v>Version grand public</v>
      </c>
      <c r="H55" s="10">
        <v>0</v>
      </c>
      <c r="I55" s="10">
        <v>0</v>
      </c>
      <c r="J55" s="10">
        <v>0</v>
      </c>
      <c r="K55" s="10">
        <v>0</v>
      </c>
      <c r="L55" s="10">
        <v>0</v>
      </c>
      <c r="M55" s="10" t="str">
        <v>Rédaction (rapports, synthèses, notes, mails), Reformulation ou traduction de documents</v>
      </c>
      <c r="N55" s="10" t="str">
        <v>De manière VOLONTAIRE (vous avez choisi vous-même)</v>
      </c>
      <c r="O55" s="10" t="str">
        <v>5. Très utile</v>
      </c>
      <c r="P55" s="10" t="str">
        <v>5. Très utile</v>
      </c>
      <c r="Q55" s="10" t="str">
        <v>5. Très utile</v>
      </c>
      <c r="R55" s="10" t="str">
        <v>5. Très utile</v>
      </c>
      <c r="S55" s="10" t="str">
        <v>3. Neutre</v>
      </c>
      <c r="T55" s="10" t="str">
        <v>2. Peu utile</v>
      </c>
      <c r="U55" s="10" t="str">
        <v>2. Peu utile</v>
      </c>
      <c r="V55" s="10" t="str">
        <v>2. Peu utile</v>
      </c>
      <c r="W55" s="10" t="str">
        <v>4. Utile</v>
      </c>
      <c r="X55" s="10" t="str">
        <v>4. Utile</v>
      </c>
      <c r="Y55" s="10" t="str">
        <v>5. Très utile</v>
      </c>
      <c r="Z55" s="10" t="str">
        <v>5. Très utile</v>
      </c>
      <c r="AA55" s="10" t="str">
        <v>5. Très utile</v>
      </c>
      <c r="AB55" s="10" t="str">
        <v>4. Utile</v>
      </c>
      <c r="AC55" s="10" t="str">
        <v>3. Neutre</v>
      </c>
      <c r="AD55" s="10" t="str">
        <v>3. Neutre</v>
      </c>
      <c r="AE55" s="10" t="str">
        <v>2. Peu utile</v>
      </c>
      <c r="AF55" s="10" t="str">
        <v>2. Peu utile</v>
      </c>
      <c r="AG55" s="10" t="str">
        <v>4. Utile</v>
      </c>
      <c r="AH55" s="10" t="str">
        <v>4. Utile</v>
      </c>
      <c r="AI55" s="10">
        <v>7</v>
      </c>
      <c r="AJ55" s="10" t="str">
        <v>7. Très facile (Instinctif / Sans aide)</v>
      </c>
      <c r="AK55" s="10" t="str">
        <v>6. D'accord (S'intègre facilement)</v>
      </c>
      <c r="AL55" s="10">
        <v>2</v>
      </c>
      <c r="AM55" s="10">
        <v>6</v>
      </c>
      <c r="AN55" s="10">
        <v>5</v>
      </c>
      <c r="AO55" s="10">
        <v>4</v>
      </c>
      <c r="AP55" s="10">
        <v>3</v>
      </c>
      <c r="AQ55" s="10" t="str">
        <v>5. Très important</v>
      </c>
      <c r="AR55" s="10" t="str">
        <v>5. Très important</v>
      </c>
      <c r="AS55" s="10" t="str">
        <v>4. Important</v>
      </c>
      <c r="AT55" s="10" t="str">
        <v>4. Important</v>
      </c>
      <c r="AU55" s="10">
        <v>1</v>
      </c>
      <c r="AV55" s="10">
        <v>7</v>
      </c>
      <c r="AW55" s="10" t="str">
        <v>5. Solide (Plusieurs jours de formation ou modules suivis)</v>
      </c>
      <c r="AX55" s="10">
        <v>7</v>
      </c>
      <c r="AY55" s="10">
        <v>6</v>
      </c>
      <c r="AZ55" s="10" t="str">
        <v>1. Pas du tout d’accord (Je vérifie systématiquement chaque détail)</v>
      </c>
      <c r="BA55" s="10">
        <v>7</v>
      </c>
      <c r="BB55" s="10">
        <v>7</v>
      </c>
      <c r="BC55" s="10">
        <v>5</v>
      </c>
      <c r="BD55" s="10">
        <v>1</v>
      </c>
      <c r="BE55" s="10" t="str">
        <v>Oui</v>
      </c>
      <c r="BF55" s="10">
        <v>7</v>
      </c>
      <c r="BG55" s="10" t="str">
        <v>4. Neutre</v>
      </c>
      <c r="BH55" s="10">
        <v>7</v>
      </c>
      <c r="BI55" s="10" t="str">
        <v>26-35</v>
      </c>
      <c r="BJ55" s="10" t="str">
        <v>Femme</v>
      </c>
      <c r="BK55" s="10" t="str">
        <v>Senior</v>
      </c>
      <c r="BL55" s="10" t="str">
        <v>2 - 3 ans</v>
      </c>
      <c r="BM55" s="10" t="str">
        <v>Audit Financier, Audit Interne</v>
      </c>
      <c r="BN55" s="10" t="str">
        <v>Cabinet local</v>
      </c>
      <c r="BO55" s="10">
        <v>0</v>
      </c>
      <c r="BP55" s="10">
        <f>IF(ISNUMBER($AI$55),ROUND((((($AI$55-1)*(4/6))+1)),4),"")</f>
        <v>5</v>
      </c>
      <c r="BQ55" s="10">
        <f>IF(ISNUMBER($AL$55),8-$AL$55,"")</f>
        <v>6</v>
      </c>
      <c r="BR55" s="10">
        <f>IFERROR(8-VALUE(LEFT($AZ$55,1)),"")</f>
        <v>7</v>
      </c>
      <c r="BS55" s="10">
        <f>IF(ISNUMBER($BC$55),8-$BC$55,"")</f>
        <v>3</v>
      </c>
      <c r="BT55" s="10">
        <f>IF(ISNUMBER($BD$55),8-$BD$55,"")</f>
        <v>7</v>
      </c>
      <c r="BU55" s="10">
        <f>IFERROR(ROUND(AVERAGE(VALUE(LEFT($O$55,1)),VALUE(LEFT($P$55,1)),VALUE(LEFT($Q$55,1)),VALUE(LEFT($R$55,1)),VALUE(LEFT($S$55,1)),VALUE(LEFT($T$55,1)),VALUE(LEFT($U$55,1)),VALUE(LEFT($V$55,1)),VALUE(LEFT($W$55,1)),VALUE(LEFT($X$55,1)),VALUE(LEFT($Y$55,1)),VALUE(LEFT($Z$55,1)),VALUE(LEFT($AA$55,1)),VALUE(LEFT($AB$55,1)),VALUE(LEFT($AC$55,1)),VALUE(LEFT($AD$55,1)),VALUE(LEFT($AE$55,1)),VALUE(LEFT($AF$55,1)),VALUE(LEFT($AG$55,1)),VALUE(LEFT($AH$55,1)),$BP$55),4),"")</f>
        <v>3.7618999999999998</v>
      </c>
      <c r="BV55" s="10">
        <f>IFERROR(ROUND(AVERAGE(VALUE(LEFT($AJ$55,1)),VALUE(LEFT($AK$55,1)),$BQ$55),4),"")</f>
        <v>6.3333000000000004</v>
      </c>
      <c r="BW55" s="10">
        <f>IFERROR(ROUND(AVERAGE($AM$55,$AN$55,$AO$55,$AP$55),4),"")</f>
        <v>4.5</v>
      </c>
      <c r="BX55" s="10">
        <f>IFERROR(ROUND(AVERAGE(VALUE(LEFT($AW$55,1)),$AX$55,$AY$55),4),"")</f>
        <v>6</v>
      </c>
      <c r="BY55" s="10">
        <f>IFERROR(ROUND(AVERAGE($BR$55,$BA$55,$BB$55,$BS$55,$BT$55),4),"")</f>
        <v>6.2</v>
      </c>
      <c r="BZ55" s="10" t="str">
        <f>IF(OR($BK$55="Junior",$BK$55="Stagiaire",$BK$55="Alternant"),"Junior",IF(OR($BK$55="Superviseur",$BK$55="Superviseur ",$BK$55="Senior",$BK$55="Senior Manager",$BK$55="Manager"),"Senior-Manager",IF(OR($BK$55="Associe",$BK$55="Associé"),"Associe","Autre")))</f>
        <v>Senior-Manager</v>
      </c>
      <c r="CA55" s="10" t="b">
        <f>AND(NOT(ISNUMBER(SEARCH("Jamais",$B$55))),$BG$55="4. Neutre")</f>
        <v>1</v>
      </c>
      <c r="CB55">
        <f t="shared" si="0"/>
        <v>5</v>
      </c>
    </row>
    <row r="56" spans="1:80" x14ac:dyDescent="0.25">
      <c r="A56" s="41">
        <v>46075.475974837973</v>
      </c>
      <c r="B56" s="9" t="str">
        <v>5. Régulièrement (Plusieurs fois par semaine)</v>
      </c>
      <c r="C56" s="9" t="str">
        <v>Outils fournis/agréés par le cabinet (ex: Copilot sécurisé)</v>
      </c>
      <c r="D56" s="9">
        <v>0</v>
      </c>
      <c r="E56" s="9" t="str">
        <v>Version entreprise</v>
      </c>
      <c r="F56" s="9">
        <v>0</v>
      </c>
      <c r="G56" s="9">
        <v>0</v>
      </c>
      <c r="H56" s="9">
        <v>0</v>
      </c>
      <c r="I56" s="9">
        <v>0</v>
      </c>
      <c r="J56" s="9">
        <v>0</v>
      </c>
      <c r="K56" s="9">
        <v>0</v>
      </c>
      <c r="L56" s="9">
        <v>0</v>
      </c>
      <c r="M56" s="9" t="str">
        <v>Analyse de données et génération d'insights, Recherche d'informations ou de points techniques, Reformulation ou traduction de documents, Rédaction (rapports, synthèses, notes, mails), Correction et mise en cohérence de documents</v>
      </c>
      <c r="N56" s="9" t="str">
        <v>De manière VOLONTAIRE (vous avez choisi vous-même)</v>
      </c>
      <c r="O56" s="9" t="str">
        <v>4. Utile</v>
      </c>
      <c r="P56" s="9" t="str">
        <v>5. Très utile</v>
      </c>
      <c r="Q56" s="9" t="str">
        <v>5. Très utile</v>
      </c>
      <c r="R56" s="9" t="str">
        <v>4. Utile</v>
      </c>
      <c r="S56" s="9" t="str">
        <v>4. Utile</v>
      </c>
      <c r="T56" s="9" t="str">
        <v>3. Neutre</v>
      </c>
      <c r="U56" s="9" t="str">
        <v>3. Neutre</v>
      </c>
      <c r="V56" s="9" t="str">
        <v>2. Peu utile</v>
      </c>
      <c r="W56" s="9" t="str">
        <v>3. Neutre</v>
      </c>
      <c r="X56" s="9" t="str">
        <v>4. Utile</v>
      </c>
      <c r="Y56" s="9" t="str">
        <v>5. Très utile</v>
      </c>
      <c r="Z56" s="9" t="str">
        <v>5. Très utile</v>
      </c>
      <c r="AA56" s="9" t="str">
        <v>5. Très utile</v>
      </c>
      <c r="AB56" s="9" t="str">
        <v>4. Utile</v>
      </c>
      <c r="AC56" s="9" t="str">
        <v>4. Utile</v>
      </c>
      <c r="AD56" s="9" t="str">
        <v>3. Neutre</v>
      </c>
      <c r="AE56" s="9" t="str">
        <v>3. Neutre</v>
      </c>
      <c r="AF56" s="9" t="str">
        <v>3. Neutre</v>
      </c>
      <c r="AG56" s="9" t="str">
        <v>3. Neutre</v>
      </c>
      <c r="AH56" s="9" t="str">
        <v>4. Utile</v>
      </c>
      <c r="AI56" s="9">
        <v>5</v>
      </c>
      <c r="AJ56" s="9" t="str">
        <v>6. Facile (Maîtrise rapide)</v>
      </c>
      <c r="AK56" s="9" t="str">
        <v>6. D'accord (S'intègre facilement)</v>
      </c>
      <c r="AL56" s="9">
        <v>6</v>
      </c>
      <c r="AM56" s="9">
        <v>6</v>
      </c>
      <c r="AN56" s="9">
        <v>2</v>
      </c>
      <c r="AO56" s="9">
        <v>4</v>
      </c>
      <c r="AP56" s="9">
        <v>5</v>
      </c>
      <c r="AQ56" s="9" t="str">
        <v>4. Important</v>
      </c>
      <c r="AR56" s="9" t="str">
        <v>5. Très important</v>
      </c>
      <c r="AS56" s="9" t="str">
        <v>4. Important</v>
      </c>
      <c r="AT56" s="9" t="str">
        <v>4. Important</v>
      </c>
      <c r="AU56" s="9">
        <v>5</v>
      </c>
      <c r="AV56" s="9">
        <v>6</v>
      </c>
      <c r="AW56" s="9" t="str">
        <v>5. Solide (Plusieurs jours de formation ou modules suivis)</v>
      </c>
      <c r="AX56" s="9">
        <v>5</v>
      </c>
      <c r="AY56" s="9">
        <v>5</v>
      </c>
      <c r="AZ56" s="9" t="str">
        <v>3. Plutôt en désaccord (Je procède à une revue importante)</v>
      </c>
      <c r="BA56" s="9">
        <v>5</v>
      </c>
      <c r="BB56" s="9">
        <v>6</v>
      </c>
      <c r="BC56" s="9">
        <v>5</v>
      </c>
      <c r="BD56" s="9">
        <v>2</v>
      </c>
      <c r="BE56" s="9" t="str">
        <v>Non</v>
      </c>
      <c r="BF56" s="9">
        <v>5</v>
      </c>
      <c r="BG56" s="9" t="str">
        <v>4. Neutre</v>
      </c>
      <c r="BH56" s="9">
        <v>5</v>
      </c>
      <c r="BI56" s="9" t="str">
        <v>18-25</v>
      </c>
      <c r="BJ56" s="9" t="str">
        <v>Femme</v>
      </c>
      <c r="BK56" s="9" t="str">
        <v>Junior</v>
      </c>
      <c r="BL56" s="9" t="str">
        <v>Moins de 2 ans</v>
      </c>
      <c r="BM56" s="9" t="str">
        <v>Audit Financier</v>
      </c>
      <c r="BN56" s="9" t="str">
        <v>Cabinet international</v>
      </c>
      <c r="BO56" s="9">
        <v>0</v>
      </c>
      <c r="BP56" s="9">
        <f>IF(ISNUMBER($AI$56),ROUND((((($AI$56-1)*(4/6))+1)),4),"")</f>
        <v>3.6667000000000001</v>
      </c>
      <c r="BQ56" s="9">
        <f>IF(ISNUMBER($AL$56),8-$AL$56,"")</f>
        <v>2</v>
      </c>
      <c r="BR56" s="9">
        <f>IFERROR(8-VALUE(LEFT($AZ$56,1)),"")</f>
        <v>5</v>
      </c>
      <c r="BS56" s="9">
        <f>IF(ISNUMBER($BC$56),8-$BC$56,"")</f>
        <v>3</v>
      </c>
      <c r="BT56" s="9">
        <f>IF(ISNUMBER($BD$56),8-$BD$56,"")</f>
        <v>6</v>
      </c>
      <c r="BU56" s="9">
        <f>IFERROR(ROUND(AVERAGE(VALUE(LEFT($O$56,1)),VALUE(LEFT($P$56,1)),VALUE(LEFT($Q$56,1)),VALUE(LEFT($R$56,1)),VALUE(LEFT($S$56,1)),VALUE(LEFT($T$56,1)),VALUE(LEFT($U$56,1)),VALUE(LEFT($V$56,1)),VALUE(LEFT($W$56,1)),VALUE(LEFT($X$56,1)),VALUE(LEFT($Y$56,1)),VALUE(LEFT($Z$56,1)),VALUE(LEFT($AA$56,1)),VALUE(LEFT($AB$56,1)),VALUE(LEFT($AC$56,1)),VALUE(LEFT($AD$56,1)),VALUE(LEFT($AE$56,1)),VALUE(LEFT($AF$56,1)),VALUE(LEFT($AG$56,1)),VALUE(LEFT($AH$56,1)),$BP$56),4),"")</f>
        <v>3.7936999999999999</v>
      </c>
      <c r="BV56" s="9">
        <f>IFERROR(ROUND(AVERAGE(VALUE(LEFT($AJ$56,1)),VALUE(LEFT($AK$56,1)),$BQ$56),4),"")</f>
        <v>4.6666999999999996</v>
      </c>
      <c r="BW56" s="9">
        <f>IFERROR(ROUND(AVERAGE($AM$56,$AN$56,$AO$56,$AP$56),4),"")</f>
        <v>4.25</v>
      </c>
      <c r="BX56" s="9">
        <f>IFERROR(ROUND(AVERAGE(VALUE(LEFT($AW$56,1)),$AX$56,$AY$56),4),"")</f>
        <v>5</v>
      </c>
      <c r="BY56" s="9">
        <f>IFERROR(ROUND(AVERAGE($BR$56,$BA$56,$BB$56,$BS$56,$BT$56),4),"")</f>
        <v>5</v>
      </c>
      <c r="BZ56" s="9" t="str">
        <f>IF(OR($BK$56="Junior",$BK$56="Stagiaire",$BK$56="Alternant"),"Junior",IF(OR($BK$56="Superviseur",$BK$56="Superviseur ",$BK$56="Senior",$BK$56="Senior Manager",$BK$56="Manager"),"Senior-Manager",IF(OR($BK$56="Associe",$BK$56="Associé"),"Associe","Autre")))</f>
        <v>Junior</v>
      </c>
      <c r="CA56" s="9" t="b">
        <f>AND(NOT(ISNUMBER(SEARCH("Jamais",$B$56))),$BG$56="4. Neutre")</f>
        <v>1</v>
      </c>
      <c r="CB56">
        <f t="shared" si="0"/>
        <v>5</v>
      </c>
    </row>
    <row r="57" spans="1:80" x14ac:dyDescent="0.25">
      <c r="A57" s="42">
        <v>46075.527617326392</v>
      </c>
      <c r="B57" s="10" t="str">
        <v>6. Quotidiennement (Une fois par jour)</v>
      </c>
      <c r="C57" s="10" t="str">
        <v>Outils grand public (ex: ChatGPT, Gemini )</v>
      </c>
      <c r="D57" s="10">
        <v>0</v>
      </c>
      <c r="E57" s="10" t="str">
        <v>Version grand public</v>
      </c>
      <c r="F57" s="10" t="str">
        <v>Version grand public</v>
      </c>
      <c r="G57" s="10">
        <v>0</v>
      </c>
      <c r="H57" s="10">
        <v>0</v>
      </c>
      <c r="I57" s="10">
        <v>0</v>
      </c>
      <c r="J57" s="10">
        <v>0</v>
      </c>
      <c r="K57" s="10">
        <v>0</v>
      </c>
      <c r="L57" s="10">
        <v>0</v>
      </c>
      <c r="M57" s="10" t="str">
        <v>Correction et mise en cohérence de documents, Recherche d'informations ou de points techniques, Rédaction (rapports, synthèses, notes, mails), Reformulation ou traduction de documents, Automatisation et création de scripts (SQL, VBA)</v>
      </c>
      <c r="N57" s="10" t="str">
        <v>De manière VOLONTAIRE (vous avez choisi vous-même)</v>
      </c>
      <c r="O57" s="10" t="str">
        <v>4. Utile</v>
      </c>
      <c r="P57" s="10" t="str">
        <v>4. Utile</v>
      </c>
      <c r="Q57" s="10" t="str">
        <v>4. Utile</v>
      </c>
      <c r="R57" s="10" t="str">
        <v>4. Utile</v>
      </c>
      <c r="S57" s="10" t="str">
        <v>5. Très utile</v>
      </c>
      <c r="T57" s="10" t="str">
        <v>3. Neutre</v>
      </c>
      <c r="U57" s="10" t="str">
        <v>3. Neutre</v>
      </c>
      <c r="V57" s="10" t="str">
        <v>3. Neutre</v>
      </c>
      <c r="W57" s="10" t="str">
        <v>3. Neutre</v>
      </c>
      <c r="X57" s="10" t="str">
        <v>4. Utile</v>
      </c>
      <c r="Y57" s="10" t="str">
        <v>5. Très utile</v>
      </c>
      <c r="Z57" s="10" t="str">
        <v>5. Très utile</v>
      </c>
      <c r="AA57" s="10" t="str">
        <v>4. Utile</v>
      </c>
      <c r="AB57" s="10" t="str">
        <v>4. Utile</v>
      </c>
      <c r="AC57" s="10" t="str">
        <v>5. Très utile</v>
      </c>
      <c r="AD57" s="10" t="str">
        <v>3. Neutre</v>
      </c>
      <c r="AE57" s="10" t="str">
        <v>3. Neutre</v>
      </c>
      <c r="AF57" s="10" t="str">
        <v>3. Neutre</v>
      </c>
      <c r="AG57" s="10" t="str">
        <v>3. Neutre</v>
      </c>
      <c r="AH57" s="10" t="str">
        <v>5. Très utile</v>
      </c>
      <c r="AI57" s="10">
        <v>6</v>
      </c>
      <c r="AJ57" s="10" t="str">
        <v>5. Plutôt facile (Assez intuitif)</v>
      </c>
      <c r="AK57" s="10" t="str">
        <v>5. Plutôt d'accord (S'intègre assez bien)</v>
      </c>
      <c r="AL57" s="10">
        <v>4</v>
      </c>
      <c r="AM57" s="10">
        <v>6</v>
      </c>
      <c r="AN57" s="10">
        <v>7</v>
      </c>
      <c r="AO57" s="10">
        <v>6</v>
      </c>
      <c r="AP57" s="10">
        <v>4</v>
      </c>
      <c r="AQ57" s="10" t="str">
        <v>5. Très important</v>
      </c>
      <c r="AR57" s="10" t="str">
        <v>4. Important</v>
      </c>
      <c r="AS57" s="10" t="str">
        <v>4. Important</v>
      </c>
      <c r="AT57" s="10" t="str">
        <v>3. Moyennement important</v>
      </c>
      <c r="AU57" s="10">
        <v>3</v>
      </c>
      <c r="AV57" s="10">
        <v>7</v>
      </c>
      <c r="AW57" s="10" t="str">
        <v>4. Moyenne (Environ une journée de formation cumulée)</v>
      </c>
      <c r="AX57" s="10">
        <v>5</v>
      </c>
      <c r="AY57" s="10">
        <v>5</v>
      </c>
      <c r="AZ57" s="10" t="str">
        <v>2. En désaccord (Je contrôle la quasi-totalité des éléments)</v>
      </c>
      <c r="BA57" s="10">
        <v>6</v>
      </c>
      <c r="BB57" s="10">
        <v>5</v>
      </c>
      <c r="BC57" s="10">
        <v>1</v>
      </c>
      <c r="BD57" s="10">
        <v>1</v>
      </c>
      <c r="BE57" s="10" t="str">
        <v>Non</v>
      </c>
      <c r="BF57" s="10">
        <v>5</v>
      </c>
      <c r="BG57" s="10" t="str">
        <v>4. Neutre</v>
      </c>
      <c r="BH57" s="10">
        <v>4</v>
      </c>
      <c r="BI57" s="10" t="str">
        <v>26-35</v>
      </c>
      <c r="BJ57" s="10" t="str">
        <v>Homme</v>
      </c>
      <c r="BK57" s="10" t="str">
        <v>Senior</v>
      </c>
      <c r="BL57" s="10" t="str">
        <v>2 - 3 ans</v>
      </c>
      <c r="BM57" s="10" t="str">
        <v>Audit Financier, Audit Interne</v>
      </c>
      <c r="BN57" s="10" t="str">
        <v>Cabinet local</v>
      </c>
      <c r="BO57" s="10">
        <v>0</v>
      </c>
      <c r="BP57" s="10">
        <f>IF(ISNUMBER($AI$57),ROUND((((($AI$57-1)*(4/6))+1)),4),"")</f>
        <v>4.3333000000000004</v>
      </c>
      <c r="BQ57" s="10">
        <f>IF(ISNUMBER($AL$57),8-$AL$57,"")</f>
        <v>4</v>
      </c>
      <c r="BR57" s="10">
        <f>IFERROR(8-VALUE(LEFT($AZ$57,1)),"")</f>
        <v>6</v>
      </c>
      <c r="BS57" s="10">
        <f>IF(ISNUMBER($BC$57),8-$BC$57,"")</f>
        <v>7</v>
      </c>
      <c r="BT57" s="10">
        <f>IF(ISNUMBER($BD$57),8-$BD$57,"")</f>
        <v>7</v>
      </c>
      <c r="BU57" s="10">
        <f>IFERROR(ROUND(AVERAGE(VALUE(LEFT($O$57,1)),VALUE(LEFT($P$57,1)),VALUE(LEFT($Q$57,1)),VALUE(LEFT($R$57,1)),VALUE(LEFT($S$57,1)),VALUE(LEFT($T$57,1)),VALUE(LEFT($U$57,1)),VALUE(LEFT($V$57,1)),VALUE(LEFT($W$57,1)),VALUE(LEFT($X$57,1)),VALUE(LEFT($Y$57,1)),VALUE(LEFT($Z$57,1)),VALUE(LEFT($AA$57,1)),VALUE(LEFT($AB$57,1)),VALUE(LEFT($AC$57,1)),VALUE(LEFT($AD$57,1)),VALUE(LEFT($AE$57,1)),VALUE(LEFT($AF$57,1)),VALUE(LEFT($AG$57,1)),VALUE(LEFT($AH$57,1)),$BP$57),4),"")</f>
        <v>3.8730000000000002</v>
      </c>
      <c r="BV57" s="10">
        <f>IFERROR(ROUND(AVERAGE(VALUE(LEFT($AJ$57,1)),VALUE(LEFT($AK$57,1)),$BQ$57),4),"")</f>
        <v>4.6666999999999996</v>
      </c>
      <c r="BW57" s="10">
        <f>IFERROR(ROUND(AVERAGE($AM$57,$AN$57,$AO$57,$AP$57),4),"")</f>
        <v>5.75</v>
      </c>
      <c r="BX57" s="10">
        <f>IFERROR(ROUND(AVERAGE(VALUE(LEFT($AW$57,1)),$AX$57,$AY$57),4),"")</f>
        <v>4.6666999999999996</v>
      </c>
      <c r="BY57" s="10">
        <f>IFERROR(ROUND(AVERAGE($BR$57,$BA$57,$BB$57,$BS$57,$BT$57),4),"")</f>
        <v>6.2</v>
      </c>
      <c r="BZ57" s="10" t="str">
        <f>IF(OR($BK$57="Junior",$BK$57="Stagiaire",$BK$57="Alternant"),"Junior",IF(OR($BK$57="Superviseur",$BK$57="Superviseur ",$BK$57="Senior",$BK$57="Senior Manager",$BK$57="Manager"),"Senior-Manager",IF(OR($BK$57="Associe",$BK$57="Associé"),"Associe","Autre")))</f>
        <v>Senior-Manager</v>
      </c>
      <c r="CA57" s="10" t="b">
        <f>AND(NOT(ISNUMBER(SEARCH("Jamais",$B$57))),$BG$57="4. Neutre")</f>
        <v>1</v>
      </c>
      <c r="CB57">
        <f t="shared" si="0"/>
        <v>6</v>
      </c>
    </row>
    <row r="58" spans="1:80" x14ac:dyDescent="0.25">
      <c r="A58" s="41">
        <v>46076.477154826389</v>
      </c>
      <c r="B58" s="9" t="str">
        <v>5. Régulièrement (Plusieurs fois par semaine)</v>
      </c>
      <c r="C58" s="9" t="str">
        <v>Usage mix des deux</v>
      </c>
      <c r="D58" s="9" t="str">
        <v>Version entreprise</v>
      </c>
      <c r="E58" s="9" t="str">
        <v>Version entreprise</v>
      </c>
      <c r="F58" s="9">
        <v>0</v>
      </c>
      <c r="G58" s="9">
        <v>0</v>
      </c>
      <c r="H58" s="9">
        <v>0</v>
      </c>
      <c r="I58" s="9">
        <v>0</v>
      </c>
      <c r="J58" s="9">
        <v>0</v>
      </c>
      <c r="K58" s="9" t="str">
        <v>Version entreprise</v>
      </c>
      <c r="L58" s="9">
        <v>0</v>
      </c>
      <c r="M58" s="9" t="str">
        <v>Correction et mise en cohérence de documents, Recherche d'informations ou de points techniques, Reformulation ou traduction de documents</v>
      </c>
      <c r="N58" s="9" t="str">
        <v>De manière RECOMMANDÉE (cabinet encourage, mais facultatif)</v>
      </c>
      <c r="O58" s="9" t="str">
        <v>3. Neutre</v>
      </c>
      <c r="P58" s="9" t="str">
        <v>3. Neutre</v>
      </c>
      <c r="Q58" s="9" t="str">
        <v>3. Neutre</v>
      </c>
      <c r="R58" s="9" t="str">
        <v>3. Neutre</v>
      </c>
      <c r="S58" s="9" t="str">
        <v>3. Neutre</v>
      </c>
      <c r="T58" s="9" t="str">
        <v>3. Neutre</v>
      </c>
      <c r="U58" s="9" t="str">
        <v>3. Neutre</v>
      </c>
      <c r="V58" s="9" t="str">
        <v>3. Neutre</v>
      </c>
      <c r="W58" s="9" t="str">
        <v>3. Neutre</v>
      </c>
      <c r="X58" s="9" t="str">
        <v>5. Très utile</v>
      </c>
      <c r="Y58" s="9" t="str">
        <v>3. Neutre</v>
      </c>
      <c r="Z58" s="9" t="str">
        <v>3. Neutre</v>
      </c>
      <c r="AA58" s="9" t="str">
        <v>3. Neutre</v>
      </c>
      <c r="AB58" s="9" t="str">
        <v>3. Neutre</v>
      </c>
      <c r="AC58" s="9" t="str">
        <v>3. Neutre</v>
      </c>
      <c r="AD58" s="9" t="str">
        <v>3. Neutre</v>
      </c>
      <c r="AE58" s="9" t="str">
        <v>3. Neutre</v>
      </c>
      <c r="AF58" s="9" t="str">
        <v>3. Neutre</v>
      </c>
      <c r="AG58" s="9" t="str">
        <v>3. Neutre</v>
      </c>
      <c r="AH58" s="9" t="str">
        <v>5. Très utile</v>
      </c>
      <c r="AI58" s="9">
        <v>5</v>
      </c>
      <c r="AJ58" s="9" t="str">
        <v>5. Plutôt facile (Assez intuitif)</v>
      </c>
      <c r="AK58" s="9" t="str">
        <v>5. Plutôt d'accord (S'intègre assez bien)</v>
      </c>
      <c r="AL58" s="9">
        <v>5</v>
      </c>
      <c r="AM58" s="9">
        <v>7</v>
      </c>
      <c r="AN58" s="9">
        <v>7</v>
      </c>
      <c r="AO58" s="9">
        <v>5</v>
      </c>
      <c r="AP58" s="9">
        <v>7</v>
      </c>
      <c r="AQ58" s="9" t="str">
        <v>5. Très important</v>
      </c>
      <c r="AR58" s="9" t="str">
        <v>5. Très important</v>
      </c>
      <c r="AS58" s="9" t="str">
        <v>5. Très important</v>
      </c>
      <c r="AT58" s="9" t="str">
        <v>5. Très important</v>
      </c>
      <c r="AU58" s="9">
        <v>7</v>
      </c>
      <c r="AV58" s="9">
        <v>5</v>
      </c>
      <c r="AW58" s="9" t="str">
        <v>3. Faible (Moins de 5 heures de formation au total)</v>
      </c>
      <c r="AX58" s="9">
        <v>6</v>
      </c>
      <c r="AY58" s="9">
        <v>5</v>
      </c>
      <c r="AZ58" s="9" t="str">
        <v>2. En désaccord (Je contrôle la quasi-totalité des éléments)</v>
      </c>
      <c r="BA58" s="9">
        <v>6</v>
      </c>
      <c r="BB58" s="9">
        <v>7</v>
      </c>
      <c r="BC58" s="9">
        <v>4</v>
      </c>
      <c r="BD58" s="9">
        <v>5</v>
      </c>
      <c r="BE58" s="9" t="str">
        <v>Oui</v>
      </c>
      <c r="BF58" s="9">
        <v>6</v>
      </c>
      <c r="BG58" s="9" t="str">
        <v>4. Neutre</v>
      </c>
      <c r="BH58" s="9">
        <v>5</v>
      </c>
      <c r="BI58" s="9" t="str">
        <v>36-45</v>
      </c>
      <c r="BJ58" s="9" t="str">
        <v>Femme</v>
      </c>
      <c r="BK58" s="9" t="str">
        <v>Associé</v>
      </c>
      <c r="BL58" s="9" t="str">
        <v>Plus de 10 ans</v>
      </c>
      <c r="BM58" s="9" t="str">
        <v>Audit Financier</v>
      </c>
      <c r="BN58" s="9" t="str">
        <v>Cabinet régional</v>
      </c>
      <c r="BO58" s="9">
        <v>0</v>
      </c>
      <c r="BP58" s="9">
        <f>IF(ISNUMBER($AI$58),ROUND((((($AI$58-1)*(4/6))+1)),4),"")</f>
        <v>3.6667000000000001</v>
      </c>
      <c r="BQ58" s="9">
        <f>IF(ISNUMBER($AL$58),8-$AL$58,"")</f>
        <v>3</v>
      </c>
      <c r="BR58" s="9">
        <f>IFERROR(8-VALUE(LEFT($AZ$58,1)),"")</f>
        <v>6</v>
      </c>
      <c r="BS58" s="9">
        <f>IF(ISNUMBER($BC$58),8-$BC$58,"")</f>
        <v>4</v>
      </c>
      <c r="BT58" s="9">
        <f>IF(ISNUMBER($BD$58),8-$BD$58,"")</f>
        <v>3</v>
      </c>
      <c r="BU58" s="9">
        <f>IFERROR(ROUND(AVERAGE(VALUE(LEFT($O$58,1)),VALUE(LEFT($P$58,1)),VALUE(LEFT($Q$58,1)),VALUE(LEFT($R$58,1)),VALUE(LEFT($S$58,1)),VALUE(LEFT($T$58,1)),VALUE(LEFT($U$58,1)),VALUE(LEFT($V$58,1)),VALUE(LEFT($W$58,1)),VALUE(LEFT($X$58,1)),VALUE(LEFT($Y$58,1)),VALUE(LEFT($Z$58,1)),VALUE(LEFT($AA$58,1)),VALUE(LEFT($AB$58,1)),VALUE(LEFT($AC$58,1)),VALUE(LEFT($AD$58,1)),VALUE(LEFT($AE$58,1)),VALUE(LEFT($AF$58,1)),VALUE(LEFT($AG$58,1)),VALUE(LEFT($AH$58,1)),$BP$58),4),"")</f>
        <v>3.2222</v>
      </c>
      <c r="BV58" s="9">
        <f>IFERROR(ROUND(AVERAGE(VALUE(LEFT($AJ$58,1)),VALUE(LEFT($AK$58,1)),$BQ$58),4),"")</f>
        <v>4.3333000000000004</v>
      </c>
      <c r="BW58" s="9">
        <f>IFERROR(ROUND(AVERAGE($AM$58,$AN$58,$AO$58,$AP$58),4),"")</f>
        <v>6.5</v>
      </c>
      <c r="BX58" s="9">
        <f>IFERROR(ROUND(AVERAGE(VALUE(LEFT($AW$58,1)),$AX$58,$AY$58),4),"")</f>
        <v>4.6666999999999996</v>
      </c>
      <c r="BY58" s="9">
        <f>IFERROR(ROUND(AVERAGE($BR$58,$BA$58,$BB$58,$BS$58,$BT$58),4),"")</f>
        <v>5.2</v>
      </c>
      <c r="BZ58" s="9" t="str">
        <f>IF(OR($BK$58="Junior",$BK$58="Stagiaire",$BK$58="Alternant"),"Junior",IF(OR($BK$58="Superviseur",$BK$58="Superviseur ",$BK$58="Senior",$BK$58="Senior Manager",$BK$58="Manager"),"Senior-Manager",IF(OR($BK$58="Associe",$BK$58="Associé"),"Associe","Autre")))</f>
        <v>Associe</v>
      </c>
      <c r="CA58" s="9" t="b">
        <f>AND(NOT(ISNUMBER(SEARCH("Jamais",$B$58))),$BG$58="4. Neutre")</f>
        <v>1</v>
      </c>
      <c r="CB58">
        <f t="shared" si="0"/>
        <v>5</v>
      </c>
    </row>
    <row r="59" spans="1:80" x14ac:dyDescent="0.25">
      <c r="A59" s="42">
        <v>46076.663218391201</v>
      </c>
      <c r="B59" s="10" t="str">
        <v>4. Parfois (Environ une fois par semaine)</v>
      </c>
      <c r="C59" s="10" t="str">
        <v>Usage mix des deux</v>
      </c>
      <c r="D59" s="10">
        <v>0</v>
      </c>
      <c r="E59" s="10" t="str">
        <v>Version grand public</v>
      </c>
      <c r="F59" s="10" t="str">
        <v>Version grand public, Version entreprise</v>
      </c>
      <c r="G59" s="10">
        <v>0</v>
      </c>
      <c r="H59" s="10">
        <v>0</v>
      </c>
      <c r="I59" s="10">
        <v>0</v>
      </c>
      <c r="J59" s="10">
        <v>0</v>
      </c>
      <c r="K59" s="10">
        <v>0</v>
      </c>
      <c r="L59" s="10">
        <v>0</v>
      </c>
      <c r="M59" s="10" t="str">
        <v>Aide à la décision, Recherche d'informations ou de points techniques, Rapprochement/Comparaison de documents, Revue d'estimations comptables (provisions, dépréciations)</v>
      </c>
      <c r="N59" s="10" t="str">
        <v>De manière RECOMMANDÉE (cabinet encourage, mais facultatif)</v>
      </c>
      <c r="O59" s="10" t="str">
        <v>4. Utile</v>
      </c>
      <c r="P59" s="10" t="str">
        <v>4. Utile</v>
      </c>
      <c r="Q59" s="10" t="str">
        <v>3. Neutre</v>
      </c>
      <c r="R59" s="10" t="str">
        <v>4. Utile</v>
      </c>
      <c r="S59" s="10" t="str">
        <v>3. Neutre</v>
      </c>
      <c r="T59" s="10" t="str">
        <v>3. Neutre</v>
      </c>
      <c r="U59" s="10" t="str">
        <v>3. Neutre</v>
      </c>
      <c r="V59" s="10" t="str">
        <v>3. Neutre</v>
      </c>
      <c r="W59" s="10" t="str">
        <v>4. Utile</v>
      </c>
      <c r="X59" s="10" t="str">
        <v>4. Utile</v>
      </c>
      <c r="Y59" s="10" t="str">
        <v>4. Utile</v>
      </c>
      <c r="Z59" s="10" t="str">
        <v>4. Utile</v>
      </c>
      <c r="AA59" s="10" t="str">
        <v>4. Utile</v>
      </c>
      <c r="AB59" s="10" t="str">
        <v>4. Utile</v>
      </c>
      <c r="AC59" s="10" t="str">
        <v>3. Neutre</v>
      </c>
      <c r="AD59" s="10" t="str">
        <v>3. Neutre</v>
      </c>
      <c r="AE59" s="10" t="str">
        <v>3. Neutre</v>
      </c>
      <c r="AF59" s="10" t="str">
        <v>4. Utile</v>
      </c>
      <c r="AG59" s="10" t="str">
        <v>4. Utile</v>
      </c>
      <c r="AH59" s="10" t="str">
        <v>3. Neutre</v>
      </c>
      <c r="AI59" s="10">
        <v>6</v>
      </c>
      <c r="AJ59" s="10" t="str">
        <v>4. Ni facile, ni difficile (Prise en main normale)</v>
      </c>
      <c r="AK59" s="10" t="str">
        <v>5. Plutôt d'accord (S'intègre assez bien)</v>
      </c>
      <c r="AL59" s="10">
        <v>4</v>
      </c>
      <c r="AM59" s="10">
        <v>7</v>
      </c>
      <c r="AN59" s="10">
        <v>7</v>
      </c>
      <c r="AO59" s="10">
        <v>7</v>
      </c>
      <c r="AP59" s="10">
        <v>5</v>
      </c>
      <c r="AQ59" s="10" t="str">
        <v>4. Important</v>
      </c>
      <c r="AR59" s="10" t="str">
        <v>5. Très important</v>
      </c>
      <c r="AS59" s="10" t="str">
        <v>4. Important</v>
      </c>
      <c r="AT59" s="10" t="str">
        <v>4. Important</v>
      </c>
      <c r="AU59" s="10">
        <v>5</v>
      </c>
      <c r="AV59" s="10">
        <v>5</v>
      </c>
      <c r="AW59" s="10" t="str">
        <v>2. Très limitée (Quelques vidéos ou articles consultés)</v>
      </c>
      <c r="AX59" s="10">
        <v>5</v>
      </c>
      <c r="AY59" s="10">
        <v>5</v>
      </c>
      <c r="AZ59" s="10" t="str">
        <v>1. Pas du tout d’accord (Je vérifie systématiquement chaque détail)</v>
      </c>
      <c r="BA59" s="10">
        <v>6</v>
      </c>
      <c r="BB59" s="10">
        <v>7</v>
      </c>
      <c r="BC59" s="10">
        <v>5</v>
      </c>
      <c r="BD59" s="10">
        <v>4</v>
      </c>
      <c r="BE59" s="10" t="str">
        <v>Non</v>
      </c>
      <c r="BF59" s="10">
        <v>5</v>
      </c>
      <c r="BG59" s="10" t="str">
        <v>4. Neutre</v>
      </c>
      <c r="BH59" s="10">
        <v>6</v>
      </c>
      <c r="BI59" s="10" t="str">
        <v>+65</v>
      </c>
      <c r="BJ59" s="10" t="str">
        <v>Homme</v>
      </c>
      <c r="BK59" s="10" t="str">
        <v>Associé</v>
      </c>
      <c r="BL59" s="10" t="str">
        <v>Plus de 10 ans</v>
      </c>
      <c r="BM59" s="10" t="str">
        <v>Audit Financier</v>
      </c>
      <c r="BN59" s="10" t="str">
        <v>Cabinet local</v>
      </c>
      <c r="BO59" s="10">
        <v>0</v>
      </c>
      <c r="BP59" s="10">
        <f>IF(ISNUMBER($AI$59),ROUND((((($AI$59-1)*(4/6))+1)),4),"")</f>
        <v>4.3333000000000004</v>
      </c>
      <c r="BQ59" s="10">
        <f>IF(ISNUMBER($AL$59),8-$AL$59,"")</f>
        <v>4</v>
      </c>
      <c r="BR59" s="10">
        <f>IFERROR(8-VALUE(LEFT($AZ$59,1)),"")</f>
        <v>7</v>
      </c>
      <c r="BS59" s="10">
        <f>IF(ISNUMBER($BC$59),8-$BC$59,"")</f>
        <v>3</v>
      </c>
      <c r="BT59" s="10">
        <f>IF(ISNUMBER($BD$59),8-$BD$59,"")</f>
        <v>4</v>
      </c>
      <c r="BU59" s="10">
        <f>IFERROR(ROUND(AVERAGE(VALUE(LEFT($O$59,1)),VALUE(LEFT($P$59,1)),VALUE(LEFT($Q$59,1)),VALUE(LEFT($R$59,1)),VALUE(LEFT($S$59,1)),VALUE(LEFT($T$59,1)),VALUE(LEFT($U$59,1)),VALUE(LEFT($V$59,1)),VALUE(LEFT($W$59,1)),VALUE(LEFT($X$59,1)),VALUE(LEFT($Y$59,1)),VALUE(LEFT($Z$59,1)),VALUE(LEFT($AA$59,1)),VALUE(LEFT($AB$59,1)),VALUE(LEFT($AC$59,1)),VALUE(LEFT($AD$59,1)),VALUE(LEFT($AE$59,1)),VALUE(LEFT($AF$59,1)),VALUE(LEFT($AG$59,1)),VALUE(LEFT($AH$59,1)),$BP$59),4),"")</f>
        <v>3.5872999999999999</v>
      </c>
      <c r="BV59" s="10">
        <f>IFERROR(ROUND(AVERAGE(VALUE(LEFT($AJ$59,1)),VALUE(LEFT($AK$59,1)),$BQ$59),4),"")</f>
        <v>4.3333000000000004</v>
      </c>
      <c r="BW59" s="10">
        <f>IFERROR(ROUND(AVERAGE($AM$59,$AN$59,$AO$59,$AP$59),4),"")</f>
        <v>6.5</v>
      </c>
      <c r="BX59" s="10">
        <f>IFERROR(ROUND(AVERAGE(VALUE(LEFT($AW$59,1)),$AX$59,$AY$59),4),"")</f>
        <v>4</v>
      </c>
      <c r="BY59" s="10">
        <f>IFERROR(ROUND(AVERAGE($BR$59,$BA$59,$BB$59,$BS$59,$BT$59),4),"")</f>
        <v>5.4</v>
      </c>
      <c r="BZ59" s="10" t="str">
        <f>IF(OR($BK$59="Junior",$BK$59="Stagiaire",$BK$59="Alternant"),"Junior",IF(OR($BK$59="Superviseur",$BK$59="Superviseur ",$BK$59="Senior",$BK$59="Senior Manager",$BK$59="Manager"),"Senior-Manager",IF(OR($BK$59="Associe",$BK$59="Associé"),"Associe","Autre")))</f>
        <v>Associe</v>
      </c>
      <c r="CA59" s="10" t="b">
        <f>AND(NOT(ISNUMBER(SEARCH("Jamais",$B$59))),$BG$59="4. Neutre")</f>
        <v>1</v>
      </c>
      <c r="CB59">
        <f t="shared" si="0"/>
        <v>4</v>
      </c>
    </row>
    <row r="60" spans="1:80" x14ac:dyDescent="0.25">
      <c r="A60" s="41">
        <v>46076.70179997685</v>
      </c>
      <c r="B60" s="9" t="str">
        <v>6. Quotidiennement (Une fois par jour)</v>
      </c>
      <c r="C60" s="9" t="str">
        <v>Outils grand public (ex: ChatGPT, Gemini )</v>
      </c>
      <c r="D60" s="9">
        <v>0</v>
      </c>
      <c r="E60" s="9">
        <v>0</v>
      </c>
      <c r="F60" s="9" t="str">
        <v>Version grand public</v>
      </c>
      <c r="G60" s="9">
        <v>0</v>
      </c>
      <c r="H60" s="9">
        <v>0</v>
      </c>
      <c r="I60" s="9">
        <v>0</v>
      </c>
      <c r="J60" s="9">
        <v>0</v>
      </c>
      <c r="K60" s="9">
        <v>0</v>
      </c>
      <c r="L60" s="9">
        <v>0</v>
      </c>
      <c r="M60" s="9" t="str">
        <v>Rédaction (rapports, synthèses, notes, mails), Recherche d'informations ou de points techniques</v>
      </c>
      <c r="N60" s="9" t="str">
        <v>De manière VOLONTAIRE (vous avez choisi vous-même)</v>
      </c>
      <c r="O60" s="9" t="str">
        <v>3. Neutre</v>
      </c>
      <c r="P60" s="9" t="str">
        <v>3. Neutre</v>
      </c>
      <c r="Q60" s="9" t="str">
        <v>5. Très utile</v>
      </c>
      <c r="R60" s="9" t="str">
        <v>3. Neutre</v>
      </c>
      <c r="S60" s="9" t="str">
        <v>3. Neutre</v>
      </c>
      <c r="T60" s="9" t="str">
        <v>3. Neutre</v>
      </c>
      <c r="U60" s="9" t="str">
        <v>3. Neutre</v>
      </c>
      <c r="V60" s="9" t="str">
        <v>3. Neutre</v>
      </c>
      <c r="W60" s="9" t="str">
        <v>1. Pas du tout utile</v>
      </c>
      <c r="X60" s="9" t="str">
        <v>3. Neutre</v>
      </c>
      <c r="Y60" s="9" t="str">
        <v>3. Neutre</v>
      </c>
      <c r="Z60" s="9" t="str">
        <v>3. Neutre</v>
      </c>
      <c r="AA60" s="9" t="str">
        <v>5. Très utile</v>
      </c>
      <c r="AB60" s="9" t="str">
        <v>3. Neutre</v>
      </c>
      <c r="AC60" s="9" t="str">
        <v>3. Neutre</v>
      </c>
      <c r="AD60" s="9" t="str">
        <v>3. Neutre</v>
      </c>
      <c r="AE60" s="9" t="str">
        <v>3. Neutre</v>
      </c>
      <c r="AF60" s="9" t="str">
        <v>3. Neutre</v>
      </c>
      <c r="AG60" s="9" t="str">
        <v>1. Pas du tout utile</v>
      </c>
      <c r="AH60" s="9" t="str">
        <v>3. Neutre</v>
      </c>
      <c r="AI60" s="9">
        <v>5</v>
      </c>
      <c r="AJ60" s="9" t="str">
        <v>7. Très facile (Instinctif / Sans aide)</v>
      </c>
      <c r="AK60" s="9" t="str">
        <v>7. Tout à fait d'accord (Automatisme quotidien)</v>
      </c>
      <c r="AL60" s="9">
        <v>5</v>
      </c>
      <c r="AM60" s="9">
        <v>7</v>
      </c>
      <c r="AN60" s="9">
        <v>7</v>
      </c>
      <c r="AO60" s="9">
        <v>4</v>
      </c>
      <c r="AP60" s="9">
        <v>1</v>
      </c>
      <c r="AQ60" s="9" t="str">
        <v>1. Pas du tout important</v>
      </c>
      <c r="AR60" s="9" t="str">
        <v>5. Très important</v>
      </c>
      <c r="AS60" s="9" t="str">
        <v>1. Pas du tout important</v>
      </c>
      <c r="AT60" s="9" t="str">
        <v>1. Pas du tout important</v>
      </c>
      <c r="AU60" s="9">
        <v>1</v>
      </c>
      <c r="AV60" s="9">
        <v>1</v>
      </c>
      <c r="AW60" s="9" t="str">
        <v>7. Experte (Maîtrise totale / Capacité à former les autres)</v>
      </c>
      <c r="AX60" s="9">
        <v>7</v>
      </c>
      <c r="AY60" s="9">
        <v>7</v>
      </c>
      <c r="AZ60" s="9" t="str">
        <v>1. Pas du tout d’accord (Je vérifie systématiquement chaque détail)</v>
      </c>
      <c r="BA60" s="9">
        <v>7</v>
      </c>
      <c r="BB60" s="9">
        <v>7</v>
      </c>
      <c r="BC60" s="9">
        <v>1</v>
      </c>
      <c r="BD60" s="9">
        <v>1</v>
      </c>
      <c r="BE60" s="9" t="str">
        <v>Non</v>
      </c>
      <c r="BF60" s="9">
        <v>1</v>
      </c>
      <c r="BG60" s="9" t="str">
        <v>4. Neutre</v>
      </c>
      <c r="BH60" s="9">
        <v>4</v>
      </c>
      <c r="BI60" s="9" t="str">
        <v>26-35</v>
      </c>
      <c r="BJ60" s="9" t="str">
        <v>Femme</v>
      </c>
      <c r="BK60" s="9" t="str">
        <v>Associé</v>
      </c>
      <c r="BL60" s="9" t="str">
        <v>8 - 10 ans</v>
      </c>
      <c r="BM60" s="9" t="str">
        <v>Audit Financier</v>
      </c>
      <c r="BN60" s="9" t="str">
        <v>Cabinet local</v>
      </c>
      <c r="BO60" s="9">
        <v>0</v>
      </c>
      <c r="BP60" s="9">
        <f>IF(ISNUMBER($AI$60),ROUND((((($AI$60-1)*(4/6))+1)),4),"")</f>
        <v>3.6667000000000001</v>
      </c>
      <c r="BQ60" s="9">
        <f>IF(ISNUMBER($AL$60),8-$AL$60,"")</f>
        <v>3</v>
      </c>
      <c r="BR60" s="9">
        <f>IFERROR(8-VALUE(LEFT($AZ$60,1)),"")</f>
        <v>7</v>
      </c>
      <c r="BS60" s="9">
        <f>IF(ISNUMBER($BC$60),8-$BC$60,"")</f>
        <v>7</v>
      </c>
      <c r="BT60" s="9">
        <f>IF(ISNUMBER($BD$60),8-$BD$60,"")</f>
        <v>7</v>
      </c>
      <c r="BU60" s="9">
        <f>IFERROR(ROUND(AVERAGE(VALUE(LEFT($O$60,1)),VALUE(LEFT($P$60,1)),VALUE(LEFT($Q$60,1)),VALUE(LEFT($R$60,1)),VALUE(LEFT($S$60,1)),VALUE(LEFT($T$60,1)),VALUE(LEFT($U$60,1)),VALUE(LEFT($V$60,1)),VALUE(LEFT($W$60,1)),VALUE(LEFT($X$60,1)),VALUE(LEFT($Y$60,1)),VALUE(LEFT($Z$60,1)),VALUE(LEFT($AA$60,1)),VALUE(LEFT($AB$60,1)),VALUE(LEFT($AC$60,1)),VALUE(LEFT($AD$60,1)),VALUE(LEFT($AE$60,1)),VALUE(LEFT($AF$60,1)),VALUE(LEFT($AG$60,1)),VALUE(LEFT($AH$60,1)),$BP$60),4),"")</f>
        <v>3.0316999999999998</v>
      </c>
      <c r="BV60" s="9">
        <f>IFERROR(ROUND(AVERAGE(VALUE(LEFT($AJ$60,1)),VALUE(LEFT($AK$60,1)),$BQ$60),4),"")</f>
        <v>5.6666999999999996</v>
      </c>
      <c r="BW60" s="9">
        <f>IFERROR(ROUND(AVERAGE($AM$60,$AN$60,$AO$60,$AP$60),4),"")</f>
        <v>4.75</v>
      </c>
      <c r="BX60" s="9">
        <f>IFERROR(ROUND(AVERAGE(VALUE(LEFT($AW$60,1)),$AX$60,$AY$60),4),"")</f>
        <v>7</v>
      </c>
      <c r="BY60" s="9">
        <f>IFERROR(ROUND(AVERAGE($BR$60,$BA$60,$BB$60,$BS$60,$BT$60),4),"")</f>
        <v>7</v>
      </c>
      <c r="BZ60" s="9" t="str">
        <f>IF(OR($BK$60="Junior",$BK$60="Stagiaire",$BK$60="Alternant"),"Junior",IF(OR($BK$60="Superviseur",$BK$60="Superviseur ",$BK$60="Senior",$BK$60="Senior Manager",$BK$60="Manager"),"Senior-Manager",IF(OR($BK$60="Associe",$BK$60="Associé"),"Associe","Autre")))</f>
        <v>Associe</v>
      </c>
      <c r="CA60" s="9" t="b">
        <f>AND(NOT(ISNUMBER(SEARCH("Jamais",$B$60))),$BG$60="4. Neutre")</f>
        <v>1</v>
      </c>
      <c r="CB60">
        <f t="shared" si="0"/>
        <v>6</v>
      </c>
    </row>
    <row r="61" spans="1:80" x14ac:dyDescent="0.25">
      <c r="A61" s="42">
        <v>46076.737562824077</v>
      </c>
      <c r="B61" s="10" t="str">
        <v>5. Régulièrement (Plusieurs fois par semaine)</v>
      </c>
      <c r="C61" s="10" t="str">
        <v>Usage mix des deux</v>
      </c>
      <c r="D61" s="10">
        <v>0</v>
      </c>
      <c r="E61" s="10" t="str">
        <v>Version grand public</v>
      </c>
      <c r="F61" s="10" t="str">
        <v>Version grand public</v>
      </c>
      <c r="G61" s="10">
        <v>0</v>
      </c>
      <c r="H61" s="10">
        <v>0</v>
      </c>
      <c r="I61" s="10">
        <v>0</v>
      </c>
      <c r="J61" s="10">
        <v>0</v>
      </c>
      <c r="K61" s="10" t="str">
        <v>Version entreprise</v>
      </c>
      <c r="L61" s="10">
        <v>0</v>
      </c>
      <c r="M61" s="10" t="str">
        <v>Recherche d'informations ou de points techniques, Rédaction (rapports, synthèses, notes, mails), Aide à la décision, Reformulation ou traduction de documents</v>
      </c>
      <c r="N61" s="10" t="str">
        <v>De manière RECOMMANDÉE (cabinet encourage, mais facultatif)</v>
      </c>
      <c r="O61" s="10" t="str">
        <v>3. Neutre</v>
      </c>
      <c r="P61" s="10" t="str">
        <v>4. Utile</v>
      </c>
      <c r="Q61" s="10" t="str">
        <v>5. Très utile</v>
      </c>
      <c r="R61" s="10" t="str">
        <v>4. Utile</v>
      </c>
      <c r="S61" s="10" t="str">
        <v>3. Neutre</v>
      </c>
      <c r="T61" s="10" t="str">
        <v>3. Neutre</v>
      </c>
      <c r="U61" s="10" t="str">
        <v>3. Neutre</v>
      </c>
      <c r="V61" s="10" t="str">
        <v>3. Neutre</v>
      </c>
      <c r="W61" s="10" t="str">
        <v>4. Utile</v>
      </c>
      <c r="X61" s="10" t="str">
        <v>3. Neutre</v>
      </c>
      <c r="Y61" s="10" t="str">
        <v>4. Utile</v>
      </c>
      <c r="Z61" s="10" t="str">
        <v>4. Utile</v>
      </c>
      <c r="AA61" s="10" t="str">
        <v>5. Très utile</v>
      </c>
      <c r="AB61" s="10" t="str">
        <v>4. Utile</v>
      </c>
      <c r="AC61" s="10" t="str">
        <v>3. Neutre</v>
      </c>
      <c r="AD61" s="10" t="str">
        <v>3. Neutre</v>
      </c>
      <c r="AE61" s="10" t="str">
        <v>3. Neutre</v>
      </c>
      <c r="AF61" s="10" t="str">
        <v>3. Neutre</v>
      </c>
      <c r="AG61" s="10" t="str">
        <v>4. Utile</v>
      </c>
      <c r="AH61" s="10" t="str">
        <v>4. Utile</v>
      </c>
      <c r="AI61" s="10">
        <v>5</v>
      </c>
      <c r="AJ61" s="10" t="str">
        <v>3. Plutôt difficile (Peu intuitif)</v>
      </c>
      <c r="AK61" s="10" t="str">
        <v>5. Plutôt d'accord (S'intègre assez bien)</v>
      </c>
      <c r="AL61" s="10">
        <v>7</v>
      </c>
      <c r="AM61" s="10">
        <v>4</v>
      </c>
      <c r="AN61" s="10">
        <v>6</v>
      </c>
      <c r="AO61" s="10">
        <v>6</v>
      </c>
      <c r="AP61" s="10">
        <v>7</v>
      </c>
      <c r="AQ61" s="10" t="str">
        <v>5. Très important</v>
      </c>
      <c r="AR61" s="10" t="str">
        <v>5. Très important</v>
      </c>
      <c r="AS61" s="10" t="str">
        <v>5. Très important</v>
      </c>
      <c r="AT61" s="10" t="str">
        <v>5. Très important</v>
      </c>
      <c r="AU61" s="10">
        <v>4</v>
      </c>
      <c r="AV61" s="10">
        <v>6</v>
      </c>
      <c r="AW61" s="10" t="str">
        <v>3. Faible (Moins de 5 heures de formation au total)</v>
      </c>
      <c r="AX61" s="10">
        <v>6</v>
      </c>
      <c r="AY61" s="10">
        <v>5</v>
      </c>
      <c r="AZ61" s="10" t="str">
        <v>3. Plutôt en désaccord (Je procède à une revue importante)</v>
      </c>
      <c r="BA61" s="10">
        <v>4</v>
      </c>
      <c r="BB61" s="10">
        <v>6</v>
      </c>
      <c r="BC61" s="10">
        <v>6</v>
      </c>
      <c r="BD61" s="10">
        <v>3</v>
      </c>
      <c r="BE61" s="10" t="str">
        <v xml:space="preserve">Cela dépendra de notre maitrise des outils de IAG </v>
      </c>
      <c r="BF61" s="10">
        <v>6</v>
      </c>
      <c r="BG61" s="10" t="str">
        <v>4. Neutre</v>
      </c>
      <c r="BH61" s="10">
        <v>6</v>
      </c>
      <c r="BI61" s="10" t="str">
        <v>46-55</v>
      </c>
      <c r="BJ61" s="10" t="str">
        <v>Homme</v>
      </c>
      <c r="BK61" s="10" t="str">
        <v>Associé</v>
      </c>
      <c r="BL61" s="10" t="str">
        <v>Plus de 10 ans</v>
      </c>
      <c r="BM61" s="10" t="str">
        <v>EXPERTISE COMPTABLE ET COMMISSARIAT AUX COMPTES</v>
      </c>
      <c r="BN61" s="10" t="str">
        <v>Cabinet local</v>
      </c>
      <c r="BO61" s="10">
        <v>0</v>
      </c>
      <c r="BP61" s="10">
        <f>IF(ISNUMBER($AI$61),ROUND((((($AI$61-1)*(4/6))+1)),4),"")</f>
        <v>3.6667000000000001</v>
      </c>
      <c r="BQ61" s="10">
        <f>IF(ISNUMBER($AL$61),8-$AL$61,"")</f>
        <v>1</v>
      </c>
      <c r="BR61" s="10">
        <f>IFERROR(8-VALUE(LEFT($AZ$61,1)),"")</f>
        <v>5</v>
      </c>
      <c r="BS61" s="10">
        <f>IF(ISNUMBER($BC$61),8-$BC$61,"")</f>
        <v>2</v>
      </c>
      <c r="BT61" s="10">
        <f>IF(ISNUMBER($BD$61),8-$BD$61,"")</f>
        <v>5</v>
      </c>
      <c r="BU61" s="10">
        <f>IFERROR(ROUND(AVERAGE(VALUE(LEFT($O$61,1)),VALUE(LEFT($P$61,1)),VALUE(LEFT($Q$61,1)),VALUE(LEFT($R$61,1)),VALUE(LEFT($S$61,1)),VALUE(LEFT($T$61,1)),VALUE(LEFT($U$61,1)),VALUE(LEFT($V$61,1)),VALUE(LEFT($W$61,1)),VALUE(LEFT($X$61,1)),VALUE(LEFT($Y$61,1)),VALUE(LEFT($Z$61,1)),VALUE(LEFT($AA$61,1)),VALUE(LEFT($AB$61,1)),VALUE(LEFT($AC$61,1)),VALUE(LEFT($AD$61,1)),VALUE(LEFT($AE$61,1)),VALUE(LEFT($AF$61,1)),VALUE(LEFT($AG$61,1)),VALUE(LEFT($AH$61,1)),$BP$61),4),"")</f>
        <v>3.6032000000000002</v>
      </c>
      <c r="BV61" s="10">
        <f>IFERROR(ROUND(AVERAGE(VALUE(LEFT($AJ$61,1)),VALUE(LEFT($AK$61,1)),$BQ$61),4),"")</f>
        <v>3</v>
      </c>
      <c r="BW61" s="10">
        <f>IFERROR(ROUND(AVERAGE($AM$61,$AN$61,$AO$61,$AP$61),4),"")</f>
        <v>5.75</v>
      </c>
      <c r="BX61" s="10">
        <f>IFERROR(ROUND(AVERAGE(VALUE(LEFT($AW$61,1)),$AX$61,$AY$61),4),"")</f>
        <v>4.6666999999999996</v>
      </c>
      <c r="BY61" s="10">
        <f>IFERROR(ROUND(AVERAGE($BR$61,$BA$61,$BB$61,$BS$61,$BT$61),4),"")</f>
        <v>4.4000000000000004</v>
      </c>
      <c r="BZ61" s="10" t="str">
        <f>IF(OR($BK$61="Junior",$BK$61="Stagiaire",$BK$61="Alternant"),"Junior",IF(OR($BK$61="Superviseur",$BK$61="Superviseur ",$BK$61="Senior",$BK$61="Senior Manager",$BK$61="Manager"),"Senior-Manager",IF(OR($BK$61="Associe",$BK$61="Associé"),"Associe","Autre")))</f>
        <v>Associe</v>
      </c>
      <c r="CA61" s="10" t="b">
        <f>AND(NOT(ISNUMBER(SEARCH("Jamais",$B$61))),$BG$61="4. Neutre")</f>
        <v>1</v>
      </c>
      <c r="CB61">
        <f t="shared" si="0"/>
        <v>5</v>
      </c>
    </row>
    <row r="62" spans="1:80" x14ac:dyDescent="0.25">
      <c r="A62" s="41">
        <v>46076.756817650457</v>
      </c>
      <c r="B62" s="9" t="str">
        <v>4. Parfois (Environ une fois par semaine)</v>
      </c>
      <c r="C62" s="9" t="str">
        <v>Outils fournis/agréés par le cabinet (ex: Copilot sécurisé)</v>
      </c>
      <c r="D62" s="9">
        <v>0</v>
      </c>
      <c r="E62" s="9">
        <v>0</v>
      </c>
      <c r="F62" s="9" t="str">
        <v>Version grand public</v>
      </c>
      <c r="G62" s="9">
        <v>0</v>
      </c>
      <c r="H62" s="9">
        <v>0</v>
      </c>
      <c r="I62" s="9">
        <v>0</v>
      </c>
      <c r="J62" s="9">
        <v>0</v>
      </c>
      <c r="K62" s="9">
        <v>0</v>
      </c>
      <c r="L62" s="9" t="str">
        <v>Version entreprise</v>
      </c>
      <c r="M62" s="9" t="str">
        <v>Rapprochement/Comparaison de documents, Analyse de données et génération d'insights, Préparation de données (format, structuration, harmonisation des valeurs), Reformulation ou traduction de documents, Revue d'estimations comptables (provisions, dépréciations), Correction et mise en cohérence de documents</v>
      </c>
      <c r="N62" s="9" t="str">
        <v>De manière RECOMMANDÉE (cabinet encourage, mais facultatif)</v>
      </c>
      <c r="O62" s="9" t="str">
        <v>4. Utile</v>
      </c>
      <c r="P62" s="9" t="str">
        <v>5. Très utile</v>
      </c>
      <c r="Q62" s="9" t="str">
        <v>4. Utile</v>
      </c>
      <c r="R62" s="9" t="str">
        <v>5. Très utile</v>
      </c>
      <c r="S62" s="9" t="str">
        <v>4. Utile</v>
      </c>
      <c r="T62" s="9" t="str">
        <v>4. Utile</v>
      </c>
      <c r="U62" s="9" t="str">
        <v>3. Neutre</v>
      </c>
      <c r="V62" s="9" t="str">
        <v>5. Très utile</v>
      </c>
      <c r="W62" s="9" t="str">
        <v>4. Utile</v>
      </c>
      <c r="X62" s="9" t="str">
        <v>5. Très utile</v>
      </c>
      <c r="Y62" s="9" t="str">
        <v>5. Très utile</v>
      </c>
      <c r="Z62" s="9" t="str">
        <v>5. Très utile</v>
      </c>
      <c r="AA62" s="9" t="str">
        <v>4. Utile</v>
      </c>
      <c r="AB62" s="9" t="str">
        <v>5. Très utile</v>
      </c>
      <c r="AC62" s="9" t="str">
        <v>4. Utile</v>
      </c>
      <c r="AD62" s="9" t="str">
        <v>4. Utile</v>
      </c>
      <c r="AE62" s="9" t="str">
        <v>3. Neutre</v>
      </c>
      <c r="AF62" s="9" t="str">
        <v>4. Utile</v>
      </c>
      <c r="AG62" s="9" t="str">
        <v>3. Neutre</v>
      </c>
      <c r="AH62" s="9" t="str">
        <v>4. Utile</v>
      </c>
      <c r="AI62" s="9">
        <v>5</v>
      </c>
      <c r="AJ62" s="9" t="str">
        <v>6. Facile (Maîtrise rapide)</v>
      </c>
      <c r="AK62" s="9" t="str">
        <v>6. D'accord (S'intègre facilement)</v>
      </c>
      <c r="AL62" s="9">
        <v>4</v>
      </c>
      <c r="AM62" s="9">
        <v>6</v>
      </c>
      <c r="AN62" s="9">
        <v>5</v>
      </c>
      <c r="AO62" s="9">
        <v>5</v>
      </c>
      <c r="AP62" s="9">
        <v>5</v>
      </c>
      <c r="AQ62" s="9" t="str">
        <v>4. Important</v>
      </c>
      <c r="AR62" s="9" t="str">
        <v>5. Très important</v>
      </c>
      <c r="AS62" s="9" t="str">
        <v>4. Important</v>
      </c>
      <c r="AT62" s="9" t="str">
        <v>4. Important</v>
      </c>
      <c r="AU62" s="9">
        <v>3</v>
      </c>
      <c r="AV62" s="9">
        <v>3</v>
      </c>
      <c r="AW62" s="9" t="str">
        <v>4. Moyenne (Environ une journée de formation cumulée)</v>
      </c>
      <c r="AX62" s="9">
        <v>6</v>
      </c>
      <c r="AY62" s="9">
        <v>6</v>
      </c>
      <c r="AZ62" s="9" t="str">
        <v>2. En désaccord (Je contrôle la quasi-totalité des éléments)</v>
      </c>
      <c r="BA62" s="9">
        <v>5</v>
      </c>
      <c r="BB62" s="9">
        <v>6</v>
      </c>
      <c r="BC62" s="9">
        <v>5</v>
      </c>
      <c r="BD62" s="9">
        <v>2</v>
      </c>
      <c r="BE62" s="9" t="str">
        <v>Oui</v>
      </c>
      <c r="BF62" s="9">
        <v>6</v>
      </c>
      <c r="BG62" s="9" t="str">
        <v>4. Neutre</v>
      </c>
      <c r="BH62" s="9">
        <v>6</v>
      </c>
      <c r="BI62" s="9" t="str">
        <v>56-65</v>
      </c>
      <c r="BJ62" s="9" t="str">
        <v>Homme</v>
      </c>
      <c r="BK62" s="9" t="str">
        <v>Associé</v>
      </c>
      <c r="BL62" s="9" t="str">
        <v>Plus de 10 ans</v>
      </c>
      <c r="BM62" s="9" t="str">
        <v>Audit Financier, Audit IT, Audit Interne</v>
      </c>
      <c r="BN62" s="9" t="str">
        <v>Cabinet international</v>
      </c>
      <c r="BO62" s="9" t="str">
        <v>Non</v>
      </c>
      <c r="BP62" s="9">
        <f>IF(ISNUMBER($AI$62),ROUND((((($AI$62-1)*(4/6))+1)),4),"")</f>
        <v>3.6667000000000001</v>
      </c>
      <c r="BQ62" s="9">
        <f>IF(ISNUMBER($AL$62),8-$AL$62,"")</f>
        <v>4</v>
      </c>
      <c r="BR62" s="9">
        <f>IFERROR(8-VALUE(LEFT($AZ$62,1)),"")</f>
        <v>6</v>
      </c>
      <c r="BS62" s="9">
        <f>IF(ISNUMBER($BC$62),8-$BC$62,"")</f>
        <v>3</v>
      </c>
      <c r="BT62" s="9">
        <f>IF(ISNUMBER($BD$62),8-$BD$62,"")</f>
        <v>6</v>
      </c>
      <c r="BU62" s="9">
        <f>IFERROR(ROUND(AVERAGE(VALUE(LEFT($O$62,1)),VALUE(LEFT($P$62,1)),VALUE(LEFT($Q$62,1)),VALUE(LEFT($R$62,1)),VALUE(LEFT($S$62,1)),VALUE(LEFT($T$62,1)),VALUE(LEFT($U$62,1)),VALUE(LEFT($V$62,1)),VALUE(LEFT($W$62,1)),VALUE(LEFT($X$62,1)),VALUE(LEFT($Y$62,1)),VALUE(LEFT($Z$62,1)),VALUE(LEFT($AA$62,1)),VALUE(LEFT($AB$62,1)),VALUE(LEFT($AC$62,1)),VALUE(LEFT($AD$62,1)),VALUE(LEFT($AE$62,1)),VALUE(LEFT($AF$62,1)),VALUE(LEFT($AG$62,1)),VALUE(LEFT($AH$62,1)),$BP$62),4),"")</f>
        <v>4.1745999999999999</v>
      </c>
      <c r="BV62" s="9">
        <f>IFERROR(ROUND(AVERAGE(VALUE(LEFT($AJ$62,1)),VALUE(LEFT($AK$62,1)),$BQ$62),4),"")</f>
        <v>5.3333000000000004</v>
      </c>
      <c r="BW62" s="9">
        <f>IFERROR(ROUND(AVERAGE($AM$62,$AN$62,$AO$62,$AP$62),4),"")</f>
        <v>5.25</v>
      </c>
      <c r="BX62" s="9">
        <f>IFERROR(ROUND(AVERAGE(VALUE(LEFT($AW$62,1)),$AX$62,$AY$62),4),"")</f>
        <v>5.3333000000000004</v>
      </c>
      <c r="BY62" s="9">
        <f>IFERROR(ROUND(AVERAGE($BR$62,$BA$62,$BB$62,$BS$62,$BT$62),4),"")</f>
        <v>5.2</v>
      </c>
      <c r="BZ62" s="9" t="str">
        <f>IF(OR($BK$62="Junior",$BK$62="Stagiaire",$BK$62="Alternant"),"Junior",IF(OR($BK$62="Superviseur",$BK$62="Superviseur ",$BK$62="Senior",$BK$62="Senior Manager",$BK$62="Manager"),"Senior-Manager",IF(OR($BK$62="Associe",$BK$62="Associé"),"Associe","Autre")))</f>
        <v>Associe</v>
      </c>
      <c r="CA62" s="9" t="b">
        <f>AND(NOT(ISNUMBER(SEARCH("Jamais",$B$62))),$BG$62="4. Neutre")</f>
        <v>1</v>
      </c>
      <c r="CB62">
        <f t="shared" si="0"/>
        <v>4</v>
      </c>
    </row>
    <row r="63" spans="1:80" x14ac:dyDescent="0.25">
      <c r="A63" s="42">
        <v>46076.757993900457</v>
      </c>
      <c r="B63" s="10" t="str">
        <v>5. Régulièrement (Plusieurs fois par semaine)</v>
      </c>
      <c r="C63" s="10" t="str">
        <v>Outils grand public (ex: ChatGPT, Gemini )</v>
      </c>
      <c r="D63" s="10">
        <v>0</v>
      </c>
      <c r="E63" s="10">
        <v>0</v>
      </c>
      <c r="F63" s="10" t="str">
        <v>Version entreprise</v>
      </c>
      <c r="G63" s="10">
        <v>0</v>
      </c>
      <c r="H63" s="10">
        <v>0</v>
      </c>
      <c r="I63" s="10">
        <v>0</v>
      </c>
      <c r="J63" s="10">
        <v>0</v>
      </c>
      <c r="K63" s="10">
        <v>0</v>
      </c>
      <c r="L63" s="10">
        <v>0</v>
      </c>
      <c r="M63" s="10" t="str">
        <v>Correction et mise en cohérence de documents, Reformulation ou traduction de documents</v>
      </c>
      <c r="N63" s="10" t="str">
        <v>De manière VOLONTAIRE (vous avez choisi vous-même)</v>
      </c>
      <c r="O63" s="10" t="str">
        <v>1. Pas du tout utile</v>
      </c>
      <c r="P63" s="10" t="str">
        <v>4. Utile</v>
      </c>
      <c r="Q63" s="10" t="str">
        <v>3. Neutre</v>
      </c>
      <c r="R63" s="10" t="str">
        <v>3. Neutre</v>
      </c>
      <c r="S63" s="10" t="str">
        <v>3. Neutre</v>
      </c>
      <c r="T63" s="10" t="str">
        <v>3. Neutre</v>
      </c>
      <c r="U63" s="10" t="str">
        <v>3. Neutre</v>
      </c>
      <c r="V63" s="10" t="str">
        <v>3. Neutre</v>
      </c>
      <c r="W63" s="10" t="str">
        <v>3. Neutre</v>
      </c>
      <c r="X63" s="10" t="str">
        <v>4. Utile</v>
      </c>
      <c r="Y63" s="10" t="str">
        <v>1. Pas du tout utile</v>
      </c>
      <c r="Z63" s="10" t="str">
        <v>4. Utile</v>
      </c>
      <c r="AA63" s="10" t="str">
        <v>4. Utile</v>
      </c>
      <c r="AB63" s="10" t="str">
        <v>3. Neutre</v>
      </c>
      <c r="AC63" s="10" t="str">
        <v>3. Neutre</v>
      </c>
      <c r="AD63" s="10" t="str">
        <v>3. Neutre</v>
      </c>
      <c r="AE63" s="10" t="str">
        <v>3. Neutre</v>
      </c>
      <c r="AF63" s="10" t="str">
        <v>3. Neutre</v>
      </c>
      <c r="AG63" s="10" t="str">
        <v>3. Neutre</v>
      </c>
      <c r="AH63" s="10" t="str">
        <v>3. Neutre</v>
      </c>
      <c r="AI63" s="10">
        <v>3</v>
      </c>
      <c r="AJ63" s="10" t="str">
        <v>4. Ni facile, ni difficile (Prise en main normale)</v>
      </c>
      <c r="AK63" s="10" t="str">
        <v>3. Plutôt en désaccord (Demande un effort conscient)</v>
      </c>
      <c r="AL63" s="10">
        <v>7</v>
      </c>
      <c r="AM63" s="10">
        <v>7</v>
      </c>
      <c r="AN63" s="10">
        <v>7</v>
      </c>
      <c r="AO63" s="10">
        <v>7</v>
      </c>
      <c r="AP63" s="10">
        <v>7</v>
      </c>
      <c r="AQ63" s="10" t="str">
        <v>4. Important</v>
      </c>
      <c r="AR63" s="10" t="str">
        <v>5. Très important</v>
      </c>
      <c r="AS63" s="10" t="str">
        <v>3. Moyennement important</v>
      </c>
      <c r="AT63" s="10" t="str">
        <v>5. Très important</v>
      </c>
      <c r="AU63" s="10">
        <v>7</v>
      </c>
      <c r="AV63" s="10">
        <v>4</v>
      </c>
      <c r="AW63" s="10" t="str">
        <v>3. Faible (Moins de 5 heures de formation au total)</v>
      </c>
      <c r="AX63" s="10">
        <v>2</v>
      </c>
      <c r="AY63" s="10">
        <v>2</v>
      </c>
      <c r="AZ63" s="10" t="str">
        <v>1. Pas du tout d’accord (Je vérifie systématiquement chaque détail)</v>
      </c>
      <c r="BA63" s="10">
        <v>7</v>
      </c>
      <c r="BB63" s="10">
        <v>7</v>
      </c>
      <c r="BC63" s="10">
        <v>4</v>
      </c>
      <c r="BD63" s="10">
        <v>1</v>
      </c>
      <c r="BE63" s="10" t="str">
        <v>Oui</v>
      </c>
      <c r="BF63" s="10">
        <v>5</v>
      </c>
      <c r="BG63" s="10" t="str">
        <v>4. Neutre</v>
      </c>
      <c r="BH63" s="10">
        <v>3</v>
      </c>
      <c r="BI63" s="10" t="str">
        <v>36-45</v>
      </c>
      <c r="BJ63" s="10" t="str">
        <v>Homme</v>
      </c>
      <c r="BK63" s="10" t="str">
        <v>Associé</v>
      </c>
      <c r="BL63" s="10" t="str">
        <v>Plus de 10 ans</v>
      </c>
      <c r="BM63" s="10" t="str">
        <v>Audit Financier</v>
      </c>
      <c r="BN63" s="10" t="str">
        <v>Cabinet local</v>
      </c>
      <c r="BO63" s="10">
        <v>0</v>
      </c>
      <c r="BP63" s="10">
        <f>IF(ISNUMBER($AI$63),ROUND((((($AI$63-1)*(4/6))+1)),4),"")</f>
        <v>2.3332999999999999</v>
      </c>
      <c r="BQ63" s="10">
        <f>IF(ISNUMBER($AL$63),8-$AL$63,"")</f>
        <v>1</v>
      </c>
      <c r="BR63" s="10">
        <f>IFERROR(8-VALUE(LEFT($AZ$63,1)),"")</f>
        <v>7</v>
      </c>
      <c r="BS63" s="10">
        <f>IF(ISNUMBER($BC$63),8-$BC$63,"")</f>
        <v>4</v>
      </c>
      <c r="BT63" s="10">
        <f>IF(ISNUMBER($BD$63),8-$BD$63,"")</f>
        <v>7</v>
      </c>
      <c r="BU63" s="10">
        <f>IFERROR(ROUND(AVERAGE(VALUE(LEFT($O$63,1)),VALUE(LEFT($P$63,1)),VALUE(LEFT($Q$63,1)),VALUE(LEFT($R$63,1)),VALUE(LEFT($S$63,1)),VALUE(LEFT($T$63,1)),VALUE(LEFT($U$63,1)),VALUE(LEFT($V$63,1)),VALUE(LEFT($W$63,1)),VALUE(LEFT($X$63,1)),VALUE(LEFT($Y$63,1)),VALUE(LEFT($Z$63,1)),VALUE(LEFT($AA$63,1)),VALUE(LEFT($AB$63,1)),VALUE(LEFT($AC$63,1)),VALUE(LEFT($AD$63,1)),VALUE(LEFT($AE$63,1)),VALUE(LEFT($AF$63,1)),VALUE(LEFT($AG$63,1)),VALUE(LEFT($AH$63,1)),$BP$63),4),"")</f>
        <v>2.9683000000000002</v>
      </c>
      <c r="BV63" s="10">
        <f>IFERROR(ROUND(AVERAGE(VALUE(LEFT($AJ$63,1)),VALUE(LEFT($AK$63,1)),$BQ$63),4),"")</f>
        <v>2.6667000000000001</v>
      </c>
      <c r="BW63" s="10">
        <f>IFERROR(ROUND(AVERAGE($AM$63,$AN$63,$AO$63,$AP$63),4),"")</f>
        <v>7</v>
      </c>
      <c r="BX63" s="10">
        <f>IFERROR(ROUND(AVERAGE(VALUE(LEFT($AW$63,1)),$AX$63,$AY$63),4),"")</f>
        <v>2.3332999999999999</v>
      </c>
      <c r="BY63" s="10">
        <f>IFERROR(ROUND(AVERAGE($BR$63,$BA$63,$BB$63,$BS$63,$BT$63),4),"")</f>
        <v>6.4</v>
      </c>
      <c r="BZ63" s="10" t="str">
        <f>IF(OR($BK$63="Junior",$BK$63="Stagiaire",$BK$63="Alternant"),"Junior",IF(OR($BK$63="Superviseur",$BK$63="Superviseur ",$BK$63="Senior",$BK$63="Senior Manager",$BK$63="Manager"),"Senior-Manager",IF(OR($BK$63="Associe",$BK$63="Associé"),"Associe","Autre")))</f>
        <v>Associe</v>
      </c>
      <c r="CA63" s="10" t="b">
        <f>AND(NOT(ISNUMBER(SEARCH("Jamais",$B$63))),$BG$63="4. Neutre")</f>
        <v>1</v>
      </c>
      <c r="CB63">
        <f t="shared" si="0"/>
        <v>5</v>
      </c>
    </row>
    <row r="64" spans="1:80" x14ac:dyDescent="0.25">
      <c r="A64" s="41">
        <v>46076.884953067129</v>
      </c>
      <c r="B64" s="9" t="str">
        <v>3. Rarement (1 à 3 fois par mois)</v>
      </c>
      <c r="C64" s="9" t="str">
        <v>Usage mix des deux</v>
      </c>
      <c r="D64" s="9">
        <v>0</v>
      </c>
      <c r="E64" s="9" t="str">
        <v>Version entreprise</v>
      </c>
      <c r="F64" s="9" t="str">
        <v>Version entreprise</v>
      </c>
      <c r="G64" s="9">
        <v>0</v>
      </c>
      <c r="H64" s="9">
        <v>0</v>
      </c>
      <c r="I64" s="9">
        <v>0</v>
      </c>
      <c r="J64" s="9">
        <v>0</v>
      </c>
      <c r="K64" s="9">
        <v>0</v>
      </c>
      <c r="L64" s="9">
        <v>0</v>
      </c>
      <c r="M64" s="9" t="str">
        <v>Correction et mise en cohérence de documents, Reformulation ou traduction de documents</v>
      </c>
      <c r="N64" s="9" t="str">
        <v>De manière VOLONTAIRE (vous avez choisi vous-même)</v>
      </c>
      <c r="O64" s="9" t="str">
        <v>5. Très utile</v>
      </c>
      <c r="P64" s="9" t="str">
        <v>5. Très utile</v>
      </c>
      <c r="Q64" s="9" t="str">
        <v>5. Très utile</v>
      </c>
      <c r="R64" s="9" t="str">
        <v>5. Très utile</v>
      </c>
      <c r="S64" s="9" t="str">
        <v>2. Peu utile</v>
      </c>
      <c r="T64" s="9" t="str">
        <v>4. Utile</v>
      </c>
      <c r="U64" s="9" t="str">
        <v>3. Neutre</v>
      </c>
      <c r="V64" s="9" t="str">
        <v>3. Neutre</v>
      </c>
      <c r="W64" s="9" t="str">
        <v>3. Neutre</v>
      </c>
      <c r="X64" s="9" t="str">
        <v>5. Très utile</v>
      </c>
      <c r="Y64" s="9" t="str">
        <v>5. Très utile</v>
      </c>
      <c r="Z64" s="9" t="str">
        <v>5. Très utile</v>
      </c>
      <c r="AA64" s="9" t="str">
        <v>4. Utile</v>
      </c>
      <c r="AB64" s="9" t="str">
        <v>4. Utile</v>
      </c>
      <c r="AC64" s="9" t="str">
        <v>4. Utile</v>
      </c>
      <c r="AD64" s="9" t="str">
        <v>4. Utile</v>
      </c>
      <c r="AE64" s="9" t="str">
        <v>4. Utile</v>
      </c>
      <c r="AF64" s="9" t="str">
        <v>3. Neutre</v>
      </c>
      <c r="AG64" s="9" t="str">
        <v>3. Neutre</v>
      </c>
      <c r="AH64" s="9" t="str">
        <v>5. Très utile</v>
      </c>
      <c r="AI64" s="9">
        <v>5</v>
      </c>
      <c r="AJ64" s="9" t="str">
        <v>5. Plutôt facile (Assez intuitif)</v>
      </c>
      <c r="AK64" s="9" t="str">
        <v>5. Plutôt d'accord (S'intègre assez bien)</v>
      </c>
      <c r="AL64" s="9">
        <v>6</v>
      </c>
      <c r="AM64" s="9">
        <v>7</v>
      </c>
      <c r="AN64" s="9">
        <v>7</v>
      </c>
      <c r="AO64" s="9">
        <v>7</v>
      </c>
      <c r="AP64" s="9">
        <v>5</v>
      </c>
      <c r="AQ64" s="9" t="str">
        <v>4. Important</v>
      </c>
      <c r="AR64" s="9" t="str">
        <v>5. Très important</v>
      </c>
      <c r="AS64" s="9" t="str">
        <v>5. Très important</v>
      </c>
      <c r="AT64" s="9" t="str">
        <v>4. Important</v>
      </c>
      <c r="AU64" s="9">
        <v>5</v>
      </c>
      <c r="AV64" s="9">
        <v>7</v>
      </c>
      <c r="AW64" s="9" t="str">
        <v>4. Moyenne (Environ une journée de formation cumulée)</v>
      </c>
      <c r="AX64" s="9">
        <v>4</v>
      </c>
      <c r="AY64" s="9">
        <v>6</v>
      </c>
      <c r="AZ64" s="9" t="str">
        <v>1. Pas du tout d’accord (Je vérifie systématiquement chaque détail)</v>
      </c>
      <c r="BA64" s="9">
        <v>7</v>
      </c>
      <c r="BB64" s="9">
        <v>6</v>
      </c>
      <c r="BC64" s="9">
        <v>5</v>
      </c>
      <c r="BD64" s="9">
        <v>5</v>
      </c>
      <c r="BE64" s="9" t="str">
        <v>Oui</v>
      </c>
      <c r="BF64" s="9">
        <v>7</v>
      </c>
      <c r="BG64" s="9" t="str">
        <v>4. Neutre</v>
      </c>
      <c r="BH64" s="9">
        <v>5</v>
      </c>
      <c r="BI64" s="9" t="str">
        <v>36-45</v>
      </c>
      <c r="BJ64" s="9" t="str">
        <v>Femme</v>
      </c>
      <c r="BK64" s="9" t="str">
        <v>Associé</v>
      </c>
      <c r="BL64" s="9" t="str">
        <v>Plus de 10 ans</v>
      </c>
      <c r="BM64" s="9" t="str">
        <v>Audit Financier</v>
      </c>
      <c r="BN64" s="9" t="str">
        <v>Cabinet local</v>
      </c>
      <c r="BO64" s="9">
        <v>0</v>
      </c>
      <c r="BP64" s="9">
        <f>IF(ISNUMBER($AI$64),ROUND((((($AI$64-1)*(4/6))+1)),4),"")</f>
        <v>3.6667000000000001</v>
      </c>
      <c r="BQ64" s="9">
        <f>IF(ISNUMBER($AL$64),8-$AL$64,"")</f>
        <v>2</v>
      </c>
      <c r="BR64" s="9">
        <f>IFERROR(8-VALUE(LEFT($AZ$64,1)),"")</f>
        <v>7</v>
      </c>
      <c r="BS64" s="9">
        <f>IF(ISNUMBER($BC$64),8-$BC$64,"")</f>
        <v>3</v>
      </c>
      <c r="BT64" s="9">
        <f>IF(ISNUMBER($BD$64),8-$BD$64,"")</f>
        <v>3</v>
      </c>
      <c r="BU64" s="9">
        <f>IFERROR(ROUND(AVERAGE(VALUE(LEFT($O$64,1)),VALUE(LEFT($P$64,1)),VALUE(LEFT($Q$64,1)),VALUE(LEFT($R$64,1)),VALUE(LEFT($S$64,1)),VALUE(LEFT($T$64,1)),VALUE(LEFT($U$64,1)),VALUE(LEFT($V$64,1)),VALUE(LEFT($W$64,1)),VALUE(LEFT($X$64,1)),VALUE(LEFT($Y$64,1)),VALUE(LEFT($Z$64,1)),VALUE(LEFT($AA$64,1)),VALUE(LEFT($AB$64,1)),VALUE(LEFT($AC$64,1)),VALUE(LEFT($AD$64,1)),VALUE(LEFT($AE$64,1)),VALUE(LEFT($AF$64,1)),VALUE(LEFT($AG$64,1)),VALUE(LEFT($AH$64,1)),$BP$64),4),"")</f>
        <v>4.0316999999999998</v>
      </c>
      <c r="BV64" s="9">
        <f>IFERROR(ROUND(AVERAGE(VALUE(LEFT($AJ$64,1)),VALUE(LEFT($AK$64,1)),$BQ$64),4),"")</f>
        <v>4</v>
      </c>
      <c r="BW64" s="9">
        <f>IFERROR(ROUND(AVERAGE($AM$64,$AN$64,$AO$64,$AP$64),4),"")</f>
        <v>6.5</v>
      </c>
      <c r="BX64" s="9">
        <f>IFERROR(ROUND(AVERAGE(VALUE(LEFT($AW$64,1)),$AX$64,$AY$64),4),"")</f>
        <v>4.6666999999999996</v>
      </c>
      <c r="BY64" s="9">
        <f>IFERROR(ROUND(AVERAGE($BR$64,$BA$64,$BB$64,$BS$64,$BT$64),4),"")</f>
        <v>5.2</v>
      </c>
      <c r="BZ64" s="9" t="str">
        <f>IF(OR($BK$64="Junior",$BK$64="Stagiaire",$BK$64="Alternant"),"Junior",IF(OR($BK$64="Superviseur",$BK$64="Superviseur ",$BK$64="Senior",$BK$64="Senior Manager",$BK$64="Manager"),"Senior-Manager",IF(OR($BK$64="Associe",$BK$64="Associé"),"Associe","Autre")))</f>
        <v>Associe</v>
      </c>
      <c r="CA64" s="9" t="b">
        <f>AND(NOT(ISNUMBER(SEARCH("Jamais",$B$64))),$BG$64="4. Neutre")</f>
        <v>1</v>
      </c>
      <c r="CB64">
        <f t="shared" si="0"/>
        <v>3</v>
      </c>
    </row>
    <row r="65" spans="1:80" x14ac:dyDescent="0.25">
      <c r="A65" s="42">
        <v>46077.370951597222</v>
      </c>
      <c r="B65" s="10" t="str">
        <v>5. Régulièrement (Plusieurs fois par semaine)</v>
      </c>
      <c r="C65" s="10" t="str">
        <v>Usage mix des deux</v>
      </c>
      <c r="D65" s="10">
        <v>0</v>
      </c>
      <c r="E65" s="10" t="str">
        <v>Version grand public</v>
      </c>
      <c r="F65" s="10" t="str">
        <v>Version grand public</v>
      </c>
      <c r="G65" s="10">
        <v>0</v>
      </c>
      <c r="H65" s="10">
        <v>0</v>
      </c>
      <c r="I65" s="10">
        <v>0</v>
      </c>
      <c r="J65" s="10">
        <v>0</v>
      </c>
      <c r="K65" s="10" t="str">
        <v>Version entreprise</v>
      </c>
      <c r="L65" s="10">
        <v>0</v>
      </c>
      <c r="M65" s="10" t="str">
        <v>Reformulation ou traduction de documents, Recherche d'informations ou de points techniques</v>
      </c>
      <c r="N65" s="10" t="str">
        <v>De manière VOLONTAIRE (vous avez choisi vous-même)</v>
      </c>
      <c r="O65" s="10" t="str">
        <v>5. Très utile</v>
      </c>
      <c r="P65" s="10" t="str">
        <v>4. Utile</v>
      </c>
      <c r="Q65" s="10" t="str">
        <v>2. Peu utile</v>
      </c>
      <c r="R65" s="10" t="str">
        <v>2. Peu utile</v>
      </c>
      <c r="S65" s="10" t="str">
        <v>5. Très utile</v>
      </c>
      <c r="T65" s="10" t="str">
        <v>1. Pas du tout utile</v>
      </c>
      <c r="U65" s="10" t="str">
        <v>2. Peu utile</v>
      </c>
      <c r="V65" s="10" t="str">
        <v>3. Neutre</v>
      </c>
      <c r="W65" s="10" t="str">
        <v>3. Neutre</v>
      </c>
      <c r="X65" s="10" t="str">
        <v>5. Très utile</v>
      </c>
      <c r="Y65" s="10" t="str">
        <v>5. Très utile</v>
      </c>
      <c r="Z65" s="10" t="str">
        <v>5. Très utile</v>
      </c>
      <c r="AA65" s="10" t="str">
        <v>4. Utile</v>
      </c>
      <c r="AB65" s="10" t="str">
        <v>3. Neutre</v>
      </c>
      <c r="AC65" s="10" t="str">
        <v>5. Très utile</v>
      </c>
      <c r="AD65" s="10" t="str">
        <v>3. Neutre</v>
      </c>
      <c r="AE65" s="10" t="str">
        <v>3. Neutre</v>
      </c>
      <c r="AF65" s="10" t="str">
        <v>2. Peu utile</v>
      </c>
      <c r="AG65" s="10" t="str">
        <v>2. Peu utile</v>
      </c>
      <c r="AH65" s="10" t="str">
        <v>5. Très utile</v>
      </c>
      <c r="AI65" s="10">
        <v>6</v>
      </c>
      <c r="AJ65" s="10" t="str">
        <v>5. Plutôt facile (Assez intuitif)</v>
      </c>
      <c r="AK65" s="10" t="str">
        <v>6. D'accord (S'intègre facilement)</v>
      </c>
      <c r="AL65" s="10">
        <v>5</v>
      </c>
      <c r="AM65" s="10">
        <v>7</v>
      </c>
      <c r="AN65" s="10">
        <v>7</v>
      </c>
      <c r="AO65" s="10">
        <v>6</v>
      </c>
      <c r="AP65" s="10">
        <v>1</v>
      </c>
      <c r="AQ65" s="10" t="str">
        <v>4. Important</v>
      </c>
      <c r="AR65" s="10" t="str">
        <v>5. Très important</v>
      </c>
      <c r="AS65" s="10" t="str">
        <v>4. Important</v>
      </c>
      <c r="AT65" s="10" t="str">
        <v>1. Pas du tout important</v>
      </c>
      <c r="AU65" s="10">
        <v>7</v>
      </c>
      <c r="AV65" s="10">
        <v>7</v>
      </c>
      <c r="AW65" s="10" t="str">
        <v>1. Aucune</v>
      </c>
      <c r="AX65" s="10">
        <v>6</v>
      </c>
      <c r="AY65" s="10">
        <v>6</v>
      </c>
      <c r="AZ65" s="10" t="str">
        <v>2. En désaccord (Je contrôle la quasi-totalité des éléments)</v>
      </c>
      <c r="BA65" s="10">
        <v>6</v>
      </c>
      <c r="BB65" s="10">
        <v>7</v>
      </c>
      <c r="BC65" s="10">
        <v>5</v>
      </c>
      <c r="BD65" s="10">
        <v>6</v>
      </c>
      <c r="BE65" s="10" t="str">
        <v>Oui</v>
      </c>
      <c r="BF65" s="10">
        <v>5</v>
      </c>
      <c r="BG65" s="10" t="str">
        <v>4. Neutre</v>
      </c>
      <c r="BH65" s="10">
        <v>4</v>
      </c>
      <c r="BI65" s="10" t="str">
        <v>26-35</v>
      </c>
      <c r="BJ65" s="10" t="str">
        <v>Homme</v>
      </c>
      <c r="BK65" s="10" t="str">
        <v>Associé</v>
      </c>
      <c r="BL65" s="10" t="str">
        <v>4  - 5 ans</v>
      </c>
      <c r="BM65" s="10" t="str">
        <v>Audit Financier</v>
      </c>
      <c r="BN65" s="10" t="str">
        <v>Cabinet local</v>
      </c>
      <c r="BO65" s="10">
        <v>0</v>
      </c>
      <c r="BP65" s="10">
        <f>IF(ISNUMBER($AI$65),ROUND((((($AI$65-1)*(4/6))+1)),4),"")</f>
        <v>4.3333000000000004</v>
      </c>
      <c r="BQ65" s="10">
        <f>IF(ISNUMBER($AL$65),8-$AL$65,"")</f>
        <v>3</v>
      </c>
      <c r="BR65" s="10">
        <f>IFERROR(8-VALUE(LEFT($AZ$65,1)),"")</f>
        <v>6</v>
      </c>
      <c r="BS65" s="10">
        <f>IF(ISNUMBER($BC$65),8-$BC$65,"")</f>
        <v>3</v>
      </c>
      <c r="BT65" s="10">
        <f>IF(ISNUMBER($BD$65),8-$BD$65,"")</f>
        <v>2</v>
      </c>
      <c r="BU65" s="10">
        <f>IFERROR(ROUND(AVERAGE(VALUE(LEFT($O$65,1)),VALUE(LEFT($P$65,1)),VALUE(LEFT($Q$65,1)),VALUE(LEFT($R$65,1)),VALUE(LEFT($S$65,1)),VALUE(LEFT($T$65,1)),VALUE(LEFT($U$65,1)),VALUE(LEFT($V$65,1)),VALUE(LEFT($W$65,1)),VALUE(LEFT($X$65,1)),VALUE(LEFT($Y$65,1)),VALUE(LEFT($Z$65,1)),VALUE(LEFT($AA$65,1)),VALUE(LEFT($AB$65,1)),VALUE(LEFT($AC$65,1)),VALUE(LEFT($AD$65,1)),VALUE(LEFT($AE$65,1)),VALUE(LEFT($AF$65,1)),VALUE(LEFT($AG$65,1)),VALUE(LEFT($AH$65,1)),$BP$65),4),"")</f>
        <v>3.4921000000000002</v>
      </c>
      <c r="BV65" s="10">
        <f>IFERROR(ROUND(AVERAGE(VALUE(LEFT($AJ$65,1)),VALUE(LEFT($AK$65,1)),$BQ$65),4),"")</f>
        <v>4.6666999999999996</v>
      </c>
      <c r="BW65" s="10">
        <f>IFERROR(ROUND(AVERAGE($AM$65,$AN$65,$AO$65,$AP$65),4),"")</f>
        <v>5.25</v>
      </c>
      <c r="BX65" s="10">
        <f>IFERROR(ROUND(AVERAGE(VALUE(LEFT($AW$65,1)),$AX$65,$AY$65),4),"")</f>
        <v>4.3333000000000004</v>
      </c>
      <c r="BY65" s="10">
        <f>IFERROR(ROUND(AVERAGE($BR$65,$BA$65,$BB$65,$BS$65,$BT$65),4),"")</f>
        <v>4.8</v>
      </c>
      <c r="BZ65" s="10" t="str">
        <f>IF(OR($BK$65="Junior",$BK$65="Stagiaire",$BK$65="Alternant"),"Junior",IF(OR($BK$65="Superviseur",$BK$65="Superviseur ",$BK$65="Senior",$BK$65="Senior Manager",$BK$65="Manager"),"Senior-Manager",IF(OR($BK$65="Associe",$BK$65="Associé"),"Associe","Autre")))</f>
        <v>Associe</v>
      </c>
      <c r="CA65" s="10" t="b">
        <f>AND(NOT(ISNUMBER(SEARCH("Jamais",$B$65))),$BG$65="4. Neutre")</f>
        <v>1</v>
      </c>
      <c r="CB65">
        <f t="shared" si="0"/>
        <v>5</v>
      </c>
    </row>
    <row r="66" spans="1:80" x14ac:dyDescent="0.25">
      <c r="A66" s="41">
        <v>46077.419464317129</v>
      </c>
      <c r="B66" s="9" t="str">
        <v>5. Régulièrement (Plusieurs fois par semaine)</v>
      </c>
      <c r="C66" s="9" t="str">
        <v>Outils fournis/agréés par le cabinet (ex: Copilot sécurisé)</v>
      </c>
      <c r="D66" s="9">
        <v>0</v>
      </c>
      <c r="E66" s="9" t="str">
        <v>Version entreprise</v>
      </c>
      <c r="F66" s="9">
        <v>0</v>
      </c>
      <c r="G66" s="9">
        <v>0</v>
      </c>
      <c r="H66" s="9">
        <v>0</v>
      </c>
      <c r="I66" s="9">
        <v>0</v>
      </c>
      <c r="J66" s="9">
        <v>0</v>
      </c>
      <c r="K66" s="9">
        <v>0</v>
      </c>
      <c r="L66" s="9">
        <v>0</v>
      </c>
      <c r="M66" s="9" t="str">
        <v>Reformulation ou traduction de documents, Recherche d'informations ou de points techniques, Préparation de données (format, structuration, harmonisation des valeurs)</v>
      </c>
      <c r="N66" s="9" t="str">
        <v>De manière RECOMMANDÉE (cabinet encourage, mais facultatif)</v>
      </c>
      <c r="O66" s="9" t="str">
        <v>5. Très utile</v>
      </c>
      <c r="P66" s="9" t="str">
        <v>5. Très utile</v>
      </c>
      <c r="Q66" s="9" t="str">
        <v>5. Très utile</v>
      </c>
      <c r="R66" s="9" t="str">
        <v>3. Neutre</v>
      </c>
      <c r="S66" s="9" t="str">
        <v>3. Neutre</v>
      </c>
      <c r="T66" s="9" t="str">
        <v>3. Neutre</v>
      </c>
      <c r="U66" s="9" t="str">
        <v>3. Neutre</v>
      </c>
      <c r="V66" s="9" t="str">
        <v>3. Neutre</v>
      </c>
      <c r="W66" s="9" t="str">
        <v>4. Utile</v>
      </c>
      <c r="X66" s="9" t="str">
        <v>5. Très utile</v>
      </c>
      <c r="Y66" s="9" t="str">
        <v>4. Utile</v>
      </c>
      <c r="Z66" s="9" t="str">
        <v>4. Utile</v>
      </c>
      <c r="AA66" s="9" t="str">
        <v>4. Utile</v>
      </c>
      <c r="AB66" s="9" t="str">
        <v>3. Neutre</v>
      </c>
      <c r="AC66" s="9" t="str">
        <v>3. Neutre</v>
      </c>
      <c r="AD66" s="9" t="str">
        <v>3. Neutre</v>
      </c>
      <c r="AE66" s="9" t="str">
        <v>3. Neutre</v>
      </c>
      <c r="AF66" s="9" t="str">
        <v>3. Neutre</v>
      </c>
      <c r="AG66" s="9" t="str">
        <v>3. Neutre</v>
      </c>
      <c r="AH66" s="9" t="str">
        <v>4. Utile</v>
      </c>
      <c r="AI66" s="9">
        <v>5</v>
      </c>
      <c r="AJ66" s="9" t="str">
        <v>6. Facile (Maîtrise rapide)</v>
      </c>
      <c r="AK66" s="9" t="str">
        <v>6. D'accord (S'intègre facilement)</v>
      </c>
      <c r="AL66" s="9">
        <v>6</v>
      </c>
      <c r="AM66" s="9">
        <v>6</v>
      </c>
      <c r="AN66" s="9">
        <v>6</v>
      </c>
      <c r="AO66" s="9">
        <v>6</v>
      </c>
      <c r="AP66" s="9">
        <v>6</v>
      </c>
      <c r="AQ66" s="9" t="str">
        <v>5. Très important</v>
      </c>
      <c r="AR66" s="9" t="str">
        <v>5. Très important</v>
      </c>
      <c r="AS66" s="9" t="str">
        <v>3. Moyennement important</v>
      </c>
      <c r="AT66" s="9" t="str">
        <v>5. Très important</v>
      </c>
      <c r="AU66" s="9">
        <v>5</v>
      </c>
      <c r="AV66" s="9">
        <v>7</v>
      </c>
      <c r="AW66" s="9" t="str">
        <v>4. Moyenne (Environ une journée de formation cumulée)</v>
      </c>
      <c r="AX66" s="9">
        <v>4</v>
      </c>
      <c r="AY66" s="9">
        <v>4</v>
      </c>
      <c r="AZ66" s="9" t="str">
        <v>2. En désaccord (Je contrôle la quasi-totalité des éléments)</v>
      </c>
      <c r="BA66" s="9">
        <v>5</v>
      </c>
      <c r="BB66" s="9">
        <v>2</v>
      </c>
      <c r="BC66" s="9">
        <v>4</v>
      </c>
      <c r="BD66" s="9">
        <v>4</v>
      </c>
      <c r="BE66" s="9" t="str">
        <v>Oui</v>
      </c>
      <c r="BF66" s="9">
        <v>6</v>
      </c>
      <c r="BG66" s="9" t="str">
        <v>4. Neutre</v>
      </c>
      <c r="BH66" s="9">
        <v>5</v>
      </c>
      <c r="BI66" s="9" t="str">
        <v>18-25</v>
      </c>
      <c r="BJ66" s="9" t="str">
        <v>Homme</v>
      </c>
      <c r="BK66" s="9" t="str">
        <v>Senior</v>
      </c>
      <c r="BL66" s="9" t="str">
        <v>2 - 3 ans</v>
      </c>
      <c r="BM66" s="9" t="str">
        <v>Audit Financier</v>
      </c>
      <c r="BN66" s="9" t="str">
        <v>Cabinet international</v>
      </c>
      <c r="BO66" s="9">
        <v>0</v>
      </c>
      <c r="BP66" s="9">
        <f>IF(ISNUMBER($AI$66),ROUND((((($AI$66-1)*(4/6))+1)),4),"")</f>
        <v>3.6667000000000001</v>
      </c>
      <c r="BQ66" s="9">
        <f>IF(ISNUMBER($AL$66),8-$AL$66,"")</f>
        <v>2</v>
      </c>
      <c r="BR66" s="9">
        <f>IFERROR(8-VALUE(LEFT($AZ$66,1)),"")</f>
        <v>6</v>
      </c>
      <c r="BS66" s="9">
        <f>IF(ISNUMBER($BC$66),8-$BC$66,"")</f>
        <v>4</v>
      </c>
      <c r="BT66" s="9">
        <f>IF(ISNUMBER($BD$66),8-$BD$66,"")</f>
        <v>4</v>
      </c>
      <c r="BU66" s="9">
        <f>IFERROR(ROUND(AVERAGE(VALUE(LEFT($O$66,1)),VALUE(LEFT($P$66,1)),VALUE(LEFT($Q$66,1)),VALUE(LEFT($R$66,1)),VALUE(LEFT($S$66,1)),VALUE(LEFT($T$66,1)),VALUE(LEFT($U$66,1)),VALUE(LEFT($V$66,1)),VALUE(LEFT($W$66,1)),VALUE(LEFT($X$66,1)),VALUE(LEFT($Y$66,1)),VALUE(LEFT($Z$66,1)),VALUE(LEFT($AA$66,1)),VALUE(LEFT($AB$66,1)),VALUE(LEFT($AC$66,1)),VALUE(LEFT($AD$66,1)),VALUE(LEFT($AE$66,1)),VALUE(LEFT($AF$66,1)),VALUE(LEFT($AG$66,1)),VALUE(LEFT($AH$66,1)),$BP$66),4),"")</f>
        <v>3.6507999999999998</v>
      </c>
      <c r="BV66" s="9">
        <f>IFERROR(ROUND(AVERAGE(VALUE(LEFT($AJ$66,1)),VALUE(LEFT($AK$66,1)),$BQ$66),4),"")</f>
        <v>4.6666999999999996</v>
      </c>
      <c r="BW66" s="9">
        <f>IFERROR(ROUND(AVERAGE($AM$66,$AN$66,$AO$66,$AP$66),4),"")</f>
        <v>6</v>
      </c>
      <c r="BX66" s="9">
        <f>IFERROR(ROUND(AVERAGE(VALUE(LEFT($AW$66,1)),$AX$66,$AY$66),4),"")</f>
        <v>4</v>
      </c>
      <c r="BY66" s="9">
        <f>IFERROR(ROUND(AVERAGE($BR$66,$BA$66,$BB$66,$BS$66,$BT$66),4),"")</f>
        <v>4.2</v>
      </c>
      <c r="BZ66" s="9" t="str">
        <f>IF(OR($BK$66="Junior",$BK$66="Stagiaire",$BK$66="Alternant"),"Junior",IF(OR($BK$66="Superviseur",$BK$66="Superviseur ",$BK$66="Senior",$BK$66="Senior Manager",$BK$66="Manager"),"Senior-Manager",IF(OR($BK$66="Associe",$BK$66="Associé"),"Associe","Autre")))</f>
        <v>Senior-Manager</v>
      </c>
      <c r="CA66" s="9" t="b">
        <f>AND(NOT(ISNUMBER(SEARCH("Jamais",$B$66))),$BG$66="4. Neutre")</f>
        <v>1</v>
      </c>
      <c r="CB66">
        <f t="shared" si="0"/>
        <v>5</v>
      </c>
    </row>
    <row r="67" spans="1:80" x14ac:dyDescent="0.25">
      <c r="A67" s="42">
        <v>46077.477435532397</v>
      </c>
      <c r="B67" s="10" t="str">
        <v>4. Parfois (Environ une fois par semaine)</v>
      </c>
      <c r="C67" s="10" t="str">
        <v>Outils grand public (ex: ChatGPT, Gemini )</v>
      </c>
      <c r="D67" s="10">
        <v>0</v>
      </c>
      <c r="E67" s="10">
        <v>0</v>
      </c>
      <c r="F67" s="10" t="str">
        <v>Version grand public</v>
      </c>
      <c r="G67" s="10">
        <v>0</v>
      </c>
      <c r="H67" s="10">
        <v>0</v>
      </c>
      <c r="I67" s="10">
        <v>0</v>
      </c>
      <c r="J67" s="10">
        <v>0</v>
      </c>
      <c r="K67" s="10">
        <v>0</v>
      </c>
      <c r="L67" s="10">
        <v>0</v>
      </c>
      <c r="M67" s="10" t="str">
        <v>Recherche d'informations ou de points techniques, Reformulation ou traduction de documents, Rédaction (rapports, synthèses, notes, mails), Préparation de données (format, structuration, harmonisation des valeurs)</v>
      </c>
      <c r="N67" s="10" t="str">
        <v>De manière VOLONTAIRE (vous avez choisi vous-même)</v>
      </c>
      <c r="O67" s="10" t="str">
        <v>5. Très utile</v>
      </c>
      <c r="P67" s="10" t="str">
        <v>4. Utile</v>
      </c>
      <c r="Q67" s="10" t="str">
        <v>4. Utile</v>
      </c>
      <c r="R67" s="10" t="str">
        <v>5. Très utile</v>
      </c>
      <c r="S67" s="10" t="str">
        <v>3. Neutre</v>
      </c>
      <c r="T67" s="10" t="str">
        <v>3. Neutre</v>
      </c>
      <c r="U67" s="10" t="str">
        <v>2. Peu utile</v>
      </c>
      <c r="V67" s="10" t="str">
        <v>2. Peu utile</v>
      </c>
      <c r="W67" s="10" t="str">
        <v>2. Peu utile</v>
      </c>
      <c r="X67" s="10" t="str">
        <v>5. Très utile</v>
      </c>
      <c r="Y67" s="10" t="str">
        <v>4. Utile</v>
      </c>
      <c r="Z67" s="10" t="str">
        <v>3. Neutre</v>
      </c>
      <c r="AA67" s="10" t="str">
        <v>3. Neutre</v>
      </c>
      <c r="AB67" s="10" t="str">
        <v>4. Utile</v>
      </c>
      <c r="AC67" s="10" t="str">
        <v>3. Neutre</v>
      </c>
      <c r="AD67" s="10" t="str">
        <v>3. Neutre</v>
      </c>
      <c r="AE67" s="10" t="str">
        <v>2. Peu utile</v>
      </c>
      <c r="AF67" s="10" t="str">
        <v>2. Peu utile</v>
      </c>
      <c r="AG67" s="10" t="str">
        <v>3. Neutre</v>
      </c>
      <c r="AH67" s="10" t="str">
        <v>4. Utile</v>
      </c>
      <c r="AI67" s="10">
        <v>5</v>
      </c>
      <c r="AJ67" s="10" t="str">
        <v>4. Ni facile, ni difficile (Prise en main normale)</v>
      </c>
      <c r="AK67" s="10" t="str">
        <v>5. Plutôt d'accord (S'intègre assez bien)</v>
      </c>
      <c r="AL67" s="10">
        <v>5</v>
      </c>
      <c r="AM67" s="10">
        <v>6</v>
      </c>
      <c r="AN67" s="10">
        <v>6</v>
      </c>
      <c r="AO67" s="10">
        <v>6</v>
      </c>
      <c r="AP67" s="10">
        <v>4</v>
      </c>
      <c r="AQ67" s="10" t="str">
        <v>4. Important</v>
      </c>
      <c r="AR67" s="10" t="str">
        <v>4. Important</v>
      </c>
      <c r="AS67" s="10" t="str">
        <v>5. Très important</v>
      </c>
      <c r="AT67" s="10" t="str">
        <v>4. Important</v>
      </c>
      <c r="AU67" s="10">
        <v>5</v>
      </c>
      <c r="AV67" s="10">
        <v>7</v>
      </c>
      <c r="AW67" s="10" t="str">
        <v>2. Très limitée (Quelques vidéos ou articles consultés)</v>
      </c>
      <c r="AX67" s="10">
        <v>5</v>
      </c>
      <c r="AY67" s="10">
        <v>4</v>
      </c>
      <c r="AZ67" s="10" t="str">
        <v>2. En désaccord (Je contrôle la quasi-totalité des éléments)</v>
      </c>
      <c r="BA67" s="10">
        <v>6</v>
      </c>
      <c r="BB67" s="10">
        <v>4</v>
      </c>
      <c r="BC67" s="10">
        <v>4</v>
      </c>
      <c r="BD67" s="10">
        <v>2</v>
      </c>
      <c r="BE67" s="10" t="str">
        <v>Oui</v>
      </c>
      <c r="BF67" s="10">
        <v>6</v>
      </c>
      <c r="BG67" s="10" t="str">
        <v>4. Neutre</v>
      </c>
      <c r="BH67" s="10">
        <v>4</v>
      </c>
      <c r="BI67" s="10" t="str">
        <v>56-65</v>
      </c>
      <c r="BJ67" s="10" t="str">
        <v>Homme</v>
      </c>
      <c r="BK67" s="10" t="str">
        <v>Associé</v>
      </c>
      <c r="BL67" s="10" t="str">
        <v>Plus de 10 ans</v>
      </c>
      <c r="BM67" s="10" t="str">
        <v>Audit Financier</v>
      </c>
      <c r="BN67" s="10" t="str">
        <v>Cabinet local</v>
      </c>
      <c r="BO67" s="10" t="str">
        <v>opportunité qui doit être fortement encadré pour l utilisation en audit</v>
      </c>
      <c r="BP67" s="10">
        <f>IF(ISNUMBER($AI$67),ROUND((((($AI$67-1)*(4/6))+1)),4),"")</f>
        <v>3.6667000000000001</v>
      </c>
      <c r="BQ67" s="10">
        <f>IF(ISNUMBER($AL$67),8-$AL$67,"")</f>
        <v>3</v>
      </c>
      <c r="BR67" s="10">
        <f>IFERROR(8-VALUE(LEFT($AZ$67,1)),"")</f>
        <v>6</v>
      </c>
      <c r="BS67" s="10">
        <f>IF(ISNUMBER($BC$67),8-$BC$67,"")</f>
        <v>4</v>
      </c>
      <c r="BT67" s="10">
        <f>IF(ISNUMBER($BD$67),8-$BD$67,"")</f>
        <v>6</v>
      </c>
      <c r="BU67" s="10">
        <f>IFERROR(ROUND(AVERAGE(VALUE(LEFT($O$67,1)),VALUE(LEFT($P$67,1)),VALUE(LEFT($Q$67,1)),VALUE(LEFT($R$67,1)),VALUE(LEFT($S$67,1)),VALUE(LEFT($T$67,1)),VALUE(LEFT($U$67,1)),VALUE(LEFT($V$67,1)),VALUE(LEFT($W$67,1)),VALUE(LEFT($X$67,1)),VALUE(LEFT($Y$67,1)),VALUE(LEFT($Z$67,1)),VALUE(LEFT($AA$67,1)),VALUE(LEFT($AB$67,1)),VALUE(LEFT($AC$67,1)),VALUE(LEFT($AD$67,1)),VALUE(LEFT($AE$67,1)),VALUE(LEFT($AF$67,1)),VALUE(LEFT($AG$67,1)),VALUE(LEFT($AH$67,1)),$BP$67),4),"")</f>
        <v>3.3174999999999999</v>
      </c>
      <c r="BV67" s="10">
        <f>IFERROR(ROUND(AVERAGE(VALUE(LEFT($AJ$67,1)),VALUE(LEFT($AK$67,1)),$BQ$67),4),"")</f>
        <v>4</v>
      </c>
      <c r="BW67" s="10">
        <f>IFERROR(ROUND(AVERAGE($AM$67,$AN$67,$AO$67,$AP$67),4),"")</f>
        <v>5.5</v>
      </c>
      <c r="BX67" s="10">
        <f>IFERROR(ROUND(AVERAGE(VALUE(LEFT($AW$67,1)),$AX$67,$AY$67),4),"")</f>
        <v>3.6667000000000001</v>
      </c>
      <c r="BY67" s="10">
        <f>IFERROR(ROUND(AVERAGE($BR$67,$BA$67,$BB$67,$BS$67,$BT$67),4),"")</f>
        <v>5.2</v>
      </c>
      <c r="BZ67" s="10" t="str">
        <f>IF(OR($BK$67="Junior",$BK$67="Stagiaire",$BK$67="Alternant"),"Junior",IF(OR($BK$67="Superviseur",$BK$67="Superviseur ",$BK$67="Senior",$BK$67="Senior Manager",$BK$67="Manager"),"Senior-Manager",IF(OR($BK$67="Associe",$BK$67="Associé"),"Associe","Autre")))</f>
        <v>Associe</v>
      </c>
      <c r="CA67" s="10" t="b">
        <f>AND(NOT(ISNUMBER(SEARCH("Jamais",$B$67))),$BG$67="4. Neutre")</f>
        <v>1</v>
      </c>
      <c r="CB67">
        <f t="shared" ref="CB67" si="1">VALUE(LEFT(B67,1))</f>
        <v>4</v>
      </c>
    </row>
    <row r="68" spans="1:80" x14ac:dyDescent="0.25">
      <c r="A68" s="41">
        <v>46078.917957905091</v>
      </c>
      <c r="B68" s="9" t="str">
        <v>6. Quotidiennement (Une fois par jour)</v>
      </c>
      <c r="C68" s="9" t="str">
        <v>Outils fournis/agréés par le cabinet (ex: Copilot sécurisé)</v>
      </c>
      <c r="D68" s="9">
        <v>0</v>
      </c>
      <c r="E68" s="9">
        <v>0</v>
      </c>
      <c r="F68" s="9">
        <v>0</v>
      </c>
      <c r="G68" s="9">
        <v>0</v>
      </c>
      <c r="H68" s="9">
        <v>0</v>
      </c>
      <c r="I68" s="9">
        <v>0</v>
      </c>
      <c r="J68" s="9">
        <v>0</v>
      </c>
      <c r="K68" s="9" t="str">
        <v>Version entreprise</v>
      </c>
      <c r="L68" s="9">
        <v>0</v>
      </c>
      <c r="M68" s="9" t="str">
        <v>Aide à la décision, Rédaction (rapports, synthèses, notes, mails), Recherche d'informations ou de points techniques</v>
      </c>
      <c r="N68" s="9" t="str">
        <v>De manière RECOMMANDÉE (cabinet encourage, mais facultatif)</v>
      </c>
      <c r="O68" s="9" t="str">
        <v>2. Peu utile</v>
      </c>
      <c r="P68" s="9" t="str">
        <v>2. Peu utile</v>
      </c>
      <c r="Q68" s="9" t="str">
        <v>5. Très utile</v>
      </c>
      <c r="R68" s="9" t="str">
        <v>4. Utile</v>
      </c>
      <c r="S68" s="9" t="str">
        <v>3. Neutre</v>
      </c>
      <c r="T68" s="9" t="str">
        <v>3. Neutre</v>
      </c>
      <c r="U68" s="9" t="str">
        <v>3. Neutre</v>
      </c>
      <c r="V68" s="9" t="str">
        <v>3. Neutre</v>
      </c>
      <c r="W68" s="9" t="str">
        <v>3. Neutre</v>
      </c>
      <c r="X68" s="9" t="str">
        <v>3. Neutre</v>
      </c>
      <c r="Y68" s="9" t="str">
        <v>3. Neutre</v>
      </c>
      <c r="Z68" s="9" t="str">
        <v>3. Neutre</v>
      </c>
      <c r="AA68" s="9" t="str">
        <v>5. Très utile</v>
      </c>
      <c r="AB68" s="9" t="str">
        <v>5. Très utile</v>
      </c>
      <c r="AC68" s="9" t="str">
        <v>3. Neutre</v>
      </c>
      <c r="AD68" s="9" t="str">
        <v>3. Neutre</v>
      </c>
      <c r="AE68" s="9" t="str">
        <v>3. Neutre</v>
      </c>
      <c r="AF68" s="9" t="str">
        <v>3. Neutre</v>
      </c>
      <c r="AG68" s="9" t="str">
        <v>4. Utile</v>
      </c>
      <c r="AH68" s="9" t="str">
        <v>3. Neutre</v>
      </c>
      <c r="AI68" s="9">
        <v>7</v>
      </c>
      <c r="AJ68" s="9" t="str">
        <v>7. Très facile (Instinctif / Sans aide)</v>
      </c>
      <c r="AK68" s="9" t="str">
        <v>6. D'accord (S'intègre facilement)</v>
      </c>
      <c r="AL68" s="9">
        <v>3</v>
      </c>
      <c r="AM68" s="9">
        <v>7</v>
      </c>
      <c r="AN68" s="9">
        <v>7</v>
      </c>
      <c r="AO68" s="9">
        <v>4</v>
      </c>
      <c r="AP68" s="9">
        <v>7</v>
      </c>
      <c r="AQ68" s="9" t="str">
        <v>5. Très important</v>
      </c>
      <c r="AR68" s="9" t="str">
        <v>5. Très important</v>
      </c>
      <c r="AS68" s="9" t="str">
        <v>3. Moyennement important</v>
      </c>
      <c r="AT68" s="9" t="str">
        <v>5. Très important</v>
      </c>
      <c r="AU68" s="9">
        <v>7</v>
      </c>
      <c r="AV68" s="9">
        <v>7</v>
      </c>
      <c r="AW68" s="9" t="str">
        <v>2. Très limitée (Quelques vidéos ou articles consultés)</v>
      </c>
      <c r="AX68" s="9">
        <v>7</v>
      </c>
      <c r="AY68" s="9">
        <v>7</v>
      </c>
      <c r="AZ68" s="9" t="str">
        <v>2. En désaccord (Je contrôle la quasi-totalité des éléments)</v>
      </c>
      <c r="BA68" s="9">
        <v>7</v>
      </c>
      <c r="BB68" s="9">
        <v>4</v>
      </c>
      <c r="BC68" s="9">
        <v>7</v>
      </c>
      <c r="BD68" s="9">
        <v>1</v>
      </c>
      <c r="BE68" s="9" t="str">
        <v>Non</v>
      </c>
      <c r="BF68" s="9">
        <v>7</v>
      </c>
      <c r="BG68" s="9" t="str">
        <v>4. Neutre</v>
      </c>
      <c r="BH68" s="9">
        <v>5</v>
      </c>
      <c r="BI68" s="9" t="str">
        <v>18-25</v>
      </c>
      <c r="BJ68" s="9" t="str">
        <v>Femme</v>
      </c>
      <c r="BK68" s="9" t="str">
        <v>Junior</v>
      </c>
      <c r="BL68" s="9" t="str">
        <v>2 - 3 ans</v>
      </c>
      <c r="BM68" s="9" t="str">
        <v>Audit Financier</v>
      </c>
      <c r="BN68" s="9" t="str">
        <v>Cabinet international</v>
      </c>
      <c r="BO68" s="10">
        <v>0</v>
      </c>
      <c r="BP68" s="245">
        <f>IF(ISNUMBER($AI$68),ROUND((((($AI$68-1)*(4/6))+1)),4),"")</f>
        <v>5</v>
      </c>
      <c r="BQ68" s="10">
        <f>IF(ISNUMBER($AL$68),8-$AL$68,"")</f>
        <v>5</v>
      </c>
      <c r="BR68" s="10">
        <f>IFERROR(8-VALUE(LEFT($AZ$68,1)),"")</f>
        <v>6</v>
      </c>
      <c r="BS68" s="10">
        <f>IF(ISNUMBER($BC$68),8-$BC$68,"")</f>
        <v>1</v>
      </c>
      <c r="BT68" s="10">
        <f>IF(ISNUMBER($BD$68),8-$BD$68,"")</f>
        <v>7</v>
      </c>
      <c r="BU68" s="10">
        <f>IFERROR(ROUND(AVERAGE(VALUE(LEFT($O$68,1)),VALUE(LEFT($P$68,1)),VALUE(LEFT($Q$68,1)),VALUE(LEFT($R$68,1)),VALUE(LEFT($S$68,1)),VALUE(LEFT($T$68,1)),VALUE(LEFT($U$68,1)),VALUE(LEFT($V$68,1)),VALUE(LEFT($W$68,1)),VALUE(LEFT($X$68,1)),VALUE(LEFT($Y$68,1)),VALUE(LEFT($Z$68,1)),VALUE(LEFT($AA$68,1)),VALUE(LEFT($AB$68,1)),VALUE(LEFT($AC$68,1)),VALUE(LEFT($AD$68,1)),VALUE(LEFT($AE$68,1)),VALUE(LEFT($AF$68,1)),VALUE(LEFT($AG$68,1)),VALUE(LEFT($AH$68,1)),$BP$68),4),"")</f>
        <v>3.3809999999999998</v>
      </c>
      <c r="BV68" s="10">
        <f>IFERROR(ROUND(AVERAGE(VALUE(LEFT($AJ$68,1)),VALUE(LEFT($AK$68,1)),$BQ$68),4),"")</f>
        <v>6</v>
      </c>
      <c r="BW68" s="10">
        <f>IFERROR(ROUND(AVERAGE($AM$68,$AN$68,$AO$68,$AP$68),4),"")</f>
        <v>6.25</v>
      </c>
      <c r="BX68" s="10">
        <f>IFERROR(ROUND(AVERAGE(VALUE(LEFT($AW$68,1)),$AX$68,$AY$68),4),"")</f>
        <v>5.3333000000000004</v>
      </c>
      <c r="BY68" s="10">
        <f>IFERROR(ROUND(AVERAGE($BR$68,$BA$68,$BB$68,$BS$68,$BT$68),4),"")</f>
        <v>5</v>
      </c>
      <c r="BZ68" s="10" t="str">
        <f>IF(OR($BK$68="Junior",$BK$68="Stagiaire",$BK$68="Alternant"),"Junior",IF(OR($BK$68="Superviseur",$BK$68="Superviseur ",$BK$68="Senior",$BK$68="Senior Manager",$BK$68="Manager"),"Senior-Manager",IF(OR($BK$68="Associe",$BK$68="Associé"),"Associe","Autre")))</f>
        <v>Junior</v>
      </c>
      <c r="CA68" s="10" t="b">
        <f>AND(NOT(ISNUMBER(SEARCH("Jamais",$B$68))),$BG$68="4. Neutre")</f>
        <v>1</v>
      </c>
      <c r="CB68">
        <f>VALUE(LEFT(B68,1))</f>
        <v>6</v>
      </c>
    </row>
    <row r="69" spans="1:80" x14ac:dyDescent="0.25">
      <c r="A69" s="42"/>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row>
    <row r="70" spans="1:80" x14ac:dyDescent="0.25">
      <c r="A70" s="41"/>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row>
    <row r="71" spans="1:80" x14ac:dyDescent="0.25">
      <c r="A71" s="42"/>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row>
    <row r="72" spans="1:80" x14ac:dyDescent="0.25">
      <c r="A72" s="41"/>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row>
    <row r="73" spans="1:80" x14ac:dyDescent="0.25">
      <c r="A73" s="42"/>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row>
    <row r="74" spans="1:80" x14ac:dyDescent="0.25">
      <c r="A74" s="41"/>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row>
    <row r="75" spans="1:80" x14ac:dyDescent="0.25">
      <c r="A75" s="42"/>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row>
    <row r="76" spans="1:80" x14ac:dyDescent="0.25">
      <c r="A76" s="41"/>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row>
    <row r="77" spans="1:80" x14ac:dyDescent="0.25">
      <c r="A77" s="42"/>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row>
    <row r="78" spans="1:80" x14ac:dyDescent="0.25">
      <c r="A78" s="41"/>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row>
    <row r="79" spans="1:80" x14ac:dyDescent="0.25">
      <c r="A79" s="42"/>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row>
    <row r="80" spans="1:80" x14ac:dyDescent="0.25">
      <c r="A80" s="41"/>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row>
    <row r="81" spans="1:79" x14ac:dyDescent="0.25">
      <c r="A81" s="42"/>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row>
    <row r="82" spans="1:79" x14ac:dyDescent="0.25">
      <c r="A82" s="41"/>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row>
    <row r="83" spans="1:79" x14ac:dyDescent="0.25">
      <c r="A83" s="42"/>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row>
    <row r="84" spans="1:79" x14ac:dyDescent="0.25">
      <c r="A84" s="41"/>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row>
    <row r="85" spans="1:79" x14ac:dyDescent="0.25">
      <c r="A85" s="42"/>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row>
    <row r="86" spans="1:79" x14ac:dyDescent="0.25">
      <c r="A86" s="41"/>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row>
    <row r="87" spans="1:79" x14ac:dyDescent="0.25">
      <c r="A87" s="42"/>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row>
    <row r="88" spans="1:79" x14ac:dyDescent="0.25">
      <c r="A88" s="41"/>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row>
    <row r="89" spans="1:79" x14ac:dyDescent="0.25">
      <c r="A89" s="42"/>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row>
    <row r="90" spans="1:79" x14ac:dyDescent="0.25">
      <c r="A90" s="41"/>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row>
    <row r="92" spans="1:79" x14ac:dyDescent="0.25">
      <c r="A92" s="42"/>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row>
    <row r="93" spans="1:79" x14ac:dyDescent="0.25">
      <c r="A93" s="41"/>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row>
    <row r="94" spans="1:79" x14ac:dyDescent="0.25">
      <c r="A94" s="42"/>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row>
    <row r="95" spans="1:79" x14ac:dyDescent="0.25">
      <c r="A95" s="41"/>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row>
    <row r="96" spans="1:79" x14ac:dyDescent="0.25">
      <c r="A96" s="42"/>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row>
    <row r="97" spans="1:79" x14ac:dyDescent="0.25">
      <c r="A97" s="41"/>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row>
    <row r="98" spans="1:79" x14ac:dyDescent="0.25">
      <c r="A98" s="42"/>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row>
    <row r="99" spans="1:79" x14ac:dyDescent="0.25">
      <c r="A99" s="41"/>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row>
    <row r="100" spans="1:79" x14ac:dyDescent="0.25">
      <c r="A100" s="42"/>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row>
    <row r="101" spans="1:79" x14ac:dyDescent="0.25">
      <c r="A101" s="41"/>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dimension ref="A1:J34"/>
  <sheetViews>
    <sheetView showGridLines="0" topLeftCell="A21" workbookViewId="0">
      <selection activeCell="A25" sqref="A25"/>
    </sheetView>
  </sheetViews>
  <sheetFormatPr baseColWidth="10" defaultColWidth="9.140625" defaultRowHeight="15" x14ac:dyDescent="0.25"/>
  <cols>
    <col min="1" max="1" width="35" customWidth="1"/>
    <col min="2" max="3" width="32.42578125" customWidth="1"/>
    <col min="4" max="4" width="20" customWidth="1"/>
    <col min="5" max="5" width="10" customWidth="1"/>
    <col min="6" max="6" width="40" customWidth="1"/>
  </cols>
  <sheetData>
    <row r="1" spans="1:10" ht="27.95" customHeight="1" x14ac:dyDescent="0.25">
      <c r="A1" s="255" t="s">
        <v>302</v>
      </c>
      <c r="B1" s="254"/>
      <c r="C1" s="254"/>
      <c r="D1" s="254"/>
      <c r="E1" s="254"/>
      <c r="F1" s="254"/>
      <c r="G1" s="254"/>
      <c r="H1" s="254"/>
      <c r="I1" s="254"/>
      <c r="J1" s="254"/>
    </row>
    <row r="2" spans="1:10" x14ac:dyDescent="0.25">
      <c r="A2" s="266" t="s">
        <v>303</v>
      </c>
      <c r="B2" s="254"/>
      <c r="C2" s="254"/>
      <c r="D2" s="254"/>
      <c r="E2" s="254"/>
      <c r="F2" s="254"/>
      <c r="G2" s="254"/>
      <c r="H2" s="254"/>
      <c r="I2" s="254"/>
      <c r="J2" s="254"/>
    </row>
    <row r="4" spans="1:10" ht="21.95" customHeight="1" x14ac:dyDescent="0.25">
      <c r="A4" s="265" t="s">
        <v>304</v>
      </c>
      <c r="B4" s="254"/>
      <c r="C4" s="254"/>
      <c r="D4" s="254"/>
      <c r="E4" s="254"/>
      <c r="F4" s="254"/>
      <c r="G4" s="254"/>
      <c r="H4" s="254"/>
      <c r="I4" s="254"/>
      <c r="J4" s="254"/>
    </row>
    <row r="5" spans="1:10" ht="30" customHeight="1" x14ac:dyDescent="0.25">
      <c r="A5" s="1" t="s">
        <v>305</v>
      </c>
      <c r="B5" s="1" t="s">
        <v>306</v>
      </c>
      <c r="C5" s="1" t="s">
        <v>307</v>
      </c>
      <c r="D5" s="1"/>
      <c r="E5" s="1"/>
      <c r="F5" s="1"/>
      <c r="G5" s="1"/>
      <c r="H5" s="1"/>
      <c r="I5" s="1"/>
      <c r="J5" s="1"/>
    </row>
    <row r="6" spans="1:10" ht="18" customHeight="1" x14ac:dyDescent="0.25">
      <c r="A6" s="11" t="s">
        <v>308</v>
      </c>
      <c r="B6" s="97">
        <f>COUNT('DONNEES BRUTES non filtrées'!A:A)</f>
        <v>85</v>
      </c>
      <c r="C6" s="262"/>
      <c r="D6" s="254"/>
      <c r="E6" s="254"/>
      <c r="F6" s="254"/>
      <c r="G6" s="254"/>
      <c r="H6" s="254"/>
      <c r="I6" s="254"/>
      <c r="J6" s="254"/>
    </row>
    <row r="7" spans="1:10" ht="18" customHeight="1" x14ac:dyDescent="0.25">
      <c r="A7" s="11" t="s">
        <v>309</v>
      </c>
      <c r="B7" s="13">
        <f>COUNTIF('DONNEES BRUTES non filtrées'!B:B,"1. Jamais")</f>
        <v>5</v>
      </c>
      <c r="C7" s="262" t="s">
        <v>310</v>
      </c>
      <c r="D7" s="254"/>
      <c r="E7" s="254"/>
      <c r="F7" s="254"/>
      <c r="G7" s="254"/>
      <c r="H7" s="254"/>
      <c r="I7" s="254"/>
      <c r="J7" s="254"/>
    </row>
    <row r="8" spans="1:10" ht="18" customHeight="1" x14ac:dyDescent="0.25">
      <c r="A8" s="98" t="s">
        <v>311</v>
      </c>
      <c r="B8" s="13">
        <f>COUNTIFS('DONNEES BRUTES non filtrées'!BG:BG,"&lt;&gt;4. neutre",'DONNEES BRUTES non filtrées'!BG:BG,"&lt;&gt;")</f>
        <v>6</v>
      </c>
      <c r="C8" s="262" t="s">
        <v>312</v>
      </c>
      <c r="D8" s="254"/>
      <c r="E8" s="254"/>
      <c r="F8" s="254"/>
      <c r="G8" s="254"/>
      <c r="H8" s="254"/>
      <c r="I8" s="254"/>
      <c r="J8" s="254"/>
    </row>
    <row r="9" spans="1:10" ht="18" customHeight="1" x14ac:dyDescent="0.25">
      <c r="A9" s="98" t="s">
        <v>313</v>
      </c>
      <c r="B9" s="13">
        <f>COUNTIFS(
  'DONNEES BRUTES non filtrées'!BG:BG,"4. Neutre",
  'DONNEES BRUTES non filtrées'!BM:BM,"&lt;&gt;*audit*",
  'DONNEES BRUTES non filtrées'!BM:BM,"&lt;&gt;*commissariat aux comptes*",
  'DONNEES BRUTES non filtrées'!BM:BM,"&lt;&gt;*cac*",
  'DONNEES BRUTES non filtrées'!BM:BM,"&lt;&gt;"
)</f>
        <v>8</v>
      </c>
      <c r="C9" s="267" t="s">
        <v>314</v>
      </c>
      <c r="D9" s="254"/>
      <c r="E9" s="254"/>
      <c r="F9" s="254"/>
      <c r="G9" s="254"/>
      <c r="H9" s="254"/>
      <c r="I9" s="254"/>
      <c r="J9" s="254"/>
    </row>
    <row r="10" spans="1:10" ht="18" customHeight="1" x14ac:dyDescent="0.25">
      <c r="A10" s="11"/>
      <c r="B10" s="13"/>
      <c r="C10" s="12"/>
    </row>
    <row r="11" spans="1:10" ht="18" customHeight="1" x14ac:dyDescent="0.25">
      <c r="A11" s="14" t="s">
        <v>315</v>
      </c>
      <c r="B11" s="15" t="str">
        <f>'5.1_PROFIL_ECHANTILLON'!B2&amp; " répondants n'étant pas exclus"</f>
        <v>67 répondants n'étant pas exclus</v>
      </c>
      <c r="C11" s="261" t="s">
        <v>316</v>
      </c>
      <c r="D11" s="254"/>
      <c r="E11" s="254"/>
      <c r="F11" s="254"/>
      <c r="G11" s="254"/>
      <c r="H11" s="254"/>
      <c r="I11" s="254"/>
      <c r="J11" s="254"/>
    </row>
    <row r="13" spans="1:10" ht="21.95" customHeight="1" x14ac:dyDescent="0.25">
      <c r="A13" s="265" t="s">
        <v>317</v>
      </c>
      <c r="B13" s="254"/>
      <c r="C13" s="254"/>
      <c r="D13" s="254"/>
      <c r="E13" s="254"/>
      <c r="F13" s="254"/>
      <c r="G13" s="254"/>
      <c r="H13" s="254"/>
      <c r="I13" s="254"/>
      <c r="J13" s="254"/>
    </row>
    <row r="14" spans="1:10" ht="30" customHeight="1" x14ac:dyDescent="0.25">
      <c r="A14" s="16" t="s">
        <v>318</v>
      </c>
      <c r="B14" s="16" t="s">
        <v>319</v>
      </c>
      <c r="C14" s="16" t="s">
        <v>320</v>
      </c>
      <c r="D14" s="16" t="s">
        <v>321</v>
      </c>
      <c r="E14" s="16"/>
      <c r="F14" s="16"/>
      <c r="G14" s="16"/>
      <c r="H14" s="16"/>
      <c r="I14" s="16"/>
      <c r="J14" s="16"/>
    </row>
    <row r="15" spans="1:10" ht="18" customHeight="1" x14ac:dyDescent="0.25">
      <c r="A15" s="17" t="s">
        <v>290</v>
      </c>
      <c r="B15" s="99" t="s">
        <v>322</v>
      </c>
      <c r="C15" s="18" t="s">
        <v>323</v>
      </c>
      <c r="D15" s="264" t="s">
        <v>324</v>
      </c>
      <c r="E15" s="254"/>
      <c r="F15" s="254"/>
      <c r="G15" s="254"/>
      <c r="H15" s="254"/>
      <c r="I15" s="254"/>
      <c r="J15" s="254"/>
    </row>
    <row r="16" spans="1:10" ht="18" customHeight="1" x14ac:dyDescent="0.25">
      <c r="A16" s="19" t="s">
        <v>291</v>
      </c>
      <c r="B16" s="100" t="s">
        <v>325</v>
      </c>
      <c r="C16" s="11" t="s">
        <v>326</v>
      </c>
      <c r="D16" s="262" t="s">
        <v>327</v>
      </c>
      <c r="E16" s="254"/>
      <c r="F16" s="254"/>
      <c r="G16" s="254"/>
      <c r="H16" s="254"/>
      <c r="I16" s="254"/>
      <c r="J16" s="254"/>
    </row>
    <row r="17" spans="1:10" ht="18" customHeight="1" x14ac:dyDescent="0.25">
      <c r="A17" s="17" t="s">
        <v>292</v>
      </c>
      <c r="B17" s="99" t="s">
        <v>328</v>
      </c>
      <c r="C17" s="18" t="s">
        <v>329</v>
      </c>
      <c r="D17" s="264" t="s">
        <v>330</v>
      </c>
      <c r="E17" s="254"/>
      <c r="F17" s="254"/>
      <c r="G17" s="254"/>
      <c r="H17" s="254"/>
      <c r="I17" s="254"/>
      <c r="J17" s="254"/>
    </row>
    <row r="18" spans="1:10" ht="18" customHeight="1" x14ac:dyDescent="0.25">
      <c r="A18" s="19" t="s">
        <v>293</v>
      </c>
      <c r="B18" s="100" t="s">
        <v>331</v>
      </c>
      <c r="C18" s="11" t="s">
        <v>332</v>
      </c>
      <c r="D18" s="262" t="s">
        <v>333</v>
      </c>
      <c r="E18" s="254"/>
      <c r="F18" s="254"/>
      <c r="G18" s="254"/>
      <c r="H18" s="254"/>
      <c r="I18" s="254"/>
      <c r="J18" s="254"/>
    </row>
    <row r="19" spans="1:10" ht="18" customHeight="1" x14ac:dyDescent="0.25">
      <c r="A19" s="17" t="s">
        <v>294</v>
      </c>
      <c r="B19" s="99" t="s">
        <v>334</v>
      </c>
      <c r="C19" s="18" t="s">
        <v>335</v>
      </c>
      <c r="D19" s="264" t="s">
        <v>336</v>
      </c>
      <c r="E19" s="254"/>
      <c r="F19" s="254"/>
      <c r="G19" s="254"/>
      <c r="H19" s="254"/>
      <c r="I19" s="254"/>
      <c r="J19" s="254"/>
    </row>
    <row r="21" spans="1:10" ht="21.95" customHeight="1" x14ac:dyDescent="0.25">
      <c r="A21" s="265" t="s">
        <v>337</v>
      </c>
      <c r="B21" s="254"/>
      <c r="C21" s="254"/>
      <c r="D21" s="254"/>
      <c r="E21" s="254"/>
      <c r="F21" s="254"/>
      <c r="G21" s="254"/>
      <c r="H21" s="254"/>
      <c r="I21" s="254"/>
      <c r="J21" s="254"/>
    </row>
    <row r="22" spans="1:10" ht="30" customHeight="1" x14ac:dyDescent="0.25">
      <c r="A22" s="16" t="s">
        <v>338</v>
      </c>
      <c r="B22" s="16" t="s">
        <v>339</v>
      </c>
      <c r="C22" s="16" t="s">
        <v>319</v>
      </c>
      <c r="D22" s="16" t="s">
        <v>340</v>
      </c>
      <c r="E22" s="16" t="s">
        <v>341</v>
      </c>
      <c r="F22" s="16" t="s">
        <v>342</v>
      </c>
      <c r="G22" s="16"/>
      <c r="H22" s="16"/>
      <c r="I22" s="16"/>
      <c r="J22" s="16"/>
    </row>
    <row r="23" spans="1:10" ht="26.25" customHeight="1" x14ac:dyDescent="0.25">
      <c r="A23" s="20" t="s">
        <v>295</v>
      </c>
      <c r="B23" s="21" t="s">
        <v>343</v>
      </c>
      <c r="C23" s="101" t="s">
        <v>344</v>
      </c>
      <c r="D23" s="22" t="s">
        <v>345</v>
      </c>
      <c r="E23" s="22" t="s">
        <v>346</v>
      </c>
      <c r="F23" s="260" t="s">
        <v>347</v>
      </c>
      <c r="G23" s="257"/>
      <c r="H23" s="257"/>
      <c r="I23" s="257"/>
      <c r="J23" s="258"/>
    </row>
    <row r="24" spans="1:10" ht="29.25" customHeight="1" x14ac:dyDescent="0.25">
      <c r="A24" s="23" t="s">
        <v>296</v>
      </c>
      <c r="B24" s="3" t="s">
        <v>348</v>
      </c>
      <c r="C24" s="102" t="s">
        <v>349</v>
      </c>
      <c r="D24" s="4" t="s">
        <v>350</v>
      </c>
      <c r="E24" s="4" t="s">
        <v>351</v>
      </c>
      <c r="F24" s="269" t="s">
        <v>352</v>
      </c>
      <c r="G24" s="257"/>
      <c r="H24" s="257"/>
      <c r="I24" s="257"/>
      <c r="J24" s="258"/>
    </row>
    <row r="25" spans="1:10" ht="29.25" customHeight="1" x14ac:dyDescent="0.25">
      <c r="A25" s="24" t="s">
        <v>297</v>
      </c>
      <c r="B25" s="25" t="s">
        <v>353</v>
      </c>
      <c r="C25" s="103" t="s">
        <v>354</v>
      </c>
      <c r="D25" s="26" t="s">
        <v>355</v>
      </c>
      <c r="E25" s="26" t="s">
        <v>351</v>
      </c>
      <c r="F25" s="274" t="s">
        <v>356</v>
      </c>
      <c r="G25" s="257"/>
      <c r="H25" s="257"/>
      <c r="I25" s="257"/>
      <c r="J25" s="258"/>
    </row>
    <row r="26" spans="1:10" ht="27.75" customHeight="1" x14ac:dyDescent="0.25">
      <c r="A26" s="27" t="s">
        <v>298</v>
      </c>
      <c r="B26" s="28" t="s">
        <v>357</v>
      </c>
      <c r="C26" s="104" t="s">
        <v>358</v>
      </c>
      <c r="D26" s="29" t="s">
        <v>350</v>
      </c>
      <c r="E26" s="29" t="s">
        <v>351</v>
      </c>
      <c r="F26" s="272" t="s">
        <v>359</v>
      </c>
      <c r="G26" s="257"/>
      <c r="H26" s="257"/>
      <c r="I26" s="257"/>
      <c r="J26" s="258"/>
    </row>
    <row r="27" spans="1:10" ht="24" customHeight="1" x14ac:dyDescent="0.25">
      <c r="A27" s="30" t="s">
        <v>299</v>
      </c>
      <c r="B27" s="6" t="s">
        <v>360</v>
      </c>
      <c r="C27" s="105" t="s">
        <v>361</v>
      </c>
      <c r="D27" s="7" t="s">
        <v>362</v>
      </c>
      <c r="E27" s="7" t="s">
        <v>351</v>
      </c>
      <c r="F27" s="263" t="s">
        <v>363</v>
      </c>
      <c r="G27" s="257"/>
      <c r="H27" s="257"/>
      <c r="I27" s="257"/>
      <c r="J27" s="258"/>
    </row>
    <row r="29" spans="1:10" ht="21.95" customHeight="1" x14ac:dyDescent="0.25">
      <c r="A29" s="265" t="s">
        <v>364</v>
      </c>
      <c r="B29" s="254"/>
      <c r="C29" s="254"/>
      <c r="D29" s="254"/>
      <c r="E29" s="254"/>
      <c r="F29" s="254"/>
      <c r="G29" s="254"/>
      <c r="H29" s="254"/>
      <c r="I29" s="254"/>
      <c r="J29" s="254"/>
    </row>
    <row r="30" spans="1:10" ht="30" customHeight="1" x14ac:dyDescent="0.25">
      <c r="A30" s="270" t="s">
        <v>365</v>
      </c>
      <c r="B30" s="254"/>
      <c r="C30" s="254"/>
      <c r="D30" s="254"/>
      <c r="E30" s="254"/>
      <c r="F30" s="254"/>
      <c r="G30" s="254"/>
      <c r="H30" s="254"/>
      <c r="I30" s="254"/>
      <c r="J30" s="254"/>
    </row>
    <row r="31" spans="1:10" ht="30" customHeight="1" x14ac:dyDescent="0.25">
      <c r="A31" s="16" t="s">
        <v>366</v>
      </c>
      <c r="B31" s="16" t="s">
        <v>367</v>
      </c>
      <c r="C31" s="16" t="s">
        <v>368</v>
      </c>
      <c r="D31" s="16" t="s">
        <v>369</v>
      </c>
      <c r="E31" s="16"/>
      <c r="F31" s="16"/>
      <c r="G31" s="16"/>
      <c r="H31" s="16"/>
      <c r="I31" s="16"/>
      <c r="J31" s="16"/>
    </row>
    <row r="32" spans="1:10" ht="20.100000000000001" customHeight="1" x14ac:dyDescent="0.25">
      <c r="A32" s="31" t="s">
        <v>370</v>
      </c>
      <c r="B32" s="32" t="s">
        <v>140</v>
      </c>
      <c r="C32" s="33" t="s">
        <v>371</v>
      </c>
      <c r="D32" s="273">
        <f>COUNTIFS(DONNEES_SOURCE!$CA$2:$CA$1000,TRUE,DONNEES_SOURCE!$BZ$2:$BZ$1000,"Junior")</f>
        <v>32</v>
      </c>
      <c r="E32" s="257"/>
      <c r="F32" s="257"/>
      <c r="G32" s="257"/>
      <c r="H32" s="257"/>
      <c r="I32" s="257"/>
      <c r="J32" s="258"/>
    </row>
    <row r="33" spans="1:10" ht="28.5" customHeight="1" x14ac:dyDescent="0.25">
      <c r="A33" s="34" t="s">
        <v>372</v>
      </c>
      <c r="B33" s="35" t="s">
        <v>373</v>
      </c>
      <c r="C33" s="36" t="s">
        <v>374</v>
      </c>
      <c r="D33" s="268">
        <f>COUNTIFS(DONNEES_SOURCE!$CA$2:$CA$1000,TRUE,DONNEES_SOURCE!$BZ$2:$BZ$1000,"Senior-Manager")</f>
        <v>17</v>
      </c>
      <c r="E33" s="257"/>
      <c r="F33" s="257"/>
      <c r="G33" s="257"/>
      <c r="H33" s="257"/>
      <c r="I33" s="257"/>
      <c r="J33" s="258"/>
    </row>
    <row r="34" spans="1:10" ht="20.100000000000001" customHeight="1" x14ac:dyDescent="0.25">
      <c r="A34" s="37" t="s">
        <v>350</v>
      </c>
      <c r="B34" s="38" t="s">
        <v>196</v>
      </c>
      <c r="C34" s="39" t="s">
        <v>196</v>
      </c>
      <c r="D34" s="271">
        <f>COUNTIFS(DONNEES_SOURCE!$CA$2:$CA$1000,TRUE,DONNEES_SOURCE!$BZ$2:$BZ$1000,"Associe")</f>
        <v>18</v>
      </c>
      <c r="E34" s="257"/>
      <c r="F34" s="257"/>
      <c r="G34" s="257"/>
      <c r="H34" s="257"/>
      <c r="I34" s="257"/>
      <c r="J34" s="258"/>
    </row>
  </sheetData>
  <mergeCells count="25">
    <mergeCell ref="D33:J33"/>
    <mergeCell ref="A13:J13"/>
    <mergeCell ref="F24:J24"/>
    <mergeCell ref="A30:J30"/>
    <mergeCell ref="D34:J34"/>
    <mergeCell ref="D19:J19"/>
    <mergeCell ref="F26:J26"/>
    <mergeCell ref="D32:J32"/>
    <mergeCell ref="D18:J18"/>
    <mergeCell ref="F25:J25"/>
    <mergeCell ref="A29:J29"/>
    <mergeCell ref="D15:J15"/>
    <mergeCell ref="A1:J1"/>
    <mergeCell ref="F23:J23"/>
    <mergeCell ref="C11:J11"/>
    <mergeCell ref="C8:J8"/>
    <mergeCell ref="F27:J27"/>
    <mergeCell ref="C7:J7"/>
    <mergeCell ref="D17:J17"/>
    <mergeCell ref="A21:J21"/>
    <mergeCell ref="D16:J16"/>
    <mergeCell ref="A2:J2"/>
    <mergeCell ref="C6:J6"/>
    <mergeCell ref="A4:J4"/>
    <mergeCell ref="C9:J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dimension ref="A1:G90"/>
  <sheetViews>
    <sheetView showGridLines="0" workbookViewId="0">
      <pane ySplit="2" topLeftCell="A19" activePane="bottomLeft" state="frozen"/>
      <selection pane="bottomLeft" activeCell="B87" sqref="B87"/>
    </sheetView>
  </sheetViews>
  <sheetFormatPr baseColWidth="10" defaultColWidth="9.140625" defaultRowHeight="15" x14ac:dyDescent="0.25"/>
  <cols>
    <col min="1" max="1" width="50" customWidth="1"/>
    <col min="2" max="3" width="8" customWidth="1"/>
    <col min="4" max="4" width="22" customWidth="1"/>
  </cols>
  <sheetData>
    <row r="1" spans="1:7" ht="32.1" customHeight="1" x14ac:dyDescent="0.25">
      <c r="A1" s="277" t="s">
        <v>375</v>
      </c>
      <c r="B1" s="254"/>
      <c r="C1" s="254"/>
      <c r="D1" s="254"/>
      <c r="E1" s="254"/>
      <c r="F1" s="254"/>
      <c r="G1" s="254"/>
    </row>
    <row r="2" spans="1:7" ht="20.100000000000001" customHeight="1" x14ac:dyDescent="0.25">
      <c r="A2" s="71" t="s">
        <v>376</v>
      </c>
      <c r="B2" s="72">
        <f>COUNTIF(DONNEES_SOURCE!$CA$2:$CA$1000,TRUE)</f>
        <v>67</v>
      </c>
    </row>
    <row r="3" spans="1:7" ht="21.95" customHeight="1" x14ac:dyDescent="0.25"/>
    <row r="4" spans="1:7" ht="21.95" customHeight="1" x14ac:dyDescent="0.25">
      <c r="A4" s="276" t="s">
        <v>377</v>
      </c>
      <c r="B4" s="254"/>
      <c r="C4" s="254"/>
      <c r="D4" s="254"/>
    </row>
    <row r="5" spans="1:7" ht="20.100000000000001" customHeight="1" x14ac:dyDescent="0.25">
      <c r="A5" s="52" t="s">
        <v>378</v>
      </c>
      <c r="B5" s="52" t="s">
        <v>379</v>
      </c>
      <c r="C5" s="52" t="s">
        <v>380</v>
      </c>
      <c r="D5" s="52" t="s">
        <v>381</v>
      </c>
    </row>
    <row r="6" spans="1:7" ht="18" customHeight="1" x14ac:dyDescent="0.25">
      <c r="A6" s="53" t="s">
        <v>138</v>
      </c>
      <c r="B6" s="53">
        <f>COUNTIFS(DONNEES_SOURCE!$CA$2:$CA$1000,TRUE,DONNEES_SOURCE!$BI$2:$BI$1000,"18-25")</f>
        <v>32</v>
      </c>
      <c r="C6" s="81">
        <f>IFERROR(ROUND(B6/'5.1_PROFIL_ECHANTILLON'!B2,3),0)</f>
        <v>0.47799999999999998</v>
      </c>
      <c r="D6" s="82" t="str">
        <f t="shared" ref="D6:D11" si="0">IFERROR(REPT("○",ROUND(C6*20,0))&amp;"○","")</f>
        <v>○○○○○○○○○○○</v>
      </c>
    </row>
    <row r="7" spans="1:7" ht="18" customHeight="1" x14ac:dyDescent="0.25">
      <c r="A7" s="53" t="s">
        <v>122</v>
      </c>
      <c r="B7" s="53">
        <f>COUNTIFS(DONNEES_SOURCE!$CA$2:$CA$1000,TRUE,DONNEES_SOURCE!$BI$2:$BI$1000,"26-35")</f>
        <v>17</v>
      </c>
      <c r="C7" s="81">
        <f>IFERROR(ROUND(B7/'5.1_PROFIL_ECHANTILLON'!B2,3),0)</f>
        <v>0.254</v>
      </c>
      <c r="D7" s="82" t="str">
        <f t="shared" si="0"/>
        <v>○○○○○○</v>
      </c>
    </row>
    <row r="8" spans="1:7" ht="18" customHeight="1" x14ac:dyDescent="0.25">
      <c r="A8" s="53" t="s">
        <v>221</v>
      </c>
      <c r="B8" s="53">
        <f>COUNTIFS(DONNEES_SOURCE!$CA$2:$CA$1000,TRUE,DONNEES_SOURCE!$BI$2:$BI$1000,"36-45")</f>
        <v>9</v>
      </c>
      <c r="C8" s="81">
        <f>IFERROR(ROUND(B8/'5.1_PROFIL_ECHANTILLON'!B2,3),0)</f>
        <v>0.13400000000000001</v>
      </c>
      <c r="D8" s="82" t="str">
        <f t="shared" si="0"/>
        <v>○○○○</v>
      </c>
    </row>
    <row r="9" spans="1:7" ht="18" customHeight="1" x14ac:dyDescent="0.25">
      <c r="A9" s="53" t="s">
        <v>195</v>
      </c>
      <c r="B9" s="53">
        <f>COUNTIFS(DONNEES_SOURCE!$CA$2:$CA$1000,TRUE,DONNEES_SOURCE!$BI$2:$BI$1000,"46-55")</f>
        <v>5</v>
      </c>
      <c r="C9" s="81">
        <f>IFERROR(ROUND(B9/'5.1_PROFIL_ECHANTILLON'!B2,3),0)</f>
        <v>7.4999999999999997E-2</v>
      </c>
      <c r="D9" s="82" t="str">
        <f t="shared" si="0"/>
        <v>○○○</v>
      </c>
    </row>
    <row r="10" spans="1:7" ht="18" customHeight="1" x14ac:dyDescent="0.25">
      <c r="A10" s="53" t="s">
        <v>244</v>
      </c>
      <c r="B10" s="53">
        <f>COUNTIFS(DONNEES_SOURCE!$CA$2:$CA$1000,TRUE,DONNEES_SOURCE!$BI$2:$BI$1000,"56-65")</f>
        <v>3</v>
      </c>
      <c r="C10" s="81">
        <f>IFERROR(ROUND(B10/'5.1_PROFIL_ECHANTILLON'!B2,3),0)</f>
        <v>4.4999999999999998E-2</v>
      </c>
      <c r="D10" s="82" t="str">
        <f t="shared" si="0"/>
        <v>○○</v>
      </c>
    </row>
    <row r="11" spans="1:7" ht="18" customHeight="1" x14ac:dyDescent="0.25">
      <c r="A11" s="106" t="s">
        <v>175</v>
      </c>
      <c r="B11" s="53">
        <f>COUNTIFS(DONNEES_SOURCE!$CA$2:$CA$1000,TRUE,DONNEES_SOURCE!$BI$2:$BI$1000,"+65")</f>
        <v>1</v>
      </c>
      <c r="C11" s="81">
        <f>IFERROR(ROUND(B11/'5.1_PROFIL_ECHANTILLON'!B2,3),0)</f>
        <v>1.4999999999999999E-2</v>
      </c>
      <c r="D11" s="82" t="str">
        <f t="shared" si="0"/>
        <v>○</v>
      </c>
    </row>
    <row r="13" spans="1:7" ht="21.95" customHeight="1" x14ac:dyDescent="0.25">
      <c r="A13" s="276" t="s">
        <v>382</v>
      </c>
      <c r="B13" s="254"/>
      <c r="C13" s="254"/>
      <c r="D13" s="254"/>
    </row>
    <row r="14" spans="1:7" ht="20.100000000000001" customHeight="1" x14ac:dyDescent="0.25">
      <c r="A14" s="52" t="s">
        <v>378</v>
      </c>
      <c r="B14" s="52" t="s">
        <v>379</v>
      </c>
      <c r="C14" s="52" t="s">
        <v>380</v>
      </c>
      <c r="D14" s="52" t="s">
        <v>381</v>
      </c>
    </row>
    <row r="15" spans="1:7" ht="18" customHeight="1" x14ac:dyDescent="0.25">
      <c r="A15" s="56" t="s">
        <v>123</v>
      </c>
      <c r="B15" s="56">
        <f>COUNTIFS(DONNEES_SOURCE!$CA$2:$CA$1000,TRUE,DONNEES_SOURCE!$BJ$2:$BJ$1000,"Femme")</f>
        <v>22</v>
      </c>
      <c r="C15" s="83">
        <f>IFERROR(ROUND(B15/'5.1_PROFIL_ECHANTILLON'!B2,3),0)</f>
        <v>0.32800000000000001</v>
      </c>
      <c r="D15" s="84" t="str">
        <f>IFERROR(REPT("○",ROUND(C15*20,0))&amp;"○","")</f>
        <v>○○○○○○○○</v>
      </c>
    </row>
    <row r="16" spans="1:7" ht="18" customHeight="1" x14ac:dyDescent="0.25">
      <c r="A16" s="56" t="s">
        <v>139</v>
      </c>
      <c r="B16" s="56">
        <f>COUNTIFS(DONNEES_SOURCE!$CA$2:$CA$1000,TRUE,DONNEES_SOURCE!$BJ$2:$BJ$1000,"Homme")</f>
        <v>45</v>
      </c>
      <c r="C16" s="83">
        <f>IFERROR(ROUND(B16/'5.1_PROFIL_ECHANTILLON'!B2,3),0)</f>
        <v>0.67200000000000004</v>
      </c>
      <c r="D16" s="84" t="str">
        <f>IFERROR(REPT("○",ROUND(C16*20,0))&amp;"○","")</f>
        <v>○○○○○○○○○○○○○○</v>
      </c>
    </row>
    <row r="18" spans="1:4" ht="21.95" customHeight="1" x14ac:dyDescent="0.25">
      <c r="A18" s="276" t="s">
        <v>383</v>
      </c>
      <c r="B18" s="254"/>
      <c r="C18" s="254"/>
      <c r="D18" s="254"/>
    </row>
    <row r="19" spans="1:4" ht="20.100000000000001" customHeight="1" x14ac:dyDescent="0.25">
      <c r="A19" s="52" t="s">
        <v>378</v>
      </c>
      <c r="B19" s="52" t="s">
        <v>379</v>
      </c>
      <c r="C19" s="52" t="s">
        <v>380</v>
      </c>
      <c r="D19" s="52" t="s">
        <v>381</v>
      </c>
    </row>
    <row r="20" spans="1:4" ht="18" customHeight="1" x14ac:dyDescent="0.25">
      <c r="A20" s="61" t="s">
        <v>140</v>
      </c>
      <c r="B20" s="61">
        <f>COUNTIFS(DONNEES_SOURCE!$CA$2:$CA$1000,TRUE,DONNEES_SOURCE!$BZ$2:$BZ$1000,"Junior")</f>
        <v>32</v>
      </c>
      <c r="C20" s="85">
        <f>IFERROR(ROUND(B20/'5.1_PROFIL_ECHANTILLON'!B2,3),0)</f>
        <v>0.47799999999999998</v>
      </c>
      <c r="D20" s="86" t="str">
        <f>IFERROR(REPT("○",ROUND(C20*20,0))&amp;"○","")</f>
        <v>○○○○○○○○○○○</v>
      </c>
    </row>
    <row r="21" spans="1:4" ht="18" customHeight="1" x14ac:dyDescent="0.25">
      <c r="A21" s="61" t="s">
        <v>373</v>
      </c>
      <c r="B21" s="61">
        <f>COUNTIFS(DONNEES_SOURCE!$CA$2:$CA$1000,TRUE,DONNEES_SOURCE!$BZ$2:$BZ$1000,"Senior-Manager")</f>
        <v>17</v>
      </c>
      <c r="C21" s="85">
        <f>IFERROR(ROUND(B21/'5.1_PROFIL_ECHANTILLON'!B2,3),0)</f>
        <v>0.254</v>
      </c>
      <c r="D21" s="86" t="str">
        <f>IFERROR(REPT("○",ROUND(C21*20,0))&amp;"○","")</f>
        <v>○○○○○○</v>
      </c>
    </row>
    <row r="22" spans="1:4" ht="18" customHeight="1" x14ac:dyDescent="0.25">
      <c r="A22" s="61" t="s">
        <v>384</v>
      </c>
      <c r="B22" s="61">
        <f>COUNTIFS(DONNEES_SOURCE!$CA$2:$CA$1000,TRUE,DONNEES_SOURCE!$BZ$2:$BZ$1000,"Associe")</f>
        <v>18</v>
      </c>
      <c r="C22" s="85">
        <f>IFERROR(ROUND(B22/'5.1_PROFIL_ECHANTILLON'!B2,3),0)</f>
        <v>0.26900000000000002</v>
      </c>
      <c r="D22" s="86" t="str">
        <f>IFERROR(REPT("○",ROUND(C22*20,0))&amp;"○","")</f>
        <v>○○○○○○</v>
      </c>
    </row>
    <row r="24" spans="1:4" ht="21.95" customHeight="1" x14ac:dyDescent="0.25">
      <c r="A24" s="276" t="s">
        <v>385</v>
      </c>
      <c r="B24" s="254"/>
      <c r="C24" s="254"/>
      <c r="D24" s="254"/>
    </row>
    <row r="25" spans="1:4" ht="20.100000000000001" customHeight="1" x14ac:dyDescent="0.25">
      <c r="A25" s="52" t="s">
        <v>378</v>
      </c>
      <c r="B25" s="52" t="s">
        <v>379</v>
      </c>
      <c r="C25" s="52" t="s">
        <v>380</v>
      </c>
      <c r="D25" s="52" t="s">
        <v>381</v>
      </c>
    </row>
    <row r="26" spans="1:4" ht="18" customHeight="1" x14ac:dyDescent="0.25">
      <c r="A26" s="58" t="s">
        <v>141</v>
      </c>
      <c r="B26" s="58">
        <f>COUNTIFS(DONNEES_SOURCE!$CA$2:$CA$1000,TRUE,DONNEES_SOURCE!$BL$2:$BL$1000,"Moins de 2 ans")</f>
        <v>23</v>
      </c>
      <c r="C26" s="87">
        <f>IFERROR(ROUND(B26/'5.1_PROFIL_ECHANTILLON'!B2,3),0)</f>
        <v>0.34300000000000003</v>
      </c>
      <c r="D26" s="88" t="str">
        <f t="shared" ref="D26:D31" si="1">IFERROR(REPT("○",ROUND(C26*20,0))&amp;"○","")</f>
        <v>○○○○○○○○</v>
      </c>
    </row>
    <row r="27" spans="1:4" ht="18" customHeight="1" x14ac:dyDescent="0.25">
      <c r="A27" s="58" t="s">
        <v>125</v>
      </c>
      <c r="B27" s="58">
        <f>COUNTIFS(DONNEES_SOURCE!$CA$2:$CA$1000,TRUE,DONNEES_SOURCE!$BL$2:$BL$1000,"2 - 3 ans")</f>
        <v>13</v>
      </c>
      <c r="C27" s="87">
        <f>IFERROR(ROUND(B27/'5.1_PROFIL_ECHANTILLON'!B2,3),0)</f>
        <v>0.19400000000000001</v>
      </c>
      <c r="D27" s="88" t="str">
        <f t="shared" si="1"/>
        <v>○○○○○</v>
      </c>
    </row>
    <row r="28" spans="1:4" ht="18" customHeight="1" x14ac:dyDescent="0.25">
      <c r="A28" s="58" t="s">
        <v>192</v>
      </c>
      <c r="B28" s="58">
        <f>COUNTIFS(DONNEES_SOURCE!$CA$2:$CA$1000,TRUE,DONNEES_SOURCE!$BL$2:$BL$1000,"4  - 5 ans")</f>
        <v>7</v>
      </c>
      <c r="C28" s="87">
        <f>IFERROR(ROUND(B28/'5.1_PROFIL_ECHANTILLON'!B2,3),0)</f>
        <v>0.104</v>
      </c>
      <c r="D28" s="88" t="str">
        <f t="shared" si="1"/>
        <v>○○○</v>
      </c>
    </row>
    <row r="29" spans="1:4" ht="18" customHeight="1" x14ac:dyDescent="0.25">
      <c r="A29" s="58" t="s">
        <v>186</v>
      </c>
      <c r="B29" s="58">
        <f>COUNTIFS(DONNEES_SOURCE!$CA$2:$CA$1000,TRUE,DONNEES_SOURCE!$BL$2:$BL$1000,"6  - 7 ans")</f>
        <v>3</v>
      </c>
      <c r="C29" s="87">
        <f>IFERROR(ROUND(B29/'5.1_PROFIL_ECHANTILLON'!B2,3),0)</f>
        <v>4.4999999999999998E-2</v>
      </c>
      <c r="D29" s="88" t="str">
        <f t="shared" si="1"/>
        <v>○○</v>
      </c>
    </row>
    <row r="30" spans="1:4" ht="18" customHeight="1" x14ac:dyDescent="0.25">
      <c r="A30" s="58" t="s">
        <v>278</v>
      </c>
      <c r="B30" s="58">
        <f>COUNTIFS(DONNEES_SOURCE!$CA$2:$CA$1000,TRUE,DONNEES_SOURCE!$BL$2:$BL$1000,"8 - 10 ans")</f>
        <v>1</v>
      </c>
      <c r="C30" s="87">
        <f>IFERROR(ROUND(B30/'5.1_PROFIL_ECHANTILLON'!B2,3),0)</f>
        <v>1.4999999999999999E-2</v>
      </c>
      <c r="D30" s="88" t="str">
        <f t="shared" si="1"/>
        <v>○</v>
      </c>
    </row>
    <row r="31" spans="1:4" ht="18" customHeight="1" x14ac:dyDescent="0.25">
      <c r="A31" s="58" t="s">
        <v>177</v>
      </c>
      <c r="B31" s="58">
        <f>COUNTIFS(DONNEES_SOURCE!$CA$2:$CA$1000,TRUE,DONNEES_SOURCE!$BL$2:$BL$1000,"Plus de 10 ans")</f>
        <v>20</v>
      </c>
      <c r="C31" s="87">
        <f>IFERROR(ROUND(B31/'5.1_PROFIL_ECHANTILLON'!B2,3),0)</f>
        <v>0.29899999999999999</v>
      </c>
      <c r="D31" s="88" t="str">
        <f t="shared" si="1"/>
        <v>○○○○○○○</v>
      </c>
    </row>
    <row r="33" spans="1:4" ht="21.95" customHeight="1" x14ac:dyDescent="0.25">
      <c r="A33" s="276" t="s">
        <v>386</v>
      </c>
      <c r="B33" s="254"/>
      <c r="C33" s="254"/>
      <c r="D33" s="254"/>
    </row>
    <row r="34" spans="1:4" ht="20.100000000000001" customHeight="1" x14ac:dyDescent="0.25">
      <c r="A34" s="52" t="s">
        <v>378</v>
      </c>
      <c r="B34" s="52" t="s">
        <v>379</v>
      </c>
      <c r="C34" s="52" t="s">
        <v>380</v>
      </c>
      <c r="D34" s="52" t="s">
        <v>381</v>
      </c>
    </row>
    <row r="35" spans="1:4" ht="18" customHeight="1" x14ac:dyDescent="0.25">
      <c r="A35" s="64" t="s">
        <v>387</v>
      </c>
      <c r="B35" s="64">
        <f>COUNTIFS(DONNEES_SOURCE!$CA$2:$CA$1000, TRUE, DONNEES_SOURCE!$BM$2:$BM$1000, "*audit financier*") + COUNTIFS(DONNEES_SOURCE!$CA$2:$CA$1000, TRUE, DONNEES_SOURCE!$BM$2:$BM$1000, "*EXPERTISE COMPTABLE ET COMMISSARIAT AUX COMPTES*")</f>
        <v>62</v>
      </c>
      <c r="C35" s="89">
        <f>IFERROR(ROUND(B35/'5.1_PROFIL_ECHANTILLON'!B2,3),0)</f>
        <v>0.92500000000000004</v>
      </c>
      <c r="D35" s="90" t="str">
        <f>IFERROR(REPT("○",ROUND(C35*20,0))&amp;"○","")</f>
        <v>○○○○○○○○○○○○○○○○○○○○</v>
      </c>
    </row>
    <row r="36" spans="1:4" ht="18" customHeight="1" x14ac:dyDescent="0.25">
      <c r="A36" s="64" t="s">
        <v>152</v>
      </c>
      <c r="B36" s="64">
        <f>COUNTIFS(DONNEES_SOURCE!$CA$2:$CA$1000, TRUE, DONNEES_SOURCE!$BM$2:$BM$1000, "*Audit IT*")</f>
        <v>7</v>
      </c>
      <c r="C36" s="89">
        <f>IFERROR(ROUND(B36/'5.1_PROFIL_ECHANTILLON'!B2,3),0)</f>
        <v>0.104</v>
      </c>
      <c r="D36" s="90" t="str">
        <f>IFERROR(REPT("○",ROUND(C36*20,0))&amp;"○","")</f>
        <v>○○○</v>
      </c>
    </row>
    <row r="37" spans="1:4" ht="18" customHeight="1" x14ac:dyDescent="0.25">
      <c r="A37" s="64" t="s">
        <v>388</v>
      </c>
      <c r="B37" s="64">
        <f>COUNTIFS(DONNEES_SOURCE!$CA$2:$CA$1000, TRUE, DONNEES_SOURCE!$BM$2:$BM$1000, "*Audit Interne*")</f>
        <v>8</v>
      </c>
      <c r="C37" s="89">
        <f>IFERROR(ROUND(B37/'5.1_PROFIL_ECHANTILLON'!B2,3),0)</f>
        <v>0.11899999999999999</v>
      </c>
      <c r="D37" s="90" t="str">
        <f>IFERROR(REPT("○",ROUND(C37*20,0))&amp;"○","")</f>
        <v>○○○</v>
      </c>
    </row>
    <row r="38" spans="1:4" ht="18" customHeight="1" x14ac:dyDescent="0.25">
      <c r="A38" s="64" t="s">
        <v>389</v>
      </c>
      <c r="B38" s="64">
        <f>COUNTIFS(DONNEES_SOURCE!$CA$2:$CA$1000, TRUE, DONNEES_SOURCE!$BM$2:$BM$1000, "*Audit RSE*")</f>
        <v>3</v>
      </c>
      <c r="C38" s="89">
        <f>IFERROR(ROUND(B38/'5.1_PROFIL_ECHANTILLON'!B2,3),0)</f>
        <v>4.4999999999999998E-2</v>
      </c>
      <c r="D38" s="90" t="str">
        <f>IFERROR(REPT("○",ROUND(C38*20,0))&amp;"○","")</f>
        <v>○○</v>
      </c>
    </row>
    <row r="39" spans="1:4" ht="15.95" customHeight="1" x14ac:dyDescent="0.25"/>
    <row r="40" spans="1:4" ht="21.95" customHeight="1" x14ac:dyDescent="0.25">
      <c r="A40" s="276" t="s">
        <v>390</v>
      </c>
      <c r="B40" s="254"/>
      <c r="C40" s="254"/>
      <c r="D40" s="254"/>
    </row>
    <row r="41" spans="1:4" ht="20.100000000000001" customHeight="1" x14ac:dyDescent="0.25">
      <c r="A41" s="52" t="s">
        <v>378</v>
      </c>
      <c r="B41" s="52" t="s">
        <v>379</v>
      </c>
      <c r="C41" s="52" t="s">
        <v>380</v>
      </c>
      <c r="D41" s="52" t="s">
        <v>381</v>
      </c>
    </row>
    <row r="42" spans="1:4" ht="18" customHeight="1" x14ac:dyDescent="0.25">
      <c r="A42" s="67" t="s">
        <v>127</v>
      </c>
      <c r="B42" s="67">
        <f>COUNTIFS(DONNEES_SOURCE!$CA$2:$CA$1000,TRUE,DONNEES_SOURCE!$BN$2:$BN$1000,"Cabinet international")</f>
        <v>37</v>
      </c>
      <c r="C42" s="91">
        <f>IFERROR(ROUND(B42/'5.1_PROFIL_ECHANTILLON'!B2,3),0)</f>
        <v>0.55200000000000005</v>
      </c>
      <c r="D42" s="92" t="str">
        <f>IFERROR(REPT("○",ROUND(C42*20,0))&amp;"○","")</f>
        <v>○○○○○○○○○○○○</v>
      </c>
    </row>
    <row r="43" spans="1:4" ht="18" customHeight="1" x14ac:dyDescent="0.25">
      <c r="A43" s="67" t="s">
        <v>172</v>
      </c>
      <c r="B43" s="67">
        <f>COUNTIFS(DONNEES_SOURCE!$CA$2:$CA$1000,TRUE,DONNEES_SOURCE!$BN$2:$BN$1000,"Cabinet local")</f>
        <v>19</v>
      </c>
      <c r="C43" s="91">
        <f>IFERROR(ROUND(B43/'5.1_PROFIL_ECHANTILLON'!B2,3),0)</f>
        <v>0.28399999999999997</v>
      </c>
      <c r="D43" s="92" t="str">
        <f>IFERROR(REPT("○",ROUND(C43*20,0))&amp;"○","")</f>
        <v>○○○○○○○</v>
      </c>
    </row>
    <row r="44" spans="1:4" ht="18" customHeight="1" x14ac:dyDescent="0.25">
      <c r="A44" s="67" t="s">
        <v>391</v>
      </c>
      <c r="B44" s="67">
        <f>COUNTIFS(DONNEES_SOURCE!$CA$2:$CA$1000,TRUE,DONNEES_SOURCE!$BN$2:$BN$1000,"Cabinet régional")</f>
        <v>10</v>
      </c>
      <c r="C44" s="91">
        <f>IFERROR(ROUND(B44/'5.1_PROFIL_ECHANTILLON'!B2,3),0)</f>
        <v>0.14899999999999999</v>
      </c>
      <c r="D44" s="92" t="str">
        <f>IFERROR(REPT("○",ROUND(C44*20,0))&amp;"○","")</f>
        <v>○○○○</v>
      </c>
    </row>
    <row r="45" spans="1:4" ht="18" customHeight="1" x14ac:dyDescent="0.25">
      <c r="A45" s="67" t="s">
        <v>204</v>
      </c>
      <c r="B45" s="67">
        <f>COUNTIFS(DONNEES_SOURCE!$CA$2:$CA$1000,TRUE,DONNEES_SOURCE!$BN$2:$BN$1000,"National et membre d'un réseau ")</f>
        <v>1</v>
      </c>
      <c r="C45" s="91">
        <f>IFERROR(ROUND(B45/'5.1_PROFIL_ECHANTILLON'!B2,3),0)</f>
        <v>1.4999999999999999E-2</v>
      </c>
      <c r="D45" s="92" t="str">
        <f>IFERROR(REPT("○",ROUND(C45*20,0))&amp;"○","")</f>
        <v>○</v>
      </c>
    </row>
    <row r="46" spans="1:4" ht="15.95" customHeight="1" x14ac:dyDescent="0.25"/>
    <row r="48" spans="1:4" ht="15.95" customHeight="1" x14ac:dyDescent="0.25"/>
    <row r="49" spans="1:7" ht="20.100000000000001" customHeight="1" x14ac:dyDescent="0.25">
      <c r="A49" s="278" t="s">
        <v>392</v>
      </c>
      <c r="B49" s="254"/>
      <c r="C49" s="254"/>
      <c r="D49" s="254"/>
      <c r="E49" s="254"/>
      <c r="F49" s="254"/>
      <c r="G49" s="254"/>
    </row>
    <row r="50" spans="1:7" x14ac:dyDescent="0.25">
      <c r="A50" s="155" t="s">
        <v>393</v>
      </c>
      <c r="B50" s="155" t="s">
        <v>379</v>
      </c>
      <c r="C50" s="155" t="s">
        <v>380</v>
      </c>
      <c r="D50" s="155" t="s">
        <v>394</v>
      </c>
    </row>
    <row r="51" spans="1:7" x14ac:dyDescent="0.25">
      <c r="A51" s="275" t="s">
        <v>395</v>
      </c>
      <c r="B51" s="254"/>
      <c r="C51" s="254"/>
      <c r="D51" s="254"/>
    </row>
    <row r="52" spans="1:7" x14ac:dyDescent="0.25">
      <c r="A52" s="156" t="s">
        <v>396</v>
      </c>
      <c r="B52" s="157">
        <f>COUNTIFS(DONNEES_SOURCE!$CA$2:$CA$1000,TRUE,DONNEES_SOURCE!$C$2:$C$1000,"Outils fournis/agréés par le cabinet (ex: Copilot sécurisé)")</f>
        <v>33</v>
      </c>
      <c r="C52" s="158">
        <f>IFERROR(ROUND(B52/B2,4),0)</f>
        <v>0.49249999999999999</v>
      </c>
      <c r="D52" s="156" t="str">
        <f>IFERROR(REPT("●",ROUND(C52*20,0)),"")</f>
        <v>●●●●●●●●●●</v>
      </c>
    </row>
    <row r="53" spans="1:7" x14ac:dyDescent="0.25">
      <c r="A53" s="156" t="s">
        <v>397</v>
      </c>
      <c r="B53" s="157">
        <f>COUNTIFS(DONNEES_SOURCE!$CA$2:$CA$1000,TRUE,DONNEES_SOURCE!$C$2:$C$1000,"Usage mix des deux")</f>
        <v>21</v>
      </c>
      <c r="C53" s="158">
        <f>IFERROR(ROUND(B53/B2,4),0)</f>
        <v>0.31340000000000001</v>
      </c>
      <c r="D53" s="156" t="str">
        <f>IFERROR(REPT("●",ROUND(C53*20,0)),"")</f>
        <v>●●●●●●</v>
      </c>
    </row>
    <row r="54" spans="1:7" x14ac:dyDescent="0.25">
      <c r="A54" s="156" t="s">
        <v>398</v>
      </c>
      <c r="B54" s="157">
        <f>COUNTIFS(DONNEES_SOURCE!$CA$2:$CA$1000,TRUE,DONNEES_SOURCE!$C$2:$C$1000,"Outils grand public (ex: ChatGPT, Gemini )")</f>
        <v>13</v>
      </c>
      <c r="C54" s="158">
        <f>IFERROR(ROUND(B54/B2,4),0)</f>
        <v>0.19400000000000001</v>
      </c>
      <c r="D54" s="156" t="str">
        <f>IFERROR(REPT("●",ROUND(C54*20,0)),"")</f>
        <v>●●●●</v>
      </c>
    </row>
    <row r="56" spans="1:7" x14ac:dyDescent="0.25">
      <c r="A56" s="275" t="s">
        <v>399</v>
      </c>
      <c r="B56" s="254"/>
      <c r="C56" s="254"/>
      <c r="D56" s="254"/>
    </row>
    <row r="57" spans="1:7" x14ac:dyDescent="0.25">
      <c r="A57" s="156" t="s">
        <v>400</v>
      </c>
      <c r="B57" s="157">
        <f>COUNTIFS(DONNEES_SOURCE!$CA$2:$CA$1000,TRUE,DONNEES_SOURCE!$E$2:$E$1000,"&lt;&gt;0")</f>
        <v>49</v>
      </c>
      <c r="C57" s="158">
        <f>IFERROR(ROUND(B57/B2,4),0)</f>
        <v>0.73129999999999995</v>
      </c>
      <c r="D57" s="156" t="str">
        <f t="shared" ref="D57:D65" si="2">IFERROR(REPT("●",ROUND(C57*20,0)),"")</f>
        <v>●●●●●●●●●●●●●●●</v>
      </c>
    </row>
    <row r="58" spans="1:7" x14ac:dyDescent="0.25">
      <c r="A58" s="156" t="s">
        <v>401</v>
      </c>
      <c r="B58" s="157">
        <f>COUNTIFS(DONNEES_SOURCE!$CA$2:$CA$1000,TRUE,DONNEES_SOURCE!$F$2:$F$1000,"&lt;&gt;0")</f>
        <v>36</v>
      </c>
      <c r="C58" s="158">
        <f>IFERROR(ROUND(B58/B2,4),0)</f>
        <v>0.5373</v>
      </c>
      <c r="D58" s="156" t="str">
        <f t="shared" si="2"/>
        <v>●●●●●●●●●●●</v>
      </c>
    </row>
    <row r="59" spans="1:7" x14ac:dyDescent="0.25">
      <c r="A59" s="156" t="s">
        <v>402</v>
      </c>
      <c r="B59" s="157">
        <f>COUNTIFS(DONNEES_SOURCE!$CA$2:$CA$1000,TRUE,DONNEES_SOURCE!$K$2:$K$1000,"&lt;&gt;0")</f>
        <v>20</v>
      </c>
      <c r="C59" s="158">
        <f>IFERROR(ROUND(B59/B2,4),0)</f>
        <v>0.29849999999999999</v>
      </c>
      <c r="D59" s="156" t="str">
        <f t="shared" si="2"/>
        <v>●●●●●●</v>
      </c>
    </row>
    <row r="60" spans="1:7" x14ac:dyDescent="0.25">
      <c r="A60" s="156" t="s">
        <v>403</v>
      </c>
      <c r="B60" s="157">
        <f>COUNTIFS(DONNEES_SOURCE!$CA$2:$CA$1000,TRUE,DONNEES_SOURCE!$G$2:$G$1000,"&lt;&gt;0")</f>
        <v>15</v>
      </c>
      <c r="C60" s="158">
        <f>IFERROR(ROUND(B60/B2,4),0)</f>
        <v>0.22389999999999999</v>
      </c>
      <c r="D60" s="156" t="str">
        <f t="shared" si="2"/>
        <v>●●●●</v>
      </c>
    </row>
    <row r="61" spans="1:7" x14ac:dyDescent="0.25">
      <c r="A61" s="156" t="s">
        <v>404</v>
      </c>
      <c r="B61" s="157">
        <f>COUNTIFS(DONNEES_SOURCE!$CA$2:$CA$1000,TRUE,DONNEES_SOURCE!$D$2:$D$1000,"&lt;&gt;0")</f>
        <v>9</v>
      </c>
      <c r="C61" s="158">
        <f>IFERROR(ROUND(B61/B2,4),0)</f>
        <v>0.1343</v>
      </c>
      <c r="D61" s="156" t="str">
        <f t="shared" si="2"/>
        <v>●●●</v>
      </c>
    </row>
    <row r="62" spans="1:7" x14ac:dyDescent="0.25">
      <c r="A62" s="156" t="s">
        <v>405</v>
      </c>
      <c r="B62" s="157">
        <f>COUNTIFS(DONNEES_SOURCE!$CA$2:$CA$1000,TRUE,DONNEES_SOURCE!$J$2:$J$1000,"&lt;&gt;0")</f>
        <v>8</v>
      </c>
      <c r="C62" s="158">
        <f>IFERROR(ROUND(B62/B2,4),0)</f>
        <v>0.11940000000000001</v>
      </c>
      <c r="D62" s="156" t="str">
        <f t="shared" si="2"/>
        <v>●●</v>
      </c>
    </row>
    <row r="63" spans="1:7" x14ac:dyDescent="0.25">
      <c r="A63" s="156" t="s">
        <v>406</v>
      </c>
      <c r="B63" s="157">
        <f>COUNTIFS(DONNEES_SOURCE!$CA$2:$CA$1000,TRUE,DONNEES_SOURCE!$H$2:$H$1000,"&lt;&gt;0")</f>
        <v>7</v>
      </c>
      <c r="C63" s="158">
        <f>IFERROR(ROUND(B63/B2,4),0)</f>
        <v>0.1045</v>
      </c>
      <c r="D63" s="156" t="str">
        <f t="shared" si="2"/>
        <v>●●</v>
      </c>
    </row>
    <row r="64" spans="1:7" x14ac:dyDescent="0.25">
      <c r="A64" s="156" t="s">
        <v>407</v>
      </c>
      <c r="B64" s="157">
        <f>COUNTIFS(DONNEES_SOURCE!$CA$2:$CA$1000,TRUE,DONNEES_SOURCE!$I$2:$I$1000,"&lt;&gt;0")</f>
        <v>4</v>
      </c>
      <c r="C64" s="158">
        <f>IFERROR(ROUND(B64/B2,4),0)</f>
        <v>5.9700000000000003E-2</v>
      </c>
      <c r="D64" s="156" t="str">
        <f t="shared" si="2"/>
        <v>●</v>
      </c>
    </row>
    <row r="65" spans="1:4" x14ac:dyDescent="0.25">
      <c r="A65" s="156" t="s">
        <v>408</v>
      </c>
      <c r="B65" s="157">
        <f>COUNTIFS(DONNEES_SOURCE!$CA$2:$CA$1000,TRUE,DONNEES_SOURCE!$L$2:$L$1000,"&lt;&gt;0")</f>
        <v>5</v>
      </c>
      <c r="C65" s="158">
        <f>IFERROR(ROUND(B65/B2,4),0)</f>
        <v>7.46E-2</v>
      </c>
      <c r="D65" s="156" t="str">
        <f t="shared" si="2"/>
        <v>●</v>
      </c>
    </row>
    <row r="67" spans="1:4" x14ac:dyDescent="0.25">
      <c r="A67" s="275" t="s">
        <v>409</v>
      </c>
      <c r="B67" s="254"/>
      <c r="C67" s="254"/>
      <c r="D67" s="254"/>
    </row>
    <row r="68" spans="1:4" x14ac:dyDescent="0.25">
      <c r="A68" s="156" t="s">
        <v>410</v>
      </c>
      <c r="B68" s="157">
        <f>COUNTIFS(DONNEES_SOURCE!$CA$2:$CA$1000,TRUE,DONNEES_SOURCE!$M$2:$M$1000,"*Reformulation*")</f>
        <v>50</v>
      </c>
      <c r="C68" s="158">
        <f>IFERROR(ROUND(B68/B2,4),0)</f>
        <v>0.74629999999999996</v>
      </c>
      <c r="D68" s="156" t="str">
        <f t="shared" ref="D68:D77" si="3">IFERROR(REPT("●",ROUND(C68*20,0)),"")</f>
        <v>●●●●●●●●●●●●●●●</v>
      </c>
    </row>
    <row r="69" spans="1:4" x14ac:dyDescent="0.25">
      <c r="A69" s="156" t="s">
        <v>411</v>
      </c>
      <c r="B69" s="157">
        <f>COUNTIFS(DONNEES_SOURCE!$CA$2:$CA$1000,TRUE,DONNEES_SOURCE!$M$2:$M$1000,"*Rédaction*")</f>
        <v>49</v>
      </c>
      <c r="C69" s="158">
        <f>IFERROR(ROUND(B69/B2,4),0)</f>
        <v>0.73129999999999995</v>
      </c>
      <c r="D69" s="156" t="str">
        <f t="shared" si="3"/>
        <v>●●●●●●●●●●●●●●●</v>
      </c>
    </row>
    <row r="70" spans="1:4" x14ac:dyDescent="0.25">
      <c r="A70" s="156" t="s">
        <v>412</v>
      </c>
      <c r="B70" s="157">
        <f>COUNTIFS(DONNEES_SOURCE!$CA$2:$CA$1000,TRUE,DONNEES_SOURCE!$M$2:$M$1000,"*Recherche d'informations*")</f>
        <v>47</v>
      </c>
      <c r="C70" s="158">
        <f>IFERROR(ROUND(B70/B2,4),0)</f>
        <v>0.70150000000000001</v>
      </c>
      <c r="D70" s="156" t="str">
        <f t="shared" si="3"/>
        <v>●●●●●●●●●●●●●●</v>
      </c>
    </row>
    <row r="71" spans="1:4" x14ac:dyDescent="0.25">
      <c r="A71" s="156" t="s">
        <v>413</v>
      </c>
      <c r="B71" s="157">
        <f>COUNTIFS(DONNEES_SOURCE!$CA$2:$CA$1000,TRUE,DONNEES_SOURCE!$M$2:$M$1000,"*Correction*")</f>
        <v>23</v>
      </c>
      <c r="C71" s="158">
        <f>IFERROR(ROUND(B71/B2,4),0)</f>
        <v>0.34329999999999999</v>
      </c>
      <c r="D71" s="156" t="str">
        <f t="shared" si="3"/>
        <v>●●●●●●●</v>
      </c>
    </row>
    <row r="72" spans="1:4" x14ac:dyDescent="0.25">
      <c r="A72" s="156" t="s">
        <v>414</v>
      </c>
      <c r="B72" s="157">
        <f>COUNTIFS(DONNEES_SOURCE!$CA$2:$CA$1000,TRUE,DONNEES_SOURCE!$M$2:$M$1000,"*Préparation de données*")</f>
        <v>18</v>
      </c>
      <c r="C72" s="158">
        <f>IFERROR(ROUND(B72/B2,4),0)</f>
        <v>0.26869999999999999</v>
      </c>
      <c r="D72" s="156" t="str">
        <f t="shared" si="3"/>
        <v>●●●●●</v>
      </c>
    </row>
    <row r="73" spans="1:4" x14ac:dyDescent="0.25">
      <c r="A73" s="156" t="s">
        <v>415</v>
      </c>
      <c r="B73" s="157">
        <f>COUNTIFS(DONNEES_SOURCE!$CA$2:$CA$1000,TRUE,DONNEES_SOURCE!$M$2:$M$1000,"*Automatisation*")</f>
        <v>17</v>
      </c>
      <c r="C73" s="158">
        <f>IFERROR(ROUND(B73/B2,4),0)</f>
        <v>0.25369999999999998</v>
      </c>
      <c r="D73" s="156" t="str">
        <f t="shared" si="3"/>
        <v>●●●●●</v>
      </c>
    </row>
    <row r="74" spans="1:4" x14ac:dyDescent="0.25">
      <c r="A74" s="156" t="s">
        <v>416</v>
      </c>
      <c r="B74" s="157">
        <f>COUNTIFS(DONNEES_SOURCE!$CA$2:$CA$1000,TRUE,DONNEES_SOURCE!$M$2:$M$1000,"*Analyse de données*")</f>
        <v>17</v>
      </c>
      <c r="C74" s="158">
        <f>IFERROR(ROUND(B74/B2,4),0)</f>
        <v>0.25369999999999998</v>
      </c>
      <c r="D74" s="156" t="str">
        <f t="shared" si="3"/>
        <v>●●●●●</v>
      </c>
    </row>
    <row r="75" spans="1:4" x14ac:dyDescent="0.25">
      <c r="A75" s="156" t="s">
        <v>417</v>
      </c>
      <c r="B75" s="157">
        <f>COUNTIFS(DONNEES_SOURCE!$CA$2:$CA$1000,TRUE,DONNEES_SOURCE!$M$2:$M$1000,"*Rapprochement*")</f>
        <v>14</v>
      </c>
      <c r="C75" s="158">
        <f>IFERROR(ROUND(B75/B2,4),0)</f>
        <v>0.20899999999999999</v>
      </c>
      <c r="D75" s="156" t="str">
        <f t="shared" si="3"/>
        <v>●●●●</v>
      </c>
    </row>
    <row r="76" spans="1:4" x14ac:dyDescent="0.25">
      <c r="A76" s="156" t="s">
        <v>418</v>
      </c>
      <c r="B76" s="157">
        <f>COUNTIFS(DONNEES_SOURCE!$CA$2:$CA$1000,TRUE,DONNEES_SOURCE!$M$2:$M$1000,"*Aide à la décision*")</f>
        <v>13</v>
      </c>
      <c r="C76" s="158">
        <f>IFERROR(ROUND(B76/B2,4),0)</f>
        <v>0.19400000000000001</v>
      </c>
      <c r="D76" s="156" t="str">
        <f t="shared" si="3"/>
        <v>●●●●</v>
      </c>
    </row>
    <row r="77" spans="1:4" x14ac:dyDescent="0.25">
      <c r="A77" s="156" t="s">
        <v>419</v>
      </c>
      <c r="B77" s="157">
        <f>COUNTIFS(DONNEES_SOURCE!$CA$2:$CA$1000,TRUE,DONNEES_SOURCE!$M$2:$M$1000,"*Évaluation du contrôle*")</f>
        <v>8</v>
      </c>
      <c r="C77" s="158">
        <f>IFERROR(ROUND(B77/B2,4),0)</f>
        <v>0.11940000000000001</v>
      </c>
      <c r="D77" s="156" t="str">
        <f t="shared" si="3"/>
        <v>●●</v>
      </c>
    </row>
    <row r="79" spans="1:4" x14ac:dyDescent="0.25">
      <c r="A79" s="275" t="s">
        <v>420</v>
      </c>
      <c r="B79" s="254"/>
      <c r="C79" s="254"/>
      <c r="D79" s="254"/>
    </row>
    <row r="80" spans="1:4" x14ac:dyDescent="0.25">
      <c r="A80" s="156" t="s">
        <v>421</v>
      </c>
      <c r="B80" s="157">
        <f>COUNTIFS(DONNEES_SOURCE!$CA$2:$CA$1000,TRUE,DONNEES_SOURCE!$N$2:$N$1000,"*VOLONTAIRE*")</f>
        <v>46</v>
      </c>
      <c r="C80" s="158">
        <f>IFERROR(ROUND(B80/B2,4),0)</f>
        <v>0.68659999999999999</v>
      </c>
      <c r="D80" s="156" t="str">
        <f>IFERROR(REPT("●",ROUND(C80*20,0)),"")</f>
        <v>●●●●●●●●●●●●●●</v>
      </c>
    </row>
    <row r="81" spans="1:5" x14ac:dyDescent="0.25">
      <c r="A81" s="156" t="s">
        <v>422</v>
      </c>
      <c r="B81" s="157">
        <f>COUNTIFS(DONNEES_SOURCE!$CA$2:$CA$1000,TRUE,DONNEES_SOURCE!$N$2:$N$1000,"*RECOMMANDÉE*")</f>
        <v>21</v>
      </c>
      <c r="C81" s="158">
        <f>IFERROR(ROUND(B81/B2,4),0)</f>
        <v>0.31340000000000001</v>
      </c>
      <c r="D81" s="156" t="str">
        <f>IFERROR(REPT("●",ROUND(C81*20,0)),"")</f>
        <v>●●●●●●</v>
      </c>
    </row>
    <row r="83" spans="1:5" x14ac:dyDescent="0.25">
      <c r="A83" s="275" t="s">
        <v>644</v>
      </c>
      <c r="B83" s="254"/>
      <c r="C83" s="254"/>
      <c r="D83" s="254"/>
    </row>
    <row r="84" spans="1:5" x14ac:dyDescent="0.25">
      <c r="A84" s="156" t="s">
        <v>642</v>
      </c>
      <c r="B84" s="157">
        <f>COUNTIFS('DONNEES BRUTES non filtrées'!B:B,"1. Jamais")</f>
        <v>5</v>
      </c>
      <c r="C84" s="158">
        <f t="shared" ref="C84:C90" si="4">IFERROR(ROUND(B84/($B$2+$B$84),4),0)</f>
        <v>6.9400000000000003E-2</v>
      </c>
      <c r="D84" s="156" t="str">
        <f>IFERROR(REPT("●",ROUND(C84*20,0)),"")</f>
        <v>●</v>
      </c>
      <c r="E84" t="s">
        <v>643</v>
      </c>
    </row>
    <row r="85" spans="1:5" x14ac:dyDescent="0.25">
      <c r="A85" s="156" t="s">
        <v>423</v>
      </c>
      <c r="B85" s="157">
        <f>COUNTIFS(DONNEES_SOURCE!$CA$2:$CA$1000,TRUE,DONNEES_SOURCE!$B$2:$B$1000,"2. Très rarement (Moins d'une fois par mois)")</f>
        <v>3</v>
      </c>
      <c r="C85" s="158">
        <f t="shared" si="4"/>
        <v>4.1700000000000001E-2</v>
      </c>
      <c r="D85" s="156" t="str">
        <f t="shared" ref="D85:D90" si="5">IFERROR(REPT("●",ROUND(C85*20,0)),"")</f>
        <v>●</v>
      </c>
    </row>
    <row r="86" spans="1:5" x14ac:dyDescent="0.25">
      <c r="A86" s="156" t="s">
        <v>424</v>
      </c>
      <c r="B86" s="157">
        <f>COUNTIFS(DONNEES_SOURCE!$CA$2:$CA$1000,TRUE,DONNEES_SOURCE!$B$2:$B$1000,"3. Rarement (1 à 3 fois par mois)")</f>
        <v>6</v>
      </c>
      <c r="C86" s="158">
        <f t="shared" si="4"/>
        <v>8.3299999999999999E-2</v>
      </c>
      <c r="D86" s="156" t="str">
        <f t="shared" si="5"/>
        <v>●●</v>
      </c>
    </row>
    <row r="87" spans="1:5" x14ac:dyDescent="0.25">
      <c r="A87" s="156" t="s">
        <v>425</v>
      </c>
      <c r="B87" s="157">
        <f>COUNTIFS(DONNEES_SOURCE!$CA$2:$CA$1000,TRUE,DONNEES_SOURCE!$B$2:$B$1000,"4. Parfois (Environ une fois par semaine)")</f>
        <v>11</v>
      </c>
      <c r="C87" s="158">
        <f t="shared" si="4"/>
        <v>0.15279999999999999</v>
      </c>
      <c r="D87" s="156" t="str">
        <f t="shared" si="5"/>
        <v>●●●</v>
      </c>
    </row>
    <row r="88" spans="1:5" x14ac:dyDescent="0.25">
      <c r="A88" s="156" t="s">
        <v>426</v>
      </c>
      <c r="B88" s="157">
        <f>COUNTIFS(DONNEES_SOURCE!$CA$2:$CA$1000,TRUE,DONNEES_SOURCE!$B$2:$B$1000,"5. Régulièrement (Plusieurs fois par semaine)")</f>
        <v>26</v>
      </c>
      <c r="C88" s="158">
        <f t="shared" si="4"/>
        <v>0.36109999999999998</v>
      </c>
      <c r="D88" s="156" t="str">
        <f t="shared" si="5"/>
        <v>●●●●●●●</v>
      </c>
    </row>
    <row r="89" spans="1:5" x14ac:dyDescent="0.25">
      <c r="A89" s="156" t="s">
        <v>427</v>
      </c>
      <c r="B89" s="157">
        <f>COUNTIFS(DONNEES_SOURCE!$CA$2:$CA$1000,TRUE,DONNEES_SOURCE!$B$2:$B$1000,"6. Quotidiennement (Une fois par jour)")</f>
        <v>9</v>
      </c>
      <c r="C89" s="158">
        <f t="shared" si="4"/>
        <v>0.125</v>
      </c>
      <c r="D89" s="156" t="str">
        <f t="shared" si="5"/>
        <v>●●●</v>
      </c>
    </row>
    <row r="90" spans="1:5" x14ac:dyDescent="0.25">
      <c r="A90" s="156" t="s">
        <v>428</v>
      </c>
      <c r="B90" s="157">
        <f>COUNTIFS(DONNEES_SOURCE!$CA$2:$CA$1000,TRUE,DONNEES_SOURCE!$B$2:$B$1000,"7. Très fréquemment (Plusieurs fois par jour)")</f>
        <v>12</v>
      </c>
      <c r="C90" s="158">
        <f t="shared" si="4"/>
        <v>0.16669999999999999</v>
      </c>
      <c r="D90" s="156" t="str">
        <f t="shared" si="5"/>
        <v>●●●</v>
      </c>
    </row>
  </sheetData>
  <mergeCells count="13">
    <mergeCell ref="A18:D18"/>
    <mergeCell ref="A1:G1"/>
    <mergeCell ref="A79:D79"/>
    <mergeCell ref="A4:D4"/>
    <mergeCell ref="A49:G49"/>
    <mergeCell ref="A51:D51"/>
    <mergeCell ref="A13:D13"/>
    <mergeCell ref="A83:D83"/>
    <mergeCell ref="A24:D24"/>
    <mergeCell ref="A33:D33"/>
    <mergeCell ref="A67:D67"/>
    <mergeCell ref="A56:D56"/>
    <mergeCell ref="A40:D40"/>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dimension ref="A1:AH142"/>
  <sheetViews>
    <sheetView topLeftCell="A101" zoomScaleNormal="100" workbookViewId="0">
      <selection activeCell="B140" sqref="B140"/>
    </sheetView>
  </sheetViews>
  <sheetFormatPr baseColWidth="10" defaultRowHeight="15" x14ac:dyDescent="0.25"/>
  <cols>
    <col min="1" max="1" width="42" customWidth="1"/>
    <col min="2" max="2" width="12.7109375" customWidth="1"/>
    <col min="3" max="3" width="19.28515625" customWidth="1"/>
    <col min="4" max="4" width="22.42578125" customWidth="1"/>
    <col min="5" max="29" width="8" customWidth="1"/>
    <col min="30" max="34" width="10" customWidth="1"/>
  </cols>
  <sheetData>
    <row r="1" spans="1:34" x14ac:dyDescent="0.25">
      <c r="A1" s="279" t="s">
        <v>429</v>
      </c>
      <c r="B1" s="254"/>
      <c r="C1" s="254"/>
      <c r="D1" s="254"/>
      <c r="E1" s="254"/>
      <c r="F1" s="254"/>
      <c r="G1" s="254"/>
      <c r="H1" s="254"/>
      <c r="I1" s="254"/>
      <c r="J1" s="254"/>
      <c r="K1" s="254"/>
      <c r="L1" s="254"/>
      <c r="M1" s="254"/>
      <c r="N1" s="254"/>
      <c r="O1" s="254"/>
      <c r="P1" s="254"/>
      <c r="Q1" s="254"/>
      <c r="R1" s="254"/>
      <c r="S1" s="254"/>
      <c r="T1" s="254"/>
      <c r="U1" s="254"/>
      <c r="V1" s="254"/>
      <c r="W1" s="254"/>
      <c r="X1" s="254"/>
      <c r="Y1" s="254"/>
      <c r="Z1" s="254"/>
    </row>
    <row r="2" spans="1:34" x14ac:dyDescent="0.25">
      <c r="A2" s="283" t="s">
        <v>430</v>
      </c>
      <c r="B2" s="254"/>
      <c r="C2" s="254"/>
      <c r="D2" s="254"/>
      <c r="E2" s="254"/>
      <c r="F2" s="254"/>
      <c r="G2" s="254"/>
      <c r="H2" s="254"/>
      <c r="I2" s="254"/>
      <c r="J2" s="254"/>
      <c r="K2" s="254"/>
      <c r="L2" s="254"/>
      <c r="M2" s="254"/>
      <c r="N2" s="254"/>
      <c r="O2" s="254"/>
      <c r="P2" s="254"/>
      <c r="Q2" s="254"/>
      <c r="R2" s="254"/>
      <c r="S2" s="254"/>
      <c r="T2" s="254"/>
      <c r="U2" s="254"/>
      <c r="V2" s="254"/>
      <c r="W2" s="254"/>
      <c r="X2" s="254"/>
      <c r="Y2" s="254"/>
      <c r="Z2" s="254"/>
    </row>
    <row r="4" spans="1:34" x14ac:dyDescent="0.25">
      <c r="A4" s="282" t="s">
        <v>431</v>
      </c>
      <c r="B4" s="254"/>
      <c r="C4" s="254"/>
      <c r="D4" s="254"/>
      <c r="E4" s="254"/>
      <c r="F4" s="254"/>
      <c r="G4" s="254"/>
      <c r="H4" s="254"/>
      <c r="I4" s="254"/>
      <c r="J4" s="254"/>
      <c r="K4" s="254"/>
      <c r="L4" s="254"/>
      <c r="M4" s="254"/>
      <c r="N4" s="254"/>
      <c r="O4" s="254"/>
      <c r="P4" s="254"/>
      <c r="Q4" s="254"/>
      <c r="R4" s="254"/>
      <c r="S4" s="254"/>
      <c r="T4" s="254"/>
      <c r="U4" s="254"/>
      <c r="V4" s="254"/>
      <c r="W4" s="254"/>
      <c r="X4" s="254"/>
      <c r="Y4" s="254"/>
      <c r="Z4" s="254"/>
    </row>
    <row r="5" spans="1:34" ht="24" customHeight="1" x14ac:dyDescent="0.25">
      <c r="A5" s="114" t="s">
        <v>432</v>
      </c>
      <c r="B5" s="114" t="s">
        <v>433</v>
      </c>
      <c r="C5" s="114" t="s">
        <v>434</v>
      </c>
      <c r="D5" s="114" t="s">
        <v>435</v>
      </c>
      <c r="E5" s="114" t="s">
        <v>436</v>
      </c>
    </row>
    <row r="6" spans="1:34" ht="51" customHeight="1" x14ac:dyDescent="0.25">
      <c r="A6" s="115" t="s">
        <v>295</v>
      </c>
      <c r="B6" s="116">
        <v>21</v>
      </c>
      <c r="C6" s="117">
        <f>B109</f>
        <v>0.89800000000000002</v>
      </c>
      <c r="D6" s="118" t="str">
        <f>B110</f>
        <v>Très fiable (≥0.85) ✓</v>
      </c>
      <c r="E6" s="119"/>
    </row>
    <row r="7" spans="1:34" ht="38.25" customHeight="1" x14ac:dyDescent="0.25">
      <c r="A7" s="120" t="s">
        <v>296</v>
      </c>
      <c r="B7" s="116">
        <v>3</v>
      </c>
      <c r="C7" s="117">
        <f>B117</f>
        <v>0.66300000000000003</v>
      </c>
      <c r="D7" s="118" t="str">
        <f>B118</f>
        <v>Limite acceptable (0.60–0.69)</v>
      </c>
      <c r="E7" s="119"/>
    </row>
    <row r="8" spans="1:34" ht="51" customHeight="1" x14ac:dyDescent="0.25">
      <c r="A8" s="121" t="s">
        <v>297</v>
      </c>
      <c r="B8" s="116">
        <v>4</v>
      </c>
      <c r="C8" s="117">
        <f>B125</f>
        <v>0.316</v>
      </c>
      <c r="D8" s="118" t="str">
        <f>B126</f>
        <v>Insuffisant (&lt;0.60)</v>
      </c>
      <c r="E8" s="119"/>
    </row>
    <row r="9" spans="1:34" ht="38.25" customHeight="1" x14ac:dyDescent="0.25">
      <c r="A9" s="122" t="s">
        <v>298</v>
      </c>
      <c r="B9" s="116">
        <v>3</v>
      </c>
      <c r="C9" s="117">
        <f>B133</f>
        <v>0.45200000000000001</v>
      </c>
      <c r="D9" s="118" t="str">
        <f>B134</f>
        <v>Insuffisant (&lt;0.60)</v>
      </c>
      <c r="E9" s="119"/>
    </row>
    <row r="10" spans="1:34" ht="38.25" customHeight="1" x14ac:dyDescent="0.25">
      <c r="A10" s="123" t="s">
        <v>299</v>
      </c>
      <c r="B10" s="116">
        <v>5</v>
      </c>
      <c r="C10" s="117">
        <f>B141</f>
        <v>0.51100000000000001</v>
      </c>
      <c r="D10" s="118" t="str">
        <f>B142</f>
        <v>Insuffisant (&lt;0.60)</v>
      </c>
      <c r="E10" s="119"/>
    </row>
    <row r="13" spans="1:34" x14ac:dyDescent="0.25">
      <c r="A13" s="284" t="s">
        <v>437</v>
      </c>
      <c r="B13" s="254"/>
      <c r="C13" s="254"/>
      <c r="D13" s="254"/>
      <c r="E13" s="254"/>
      <c r="F13" s="254"/>
      <c r="G13" s="254"/>
      <c r="H13" s="254"/>
      <c r="I13" s="254"/>
      <c r="J13" s="254"/>
      <c r="K13" s="254"/>
      <c r="L13" s="254"/>
      <c r="M13" s="254"/>
      <c r="N13" s="254"/>
      <c r="O13" s="254"/>
      <c r="P13" s="254"/>
      <c r="Q13" s="254"/>
      <c r="R13" s="254"/>
      <c r="S13" s="254"/>
      <c r="T13" s="254"/>
      <c r="U13" s="254"/>
      <c r="V13" s="254"/>
      <c r="W13" s="254"/>
      <c r="X13" s="254"/>
      <c r="Y13" s="254"/>
      <c r="Z13" s="254"/>
    </row>
    <row r="14" spans="1:34" x14ac:dyDescent="0.25">
      <c r="A14" s="283" t="s">
        <v>438</v>
      </c>
      <c r="B14" s="254"/>
      <c r="C14" s="254"/>
      <c r="D14" s="254"/>
      <c r="E14" s="254"/>
      <c r="F14" s="254"/>
      <c r="G14" s="254"/>
      <c r="H14" s="254"/>
      <c r="I14" s="254"/>
      <c r="J14" s="254"/>
      <c r="K14" s="254"/>
      <c r="L14" s="254"/>
      <c r="M14" s="254"/>
      <c r="N14" s="254"/>
      <c r="O14" s="254"/>
      <c r="P14" s="254"/>
      <c r="Q14" s="254"/>
      <c r="R14" s="254"/>
      <c r="S14" s="254"/>
      <c r="T14" s="254"/>
      <c r="U14" s="254"/>
      <c r="V14" s="254"/>
      <c r="W14" s="254"/>
      <c r="X14" s="254"/>
      <c r="Y14" s="254"/>
      <c r="Z14" s="254"/>
    </row>
    <row r="15" spans="1:34" ht="60" customHeight="1" x14ac:dyDescent="0.25">
      <c r="A15" s="114" t="s">
        <v>439</v>
      </c>
      <c r="B15" s="124" t="s">
        <v>440</v>
      </c>
      <c r="C15" s="124" t="s">
        <v>441</v>
      </c>
      <c r="D15" s="124" t="s">
        <v>442</v>
      </c>
      <c r="E15" s="124" t="s">
        <v>443</v>
      </c>
      <c r="F15" s="124" t="s">
        <v>444</v>
      </c>
      <c r="G15" s="124" t="s">
        <v>445</v>
      </c>
      <c r="H15" s="124" t="s">
        <v>446</v>
      </c>
      <c r="I15" s="124" t="s">
        <v>447</v>
      </c>
      <c r="J15" s="124" t="s">
        <v>448</v>
      </c>
      <c r="K15" s="124" t="s">
        <v>449</v>
      </c>
      <c r="L15" s="124" t="s">
        <v>450</v>
      </c>
      <c r="M15" s="124" t="s">
        <v>451</v>
      </c>
      <c r="N15" s="124" t="s">
        <v>452</v>
      </c>
      <c r="O15" s="124" t="s">
        <v>453</v>
      </c>
      <c r="P15" s="124" t="s">
        <v>454</v>
      </c>
      <c r="Q15" s="124" t="s">
        <v>455</v>
      </c>
      <c r="R15" s="124" t="s">
        <v>456</v>
      </c>
      <c r="S15" s="124" t="s">
        <v>457</v>
      </c>
      <c r="T15" s="124" t="s">
        <v>458</v>
      </c>
      <c r="U15" s="124" t="s">
        <v>459</v>
      </c>
      <c r="V15" s="114" t="s">
        <v>460</v>
      </c>
      <c r="W15" s="124" t="s">
        <v>461</v>
      </c>
      <c r="X15" s="124" t="s">
        <v>462</v>
      </c>
      <c r="Y15" s="125" t="s">
        <v>463</v>
      </c>
      <c r="Z15" s="126" t="s">
        <v>464</v>
      </c>
      <c r="AA15" s="127" t="s">
        <v>465</v>
      </c>
      <c r="AB15" s="127" t="s">
        <v>466</v>
      </c>
      <c r="AC15" s="127" t="s">
        <v>467</v>
      </c>
      <c r="AD15" s="114" t="s">
        <v>468</v>
      </c>
      <c r="AE15" s="124" t="s">
        <v>469</v>
      </c>
      <c r="AF15" s="125" t="s">
        <v>470</v>
      </c>
      <c r="AG15" s="126" t="s">
        <v>471</v>
      </c>
      <c r="AH15" s="127" t="s">
        <v>472</v>
      </c>
    </row>
    <row r="16" spans="1:34" x14ac:dyDescent="0.25">
      <c r="A16" s="128">
        <v>1</v>
      </c>
      <c r="B16" s="129">
        <f>IFERROR(VALUE(LEFT(DONNEES_SOURCE!O2,1)),"")</f>
        <v>1</v>
      </c>
      <c r="C16" s="129">
        <f>IFERROR(VALUE(LEFT(DONNEES_SOURCE!P2,1)),"")</f>
        <v>2</v>
      </c>
      <c r="D16" s="129">
        <f>IFERROR(VALUE(LEFT(DONNEES_SOURCE!Q2,1)),"")</f>
        <v>2</v>
      </c>
      <c r="E16" s="129">
        <f>IFERROR(VALUE(LEFT(DONNEES_SOURCE!R2,1)),"")</f>
        <v>1</v>
      </c>
      <c r="F16" s="129">
        <f>IFERROR(VALUE(LEFT(DONNEES_SOURCE!S2,1)),"")</f>
        <v>2</v>
      </c>
      <c r="G16" s="129">
        <f>IFERROR(VALUE(LEFT(DONNEES_SOURCE!T2,1)),"")</f>
        <v>1</v>
      </c>
      <c r="H16" s="129">
        <f>IFERROR(VALUE(LEFT(DONNEES_SOURCE!U2,1)),"")</f>
        <v>1</v>
      </c>
      <c r="I16" s="129">
        <f>IFERROR(VALUE(LEFT(DONNEES_SOURCE!V2,1)),"")</f>
        <v>1</v>
      </c>
      <c r="J16" s="129">
        <f>IFERROR(VALUE(LEFT(DONNEES_SOURCE!W2,1)),"")</f>
        <v>2</v>
      </c>
      <c r="K16" s="129">
        <f>IFERROR(VALUE(LEFT(DONNEES_SOURCE!X2,1)),"")</f>
        <v>2</v>
      </c>
      <c r="L16" s="129">
        <f>IFERROR(VALUE(LEFT(DONNEES_SOURCE!Y2,1)),"")</f>
        <v>1</v>
      </c>
      <c r="M16" s="129">
        <f>IFERROR(VALUE(LEFT(DONNEES_SOURCE!Z2,1)),"")</f>
        <v>1</v>
      </c>
      <c r="N16" s="129">
        <f>IFERROR(VALUE(LEFT(DONNEES_SOURCE!AA2,1)),"")</f>
        <v>2</v>
      </c>
      <c r="O16" s="129">
        <f>IFERROR(VALUE(LEFT(DONNEES_SOURCE!AB2,1)),"")</f>
        <v>1</v>
      </c>
      <c r="P16" s="129">
        <f>IFERROR(VALUE(LEFT(DONNEES_SOURCE!AC2,1)),"")</f>
        <v>1</v>
      </c>
      <c r="Q16" s="129">
        <f>IFERROR(VALUE(LEFT(DONNEES_SOURCE!AD2,1)),"")</f>
        <v>1</v>
      </c>
      <c r="R16" s="129">
        <f>IFERROR(VALUE(LEFT(DONNEES_SOURCE!AE2,1)),"")</f>
        <v>1</v>
      </c>
      <c r="S16" s="129">
        <f>IFERROR(VALUE(LEFT(DONNEES_SOURCE!AF2,1)),"")</f>
        <v>2</v>
      </c>
      <c r="T16" s="129">
        <f>IFERROR(VALUE(LEFT(DONNEES_SOURCE!AG2,1)),"")</f>
        <v>2</v>
      </c>
      <c r="U16" s="129">
        <f>IFERROR(VALUE(LEFT(DONNEES_SOURCE!AH2,1)),"")</f>
        <v>1</v>
      </c>
      <c r="V16" s="130">
        <f>IFERROR(((DONNEES_SOURCE!AI2-1)*(4/6))+1,"")</f>
        <v>1.6666666666666665</v>
      </c>
      <c r="W16" s="128">
        <f>IFERROR(VALUE(LEFT(DONNEES_SOURCE!AJ2,1)),"")</f>
        <v>5</v>
      </c>
      <c r="X16" s="128">
        <f>IFERROR(VALUE(LEFT(DONNEES_SOURCE!AK2,1)),"")</f>
        <v>5</v>
      </c>
      <c r="Y16" s="128">
        <f>IFERROR(8-DONNEES_SOURCE!AL2,"")</f>
        <v>6</v>
      </c>
      <c r="Z16" s="128">
        <f>IFERROR(VALUE(LEFT(DONNEES_SOURCE!AW2,1)),"")</f>
        <v>4</v>
      </c>
      <c r="AA16" s="128">
        <f>IFERROR(8-VALUE(LEFT(DONNEES_SOURCE!AZ2,1)),"")</f>
        <v>6</v>
      </c>
      <c r="AB16" s="128">
        <f>IFERROR(8-DONNEES_SOURCE!BC2,"")</f>
        <v>7</v>
      </c>
      <c r="AC16" s="128">
        <f>IFERROR(8-DONNEES_SOURCE!BD2,"")</f>
        <v>7</v>
      </c>
      <c r="AD16" s="131">
        <f t="shared" ref="AD16:AD47" si="0">IFERROR(B16+C16+D16+E16+F16+G16+H16+I16+J16+K16+L16+M16+N16+O16+P16+Q16+R16+S16+T16+U16+V16,"")</f>
        <v>29.666666666666668</v>
      </c>
      <c r="AE16" s="131">
        <f t="shared" ref="AE16:AE47" si="1">IFERROR(W16+X16+Y16,"")</f>
        <v>16</v>
      </c>
      <c r="AF16" s="131">
        <f>IFERROR(DONNEES_SOURCE!AM2+DONNEES_SOURCE!AN2+DONNEES_SOURCE!AO2+DONNEES_SOURCE!AP2,"")</f>
        <v>25</v>
      </c>
      <c r="AG16" s="131">
        <f>IFERROR(Z16+DONNEES_SOURCE!AX2+DONNEES_SOURCE!AY2,"")</f>
        <v>18</v>
      </c>
      <c r="AH16" s="131">
        <f>IFERROR(AA16+DONNEES_SOURCE!BA2+DONNEES_SOURCE!BB2+AB16+AC16,"")</f>
        <v>33</v>
      </c>
    </row>
    <row r="17" spans="1:34" x14ac:dyDescent="0.25">
      <c r="A17" s="132">
        <v>2</v>
      </c>
      <c r="B17" s="133">
        <f>IFERROR(VALUE(LEFT(DONNEES_SOURCE!O3,1)),"")</f>
        <v>1</v>
      </c>
      <c r="C17" s="133">
        <f>IFERROR(VALUE(LEFT(DONNEES_SOURCE!P3,1)),"")</f>
        <v>2</v>
      </c>
      <c r="D17" s="133">
        <f>IFERROR(VALUE(LEFT(DONNEES_SOURCE!Q3,1)),"")</f>
        <v>5</v>
      </c>
      <c r="E17" s="133">
        <f>IFERROR(VALUE(LEFT(DONNEES_SOURCE!R3,1)),"")</f>
        <v>2</v>
      </c>
      <c r="F17" s="133">
        <f>IFERROR(VALUE(LEFT(DONNEES_SOURCE!S3,1)),"")</f>
        <v>2</v>
      </c>
      <c r="G17" s="133">
        <f>IFERROR(VALUE(LEFT(DONNEES_SOURCE!T3,1)),"")</f>
        <v>1</v>
      </c>
      <c r="H17" s="133">
        <f>IFERROR(VALUE(LEFT(DONNEES_SOURCE!U3,1)),"")</f>
        <v>1</v>
      </c>
      <c r="I17" s="133">
        <f>IFERROR(VALUE(LEFT(DONNEES_SOURCE!V3,1)),"")</f>
        <v>1</v>
      </c>
      <c r="J17" s="133">
        <f>IFERROR(VALUE(LEFT(DONNEES_SOURCE!W3,1)),"")</f>
        <v>1</v>
      </c>
      <c r="K17" s="133">
        <f>IFERROR(VALUE(LEFT(DONNEES_SOURCE!X3,1)),"")</f>
        <v>3</v>
      </c>
      <c r="L17" s="133">
        <f>IFERROR(VALUE(LEFT(DONNEES_SOURCE!Y3,1)),"")</f>
        <v>1</v>
      </c>
      <c r="M17" s="133">
        <f>IFERROR(VALUE(LEFT(DONNEES_SOURCE!Z3,1)),"")</f>
        <v>2</v>
      </c>
      <c r="N17" s="133">
        <f>IFERROR(VALUE(LEFT(DONNEES_SOURCE!AA3,1)),"")</f>
        <v>5</v>
      </c>
      <c r="O17" s="133">
        <f>IFERROR(VALUE(LEFT(DONNEES_SOURCE!AB3,1)),"")</f>
        <v>2</v>
      </c>
      <c r="P17" s="133">
        <f>IFERROR(VALUE(LEFT(DONNEES_SOURCE!AC3,1)),"")</f>
        <v>2</v>
      </c>
      <c r="Q17" s="133">
        <f>IFERROR(VALUE(LEFT(DONNEES_SOURCE!AD3,1)),"")</f>
        <v>1</v>
      </c>
      <c r="R17" s="133">
        <f>IFERROR(VALUE(LEFT(DONNEES_SOURCE!AE3,1)),"")</f>
        <v>1</v>
      </c>
      <c r="S17" s="133">
        <f>IFERROR(VALUE(LEFT(DONNEES_SOURCE!AF3,1)),"")</f>
        <v>1</v>
      </c>
      <c r="T17" s="133">
        <f>IFERROR(VALUE(LEFT(DONNEES_SOURCE!AG3,1)),"")</f>
        <v>1</v>
      </c>
      <c r="U17" s="133">
        <f>IFERROR(VALUE(LEFT(DONNEES_SOURCE!AH3,1)),"")</f>
        <v>3</v>
      </c>
      <c r="V17" s="134">
        <f>IFERROR(((DONNEES_SOURCE!AI3-1)*(4/6))+1,"")</f>
        <v>4.333333333333333</v>
      </c>
      <c r="W17" s="132">
        <f>IFERROR(VALUE(LEFT(DONNEES_SOURCE!AJ3,1)),"")</f>
        <v>5</v>
      </c>
      <c r="X17" s="132">
        <f>IFERROR(VALUE(LEFT(DONNEES_SOURCE!AK3,1)),"")</f>
        <v>6</v>
      </c>
      <c r="Y17" s="132">
        <f>IFERROR(8-DONNEES_SOURCE!AL3,"")</f>
        <v>4</v>
      </c>
      <c r="Z17" s="132">
        <f>IFERROR(VALUE(LEFT(DONNEES_SOURCE!AW3,1)),"")</f>
        <v>3</v>
      </c>
      <c r="AA17" s="132">
        <f>IFERROR(8-VALUE(LEFT(DONNEES_SOURCE!AZ3,1)),"")</f>
        <v>5</v>
      </c>
      <c r="AB17" s="132">
        <f>IFERROR(8-DONNEES_SOURCE!BC3,"")</f>
        <v>3</v>
      </c>
      <c r="AC17" s="132">
        <f>IFERROR(8-DONNEES_SOURCE!BD3,"")</f>
        <v>5</v>
      </c>
      <c r="AD17" s="135">
        <f t="shared" si="0"/>
        <v>42.333333333333336</v>
      </c>
      <c r="AE17" s="135">
        <f t="shared" si="1"/>
        <v>15</v>
      </c>
      <c r="AF17" s="135">
        <f>IFERROR(DONNEES_SOURCE!AM3+DONNEES_SOURCE!AN3+DONNEES_SOURCE!AO3+DONNEES_SOURCE!AP3,"")</f>
        <v>25</v>
      </c>
      <c r="AG17" s="135">
        <f>IFERROR(Z17+DONNEES_SOURCE!AX3+DONNEES_SOURCE!AY3,"")</f>
        <v>13</v>
      </c>
      <c r="AH17" s="135">
        <f>IFERROR(AA17+DONNEES_SOURCE!BA3+DONNEES_SOURCE!BB3+AB17+AC17,"")</f>
        <v>24</v>
      </c>
    </row>
    <row r="18" spans="1:34" x14ac:dyDescent="0.25">
      <c r="A18" s="128">
        <v>3</v>
      </c>
      <c r="B18" s="129">
        <f>IFERROR(VALUE(LEFT(DONNEES_SOURCE!O4,1)),"")</f>
        <v>4</v>
      </c>
      <c r="C18" s="129">
        <f>IFERROR(VALUE(LEFT(DONNEES_SOURCE!P4,1)),"")</f>
        <v>4</v>
      </c>
      <c r="D18" s="129">
        <f>IFERROR(VALUE(LEFT(DONNEES_SOURCE!Q4,1)),"")</f>
        <v>5</v>
      </c>
      <c r="E18" s="129">
        <f>IFERROR(VALUE(LEFT(DONNEES_SOURCE!R4,1)),"")</f>
        <v>2</v>
      </c>
      <c r="F18" s="129">
        <f>IFERROR(VALUE(LEFT(DONNEES_SOURCE!S4,1)),"")</f>
        <v>2</v>
      </c>
      <c r="G18" s="129">
        <f>IFERROR(VALUE(LEFT(DONNEES_SOURCE!T4,1)),"")</f>
        <v>3</v>
      </c>
      <c r="H18" s="129">
        <f>IFERROR(VALUE(LEFT(DONNEES_SOURCE!U4,1)),"")</f>
        <v>3</v>
      </c>
      <c r="I18" s="129">
        <f>IFERROR(VALUE(LEFT(DONNEES_SOURCE!V4,1)),"")</f>
        <v>3</v>
      </c>
      <c r="J18" s="129">
        <f>IFERROR(VALUE(LEFT(DONNEES_SOURCE!W4,1)),"")</f>
        <v>3</v>
      </c>
      <c r="K18" s="129">
        <f>IFERROR(VALUE(LEFT(DONNEES_SOURCE!X4,1)),"")</f>
        <v>4</v>
      </c>
      <c r="L18" s="129">
        <f>IFERROR(VALUE(LEFT(DONNEES_SOURCE!Y4,1)),"")</f>
        <v>4</v>
      </c>
      <c r="M18" s="129">
        <f>IFERROR(VALUE(LEFT(DONNEES_SOURCE!Z4,1)),"")</f>
        <v>4</v>
      </c>
      <c r="N18" s="129">
        <f>IFERROR(VALUE(LEFT(DONNEES_SOURCE!AA4,1)),"")</f>
        <v>4</v>
      </c>
      <c r="O18" s="129">
        <f>IFERROR(VALUE(LEFT(DONNEES_SOURCE!AB4,1)),"")</f>
        <v>4</v>
      </c>
      <c r="P18" s="129">
        <f>IFERROR(VALUE(LEFT(DONNEES_SOURCE!AC4,1)),"")</f>
        <v>2</v>
      </c>
      <c r="Q18" s="129">
        <f>IFERROR(VALUE(LEFT(DONNEES_SOURCE!AD4,1)),"")</f>
        <v>2</v>
      </c>
      <c r="R18" s="129">
        <f>IFERROR(VALUE(LEFT(DONNEES_SOURCE!AE4,1)),"")</f>
        <v>2</v>
      </c>
      <c r="S18" s="129">
        <f>IFERROR(VALUE(LEFT(DONNEES_SOURCE!AF4,1)),"")</f>
        <v>2</v>
      </c>
      <c r="T18" s="129">
        <f>IFERROR(VALUE(LEFT(DONNEES_SOURCE!AG4,1)),"")</f>
        <v>4</v>
      </c>
      <c r="U18" s="129">
        <f>IFERROR(VALUE(LEFT(DONNEES_SOURCE!AH4,1)),"")</f>
        <v>4</v>
      </c>
      <c r="V18" s="130">
        <f>IFERROR(((DONNEES_SOURCE!AI4-1)*(4/6))+1,"")</f>
        <v>5</v>
      </c>
      <c r="W18" s="128">
        <f>IFERROR(VALUE(LEFT(DONNEES_SOURCE!AJ4,1)),"")</f>
        <v>5</v>
      </c>
      <c r="X18" s="128">
        <f>IFERROR(VALUE(LEFT(DONNEES_SOURCE!AK4,1)),"")</f>
        <v>1</v>
      </c>
      <c r="Y18" s="128">
        <f>IFERROR(8-DONNEES_SOURCE!AL4,"")</f>
        <v>3</v>
      </c>
      <c r="Z18" s="128">
        <f>IFERROR(VALUE(LEFT(DONNEES_SOURCE!AW4,1)),"")</f>
        <v>5</v>
      </c>
      <c r="AA18" s="128">
        <f>IFERROR(8-VALUE(LEFT(DONNEES_SOURCE!AZ4,1)),"")</f>
        <v>4</v>
      </c>
      <c r="AB18" s="128">
        <f>IFERROR(8-DONNEES_SOURCE!BC4,"")</f>
        <v>2</v>
      </c>
      <c r="AC18" s="128">
        <f>IFERROR(8-DONNEES_SOURCE!BD4,"")</f>
        <v>4</v>
      </c>
      <c r="AD18" s="131">
        <f t="shared" si="0"/>
        <v>70</v>
      </c>
      <c r="AE18" s="131">
        <f t="shared" si="1"/>
        <v>9</v>
      </c>
      <c r="AF18" s="131">
        <f>IFERROR(DONNEES_SOURCE!AM4+DONNEES_SOURCE!AN4+DONNEES_SOURCE!AO4+DONNEES_SOURCE!AP4,"")</f>
        <v>15</v>
      </c>
      <c r="AG18" s="131">
        <f>IFERROR(Z18+DONNEES_SOURCE!AX4+DONNEES_SOURCE!AY4,"")</f>
        <v>16</v>
      </c>
      <c r="AH18" s="131">
        <f>IFERROR(AA18+DONNEES_SOURCE!BA4+DONNEES_SOURCE!BB4+AB18+AC18,"")</f>
        <v>19</v>
      </c>
    </row>
    <row r="19" spans="1:34" x14ac:dyDescent="0.25">
      <c r="A19" s="132">
        <v>4</v>
      </c>
      <c r="B19" s="133">
        <f>IFERROR(VALUE(LEFT(DONNEES_SOURCE!O5,1)),"")</f>
        <v>5</v>
      </c>
      <c r="C19" s="133">
        <f>IFERROR(VALUE(LEFT(DONNEES_SOURCE!P5,1)),"")</f>
        <v>5</v>
      </c>
      <c r="D19" s="133">
        <f>IFERROR(VALUE(LEFT(DONNEES_SOURCE!Q5,1)),"")</f>
        <v>5</v>
      </c>
      <c r="E19" s="133">
        <f>IFERROR(VALUE(LEFT(DONNEES_SOURCE!R5,1)),"")</f>
        <v>3</v>
      </c>
      <c r="F19" s="133">
        <f>IFERROR(VALUE(LEFT(DONNEES_SOURCE!S5,1)),"")</f>
        <v>5</v>
      </c>
      <c r="G19" s="133">
        <f>IFERROR(VALUE(LEFT(DONNEES_SOURCE!T5,1)),"")</f>
        <v>3</v>
      </c>
      <c r="H19" s="133">
        <f>IFERROR(VALUE(LEFT(DONNEES_SOURCE!U5,1)),"")</f>
        <v>3</v>
      </c>
      <c r="I19" s="133">
        <f>IFERROR(VALUE(LEFT(DONNEES_SOURCE!V5,1)),"")</f>
        <v>3</v>
      </c>
      <c r="J19" s="133">
        <f>IFERROR(VALUE(LEFT(DONNEES_SOURCE!W5,1)),"")</f>
        <v>4</v>
      </c>
      <c r="K19" s="133">
        <f>IFERROR(VALUE(LEFT(DONNEES_SOURCE!X5,1)),"")</f>
        <v>5</v>
      </c>
      <c r="L19" s="133">
        <f>IFERROR(VALUE(LEFT(DONNEES_SOURCE!Y5,1)),"")</f>
        <v>5</v>
      </c>
      <c r="M19" s="133">
        <f>IFERROR(VALUE(LEFT(DONNEES_SOURCE!Z5,1)),"")</f>
        <v>4</v>
      </c>
      <c r="N19" s="133">
        <f>IFERROR(VALUE(LEFT(DONNEES_SOURCE!AA5,1)),"")</f>
        <v>5</v>
      </c>
      <c r="O19" s="133">
        <f>IFERROR(VALUE(LEFT(DONNEES_SOURCE!AB5,1)),"")</f>
        <v>4</v>
      </c>
      <c r="P19" s="133">
        <f>IFERROR(VALUE(LEFT(DONNEES_SOURCE!AC5,1)),"")</f>
        <v>5</v>
      </c>
      <c r="Q19" s="133">
        <f>IFERROR(VALUE(LEFT(DONNEES_SOURCE!AD5,1)),"")</f>
        <v>3</v>
      </c>
      <c r="R19" s="133">
        <f>IFERROR(VALUE(LEFT(DONNEES_SOURCE!AE5,1)),"")</f>
        <v>3</v>
      </c>
      <c r="S19" s="133">
        <f>IFERROR(VALUE(LEFT(DONNEES_SOURCE!AF5,1)),"")</f>
        <v>3</v>
      </c>
      <c r="T19" s="133">
        <f>IFERROR(VALUE(LEFT(DONNEES_SOURCE!AG5,1)),"")</f>
        <v>3</v>
      </c>
      <c r="U19" s="133">
        <f>IFERROR(VALUE(LEFT(DONNEES_SOURCE!AH5,1)),"")</f>
        <v>5</v>
      </c>
      <c r="V19" s="134">
        <f>IFERROR(((DONNEES_SOURCE!AI5-1)*(4/6))+1,"")</f>
        <v>5</v>
      </c>
      <c r="W19" s="132">
        <f>IFERROR(VALUE(LEFT(DONNEES_SOURCE!AJ5,1)),"")</f>
        <v>6</v>
      </c>
      <c r="X19" s="132">
        <f>IFERROR(VALUE(LEFT(DONNEES_SOURCE!AK5,1)),"")</f>
        <v>6</v>
      </c>
      <c r="Y19" s="132">
        <f>IFERROR(8-DONNEES_SOURCE!AL5,"")</f>
        <v>4</v>
      </c>
      <c r="Z19" s="132">
        <f>IFERROR(VALUE(LEFT(DONNEES_SOURCE!AW5,1)),"")</f>
        <v>3</v>
      </c>
      <c r="AA19" s="132">
        <f>IFERROR(8-VALUE(LEFT(DONNEES_SOURCE!AZ5,1)),"")</f>
        <v>4</v>
      </c>
      <c r="AB19" s="132">
        <f>IFERROR(8-DONNEES_SOURCE!BC5,"")</f>
        <v>2</v>
      </c>
      <c r="AC19" s="132">
        <f>IFERROR(8-DONNEES_SOURCE!BD5,"")</f>
        <v>4</v>
      </c>
      <c r="AD19" s="135">
        <f t="shared" si="0"/>
        <v>86</v>
      </c>
      <c r="AE19" s="135">
        <f t="shared" si="1"/>
        <v>16</v>
      </c>
      <c r="AF19" s="135">
        <f>IFERROR(DONNEES_SOURCE!AM5+DONNEES_SOURCE!AN5+DONNEES_SOURCE!AO5+DONNEES_SOURCE!AP5,"")</f>
        <v>22</v>
      </c>
      <c r="AG19" s="135">
        <f>IFERROR(Z19+DONNEES_SOURCE!AX5+DONNEES_SOURCE!AY5,"")</f>
        <v>12</v>
      </c>
      <c r="AH19" s="135">
        <f>IFERROR(AA19+DONNEES_SOURCE!BA5+DONNEES_SOURCE!BB5+AB19+AC19,"")</f>
        <v>20</v>
      </c>
    </row>
    <row r="20" spans="1:34" x14ac:dyDescent="0.25">
      <c r="A20" s="128">
        <v>5</v>
      </c>
      <c r="B20" s="129">
        <f>IFERROR(VALUE(LEFT(DONNEES_SOURCE!O6,1)),"")</f>
        <v>5</v>
      </c>
      <c r="C20" s="129">
        <f>IFERROR(VALUE(LEFT(DONNEES_SOURCE!P6,1)),"")</f>
        <v>5</v>
      </c>
      <c r="D20" s="129">
        <f>IFERROR(VALUE(LEFT(DONNEES_SOURCE!Q6,1)),"")</f>
        <v>4</v>
      </c>
      <c r="E20" s="129">
        <f>IFERROR(VALUE(LEFT(DONNEES_SOURCE!R6,1)),"")</f>
        <v>5</v>
      </c>
      <c r="F20" s="129">
        <f>IFERROR(VALUE(LEFT(DONNEES_SOURCE!S6,1)),"")</f>
        <v>5</v>
      </c>
      <c r="G20" s="129">
        <f>IFERROR(VALUE(LEFT(DONNEES_SOURCE!T6,1)),"")</f>
        <v>4</v>
      </c>
      <c r="H20" s="129">
        <f>IFERROR(VALUE(LEFT(DONNEES_SOURCE!U6,1)),"")</f>
        <v>1</v>
      </c>
      <c r="I20" s="129">
        <f>IFERROR(VALUE(LEFT(DONNEES_SOURCE!V6,1)),"")</f>
        <v>4</v>
      </c>
      <c r="J20" s="129">
        <f>IFERROR(VALUE(LEFT(DONNEES_SOURCE!W6,1)),"")</f>
        <v>4</v>
      </c>
      <c r="K20" s="129">
        <f>IFERROR(VALUE(LEFT(DONNEES_SOURCE!X6,1)),"")</f>
        <v>5</v>
      </c>
      <c r="L20" s="129">
        <f>IFERROR(VALUE(LEFT(DONNEES_SOURCE!Y6,1)),"")</f>
        <v>5</v>
      </c>
      <c r="M20" s="129">
        <f>IFERROR(VALUE(LEFT(DONNEES_SOURCE!Z6,1)),"")</f>
        <v>5</v>
      </c>
      <c r="N20" s="129">
        <f>IFERROR(VALUE(LEFT(DONNEES_SOURCE!AA6,1)),"")</f>
        <v>5</v>
      </c>
      <c r="O20" s="129">
        <f>IFERROR(VALUE(LEFT(DONNEES_SOURCE!AB6,1)),"")</f>
        <v>5</v>
      </c>
      <c r="P20" s="129">
        <f>IFERROR(VALUE(LEFT(DONNEES_SOURCE!AC6,1)),"")</f>
        <v>5</v>
      </c>
      <c r="Q20" s="129">
        <f>IFERROR(VALUE(LEFT(DONNEES_SOURCE!AD6,1)),"")</f>
        <v>5</v>
      </c>
      <c r="R20" s="129">
        <f>IFERROR(VALUE(LEFT(DONNEES_SOURCE!AE6,1)),"")</f>
        <v>5</v>
      </c>
      <c r="S20" s="129">
        <f>IFERROR(VALUE(LEFT(DONNEES_SOURCE!AF6,1)),"")</f>
        <v>5</v>
      </c>
      <c r="T20" s="129">
        <f>IFERROR(VALUE(LEFT(DONNEES_SOURCE!AG6,1)),"")</f>
        <v>5</v>
      </c>
      <c r="U20" s="129">
        <f>IFERROR(VALUE(LEFT(DONNEES_SOURCE!AH6,1)),"")</f>
        <v>5</v>
      </c>
      <c r="V20" s="130">
        <f>IFERROR(((DONNEES_SOURCE!AI6-1)*(4/6))+1,"")</f>
        <v>4.333333333333333</v>
      </c>
      <c r="W20" s="128">
        <f>IFERROR(VALUE(LEFT(DONNEES_SOURCE!AJ6,1)),"")</f>
        <v>6</v>
      </c>
      <c r="X20" s="128">
        <f>IFERROR(VALUE(LEFT(DONNEES_SOURCE!AK6,1)),"")</f>
        <v>6</v>
      </c>
      <c r="Y20" s="128">
        <f>IFERROR(8-DONNEES_SOURCE!AL6,"")</f>
        <v>5</v>
      </c>
      <c r="Z20" s="128">
        <f>IFERROR(VALUE(LEFT(DONNEES_SOURCE!AW6,1)),"")</f>
        <v>1</v>
      </c>
      <c r="AA20" s="128">
        <f>IFERROR(8-VALUE(LEFT(DONNEES_SOURCE!AZ6,1)),"")</f>
        <v>3</v>
      </c>
      <c r="AB20" s="128">
        <f>IFERROR(8-DONNEES_SOURCE!BC6,"")</f>
        <v>3</v>
      </c>
      <c r="AC20" s="128">
        <f>IFERROR(8-DONNEES_SOURCE!BD6,"")</f>
        <v>6</v>
      </c>
      <c r="AD20" s="131">
        <f t="shared" si="0"/>
        <v>96.333333333333329</v>
      </c>
      <c r="AE20" s="131">
        <f t="shared" si="1"/>
        <v>17</v>
      </c>
      <c r="AF20" s="131">
        <f>IFERROR(DONNEES_SOURCE!AM6+DONNEES_SOURCE!AN6+DONNEES_SOURCE!AO6+DONNEES_SOURCE!AP6,"")</f>
        <v>22</v>
      </c>
      <c r="AG20" s="131">
        <f>IFERROR(Z20+DONNEES_SOURCE!AX6+DONNEES_SOURCE!AY6,"")</f>
        <v>12</v>
      </c>
      <c r="AH20" s="131">
        <f>IFERROR(AA20+DONNEES_SOURCE!BA6+DONNEES_SOURCE!BB6+AB20+AC20,"")</f>
        <v>22</v>
      </c>
    </row>
    <row r="21" spans="1:34" x14ac:dyDescent="0.25">
      <c r="A21" s="132">
        <v>6</v>
      </c>
      <c r="B21" s="133">
        <f>IFERROR(VALUE(LEFT(DONNEES_SOURCE!O7,1)),"")</f>
        <v>3</v>
      </c>
      <c r="C21" s="133">
        <f>IFERROR(VALUE(LEFT(DONNEES_SOURCE!P7,1)),"")</f>
        <v>5</v>
      </c>
      <c r="D21" s="133">
        <f>IFERROR(VALUE(LEFT(DONNEES_SOURCE!Q7,1)),"")</f>
        <v>5</v>
      </c>
      <c r="E21" s="133">
        <f>IFERROR(VALUE(LEFT(DONNEES_SOURCE!R7,1)),"")</f>
        <v>3</v>
      </c>
      <c r="F21" s="133">
        <f>IFERROR(VALUE(LEFT(DONNEES_SOURCE!S7,1)),"")</f>
        <v>1</v>
      </c>
      <c r="G21" s="133">
        <f>IFERROR(VALUE(LEFT(DONNEES_SOURCE!T7,1)),"")</f>
        <v>1</v>
      </c>
      <c r="H21" s="133">
        <f>IFERROR(VALUE(LEFT(DONNEES_SOURCE!U7,1)),"")</f>
        <v>1</v>
      </c>
      <c r="I21" s="133">
        <f>IFERROR(VALUE(LEFT(DONNEES_SOURCE!V7,1)),"")</f>
        <v>1</v>
      </c>
      <c r="J21" s="133">
        <f>IFERROR(VALUE(LEFT(DONNEES_SOURCE!W7,1)),"")</f>
        <v>1</v>
      </c>
      <c r="K21" s="133">
        <f>IFERROR(VALUE(LEFT(DONNEES_SOURCE!X7,1)),"")</f>
        <v>4</v>
      </c>
      <c r="L21" s="133">
        <f>IFERROR(VALUE(LEFT(DONNEES_SOURCE!Y7,1)),"")</f>
        <v>4</v>
      </c>
      <c r="M21" s="133">
        <f>IFERROR(VALUE(LEFT(DONNEES_SOURCE!Z7,1)),"")</f>
        <v>5</v>
      </c>
      <c r="N21" s="133">
        <f>IFERROR(VALUE(LEFT(DONNEES_SOURCE!AA7,1)),"")</f>
        <v>5</v>
      </c>
      <c r="O21" s="133">
        <f>IFERROR(VALUE(LEFT(DONNEES_SOURCE!AB7,1)),"")</f>
        <v>3</v>
      </c>
      <c r="P21" s="133">
        <f>IFERROR(VALUE(LEFT(DONNEES_SOURCE!AC7,1)),"")</f>
        <v>1</v>
      </c>
      <c r="Q21" s="133">
        <f>IFERROR(VALUE(LEFT(DONNEES_SOURCE!AD7,1)),"")</f>
        <v>1</v>
      </c>
      <c r="R21" s="133">
        <f>IFERROR(VALUE(LEFT(DONNEES_SOURCE!AE7,1)),"")</f>
        <v>1</v>
      </c>
      <c r="S21" s="133">
        <f>IFERROR(VALUE(LEFT(DONNEES_SOURCE!AF7,1)),"")</f>
        <v>1</v>
      </c>
      <c r="T21" s="133">
        <f>IFERROR(VALUE(LEFT(DONNEES_SOURCE!AG7,1)),"")</f>
        <v>1</v>
      </c>
      <c r="U21" s="133">
        <f>IFERROR(VALUE(LEFT(DONNEES_SOURCE!AH7,1)),"")</f>
        <v>1</v>
      </c>
      <c r="V21" s="134">
        <f>IFERROR(((DONNEES_SOURCE!AI7-1)*(4/6))+1,"")</f>
        <v>3.6666666666666665</v>
      </c>
      <c r="W21" s="132">
        <f>IFERROR(VALUE(LEFT(DONNEES_SOURCE!AJ7,1)),"")</f>
        <v>5</v>
      </c>
      <c r="X21" s="132">
        <f>IFERROR(VALUE(LEFT(DONNEES_SOURCE!AK7,1)),"")</f>
        <v>5</v>
      </c>
      <c r="Y21" s="132">
        <f>IFERROR(8-DONNEES_SOURCE!AL7,"")</f>
        <v>3</v>
      </c>
      <c r="Z21" s="132">
        <f>IFERROR(VALUE(LEFT(DONNEES_SOURCE!AW7,1)),"")</f>
        <v>4</v>
      </c>
      <c r="AA21" s="132">
        <f>IFERROR(8-VALUE(LEFT(DONNEES_SOURCE!AZ7,1)),"")</f>
        <v>6</v>
      </c>
      <c r="AB21" s="132">
        <f>IFERROR(8-DONNEES_SOURCE!BC7,"")</f>
        <v>3</v>
      </c>
      <c r="AC21" s="132">
        <f>IFERROR(8-DONNEES_SOURCE!BD7,"")</f>
        <v>6</v>
      </c>
      <c r="AD21" s="135">
        <f t="shared" si="0"/>
        <v>51.666666666666664</v>
      </c>
      <c r="AE21" s="135">
        <f t="shared" si="1"/>
        <v>13</v>
      </c>
      <c r="AF21" s="135">
        <f>IFERROR(DONNEES_SOURCE!AM7+DONNEES_SOURCE!AN7+DONNEES_SOURCE!AO7+DONNEES_SOURCE!AP7,"")</f>
        <v>16</v>
      </c>
      <c r="AG21" s="135">
        <f>IFERROR(Z21+DONNEES_SOURCE!AX7+DONNEES_SOURCE!AY7,"")</f>
        <v>16</v>
      </c>
      <c r="AH21" s="135">
        <f>IFERROR(AA21+DONNEES_SOURCE!BA7+DONNEES_SOURCE!BB7+AB21+AC21,"")</f>
        <v>27</v>
      </c>
    </row>
    <row r="22" spans="1:34" x14ac:dyDescent="0.25">
      <c r="A22" s="128">
        <v>7</v>
      </c>
      <c r="B22" s="129">
        <f>IFERROR(VALUE(LEFT(DONNEES_SOURCE!O8,1)),"")</f>
        <v>3</v>
      </c>
      <c r="C22" s="129">
        <f>IFERROR(VALUE(LEFT(DONNEES_SOURCE!P8,1)),"")</f>
        <v>5</v>
      </c>
      <c r="D22" s="129">
        <f>IFERROR(VALUE(LEFT(DONNEES_SOURCE!Q8,1)),"")</f>
        <v>4</v>
      </c>
      <c r="E22" s="129">
        <f>IFERROR(VALUE(LEFT(DONNEES_SOURCE!R8,1)),"")</f>
        <v>4</v>
      </c>
      <c r="F22" s="129">
        <f>IFERROR(VALUE(LEFT(DONNEES_SOURCE!S8,1)),"")</f>
        <v>3</v>
      </c>
      <c r="G22" s="129">
        <f>IFERROR(VALUE(LEFT(DONNEES_SOURCE!T8,1)),"")</f>
        <v>1</v>
      </c>
      <c r="H22" s="129">
        <f>IFERROR(VALUE(LEFT(DONNEES_SOURCE!U8,1)),"")</f>
        <v>1</v>
      </c>
      <c r="I22" s="129">
        <f>IFERROR(VALUE(LEFT(DONNEES_SOURCE!V8,1)),"")</f>
        <v>1</v>
      </c>
      <c r="J22" s="129">
        <f>IFERROR(VALUE(LEFT(DONNEES_SOURCE!W8,1)),"")</f>
        <v>3</v>
      </c>
      <c r="K22" s="129">
        <f>IFERROR(VALUE(LEFT(DONNEES_SOURCE!X8,1)),"")</f>
        <v>4</v>
      </c>
      <c r="L22" s="129">
        <f>IFERROR(VALUE(LEFT(DONNEES_SOURCE!Y8,1)),"")</f>
        <v>3</v>
      </c>
      <c r="M22" s="129">
        <f>IFERROR(VALUE(LEFT(DONNEES_SOURCE!Z8,1)),"")</f>
        <v>4</v>
      </c>
      <c r="N22" s="129">
        <f>IFERROR(VALUE(LEFT(DONNEES_SOURCE!AA8,1)),"")</f>
        <v>4</v>
      </c>
      <c r="O22" s="129">
        <f>IFERROR(VALUE(LEFT(DONNEES_SOURCE!AB8,1)),"")</f>
        <v>4</v>
      </c>
      <c r="P22" s="129">
        <f>IFERROR(VALUE(LEFT(DONNEES_SOURCE!AC8,1)),"")</f>
        <v>3</v>
      </c>
      <c r="Q22" s="129">
        <f>IFERROR(VALUE(LEFT(DONNEES_SOURCE!AD8,1)),"")</f>
        <v>1</v>
      </c>
      <c r="R22" s="129">
        <f>IFERROR(VALUE(LEFT(DONNEES_SOURCE!AE8,1)),"")</f>
        <v>1</v>
      </c>
      <c r="S22" s="129">
        <f>IFERROR(VALUE(LEFT(DONNEES_SOURCE!AF8,1)),"")</f>
        <v>1</v>
      </c>
      <c r="T22" s="129">
        <f>IFERROR(VALUE(LEFT(DONNEES_SOURCE!AG8,1)),"")</f>
        <v>3</v>
      </c>
      <c r="U22" s="129">
        <f>IFERROR(VALUE(LEFT(DONNEES_SOURCE!AH8,1)),"")</f>
        <v>4</v>
      </c>
      <c r="V22" s="130">
        <f>IFERROR(((DONNEES_SOURCE!AI8-1)*(4/6))+1,"")</f>
        <v>3.6666666666666665</v>
      </c>
      <c r="W22" s="128">
        <f>IFERROR(VALUE(LEFT(DONNEES_SOURCE!AJ8,1)),"")</f>
        <v>6</v>
      </c>
      <c r="X22" s="128">
        <f>IFERROR(VALUE(LEFT(DONNEES_SOURCE!AK8,1)),"")</f>
        <v>3</v>
      </c>
      <c r="Y22" s="128">
        <f>IFERROR(8-DONNEES_SOURCE!AL8,"")</f>
        <v>2</v>
      </c>
      <c r="Z22" s="128">
        <f>IFERROR(VALUE(LEFT(DONNEES_SOURCE!AW8,1)),"")</f>
        <v>4</v>
      </c>
      <c r="AA22" s="128">
        <f>IFERROR(8-VALUE(LEFT(DONNEES_SOURCE!AZ8,1)),"")</f>
        <v>6</v>
      </c>
      <c r="AB22" s="128">
        <f>IFERROR(8-DONNEES_SOURCE!BC8,"")</f>
        <v>3</v>
      </c>
      <c r="AC22" s="128">
        <f>IFERROR(8-DONNEES_SOURCE!BD8,"")</f>
        <v>6</v>
      </c>
      <c r="AD22" s="131">
        <f t="shared" si="0"/>
        <v>60.666666666666664</v>
      </c>
      <c r="AE22" s="131">
        <f t="shared" si="1"/>
        <v>11</v>
      </c>
      <c r="AF22" s="131">
        <f>IFERROR(DONNEES_SOURCE!AM8+DONNEES_SOURCE!AN8+DONNEES_SOURCE!AO8+DONNEES_SOURCE!AP8,"")</f>
        <v>21</v>
      </c>
      <c r="AG22" s="131">
        <f>IFERROR(Z22+DONNEES_SOURCE!AX8+DONNEES_SOURCE!AY8,"")</f>
        <v>12</v>
      </c>
      <c r="AH22" s="131">
        <f>IFERROR(AA22+DONNEES_SOURCE!BA8+DONNEES_SOURCE!BB8+AB22+AC22,"")</f>
        <v>27</v>
      </c>
    </row>
    <row r="23" spans="1:34" x14ac:dyDescent="0.25">
      <c r="A23" s="132">
        <v>8</v>
      </c>
      <c r="B23" s="133">
        <f>IFERROR(VALUE(LEFT(DONNEES_SOURCE!O9,1)),"")</f>
        <v>4</v>
      </c>
      <c r="C23" s="133">
        <f>IFERROR(VALUE(LEFT(DONNEES_SOURCE!P9,1)),"")</f>
        <v>4</v>
      </c>
      <c r="D23" s="133">
        <f>IFERROR(VALUE(LEFT(DONNEES_SOURCE!Q9,1)),"")</f>
        <v>2</v>
      </c>
      <c r="E23" s="133">
        <f>IFERROR(VALUE(LEFT(DONNEES_SOURCE!R9,1)),"")</f>
        <v>2</v>
      </c>
      <c r="F23" s="133">
        <f>IFERROR(VALUE(LEFT(DONNEES_SOURCE!S9,1)),"")</f>
        <v>3</v>
      </c>
      <c r="G23" s="133">
        <f>IFERROR(VALUE(LEFT(DONNEES_SOURCE!T9,1)),"")</f>
        <v>1</v>
      </c>
      <c r="H23" s="133">
        <f>IFERROR(VALUE(LEFT(DONNEES_SOURCE!U9,1)),"")</f>
        <v>1</v>
      </c>
      <c r="I23" s="133">
        <f>IFERROR(VALUE(LEFT(DONNEES_SOURCE!V9,1)),"")</f>
        <v>1</v>
      </c>
      <c r="J23" s="133">
        <f>IFERROR(VALUE(LEFT(DONNEES_SOURCE!W9,1)),"")</f>
        <v>2</v>
      </c>
      <c r="K23" s="133">
        <f>IFERROR(VALUE(LEFT(DONNEES_SOURCE!X9,1)),"")</f>
        <v>4</v>
      </c>
      <c r="L23" s="133">
        <f>IFERROR(VALUE(LEFT(DONNEES_SOURCE!Y9,1)),"")</f>
        <v>4</v>
      </c>
      <c r="M23" s="133">
        <f>IFERROR(VALUE(LEFT(DONNEES_SOURCE!Z9,1)),"")</f>
        <v>3</v>
      </c>
      <c r="N23" s="133">
        <f>IFERROR(VALUE(LEFT(DONNEES_SOURCE!AA9,1)),"")</f>
        <v>2</v>
      </c>
      <c r="O23" s="133">
        <f>IFERROR(VALUE(LEFT(DONNEES_SOURCE!AB9,1)),"")</f>
        <v>2</v>
      </c>
      <c r="P23" s="133">
        <f>IFERROR(VALUE(LEFT(DONNEES_SOURCE!AC9,1)),"")</f>
        <v>2</v>
      </c>
      <c r="Q23" s="133">
        <f>IFERROR(VALUE(LEFT(DONNEES_SOURCE!AD9,1)),"")</f>
        <v>2</v>
      </c>
      <c r="R23" s="133">
        <f>IFERROR(VALUE(LEFT(DONNEES_SOURCE!AE9,1)),"")</f>
        <v>1</v>
      </c>
      <c r="S23" s="133">
        <f>IFERROR(VALUE(LEFT(DONNEES_SOURCE!AF9,1)),"")</f>
        <v>2</v>
      </c>
      <c r="T23" s="133">
        <f>IFERROR(VALUE(LEFT(DONNEES_SOURCE!AG9,1)),"")</f>
        <v>2</v>
      </c>
      <c r="U23" s="133">
        <f>IFERROR(VALUE(LEFT(DONNEES_SOURCE!AH9,1)),"")</f>
        <v>4</v>
      </c>
      <c r="V23" s="134">
        <f>IFERROR(((DONNEES_SOURCE!AI9-1)*(4/6))+1,"")</f>
        <v>3</v>
      </c>
      <c r="W23" s="132">
        <f>IFERROR(VALUE(LEFT(DONNEES_SOURCE!AJ9,1)),"")</f>
        <v>6</v>
      </c>
      <c r="X23" s="132">
        <f>IFERROR(VALUE(LEFT(DONNEES_SOURCE!AK9,1)),"")</f>
        <v>5</v>
      </c>
      <c r="Y23" s="132">
        <f>IFERROR(8-DONNEES_SOURCE!AL9,"")</f>
        <v>5</v>
      </c>
      <c r="Z23" s="132">
        <f>IFERROR(VALUE(LEFT(DONNEES_SOURCE!AW9,1)),"")</f>
        <v>3</v>
      </c>
      <c r="AA23" s="132">
        <f>IFERROR(8-VALUE(LEFT(DONNEES_SOURCE!AZ9,1)),"")</f>
        <v>4</v>
      </c>
      <c r="AB23" s="132">
        <f>IFERROR(8-DONNEES_SOURCE!BC9,"")</f>
        <v>3</v>
      </c>
      <c r="AC23" s="132">
        <f>IFERROR(8-DONNEES_SOURCE!BD9,"")</f>
        <v>6</v>
      </c>
      <c r="AD23" s="135">
        <f t="shared" si="0"/>
        <v>51</v>
      </c>
      <c r="AE23" s="135">
        <f t="shared" si="1"/>
        <v>16</v>
      </c>
      <c r="AF23" s="135">
        <f>IFERROR(DONNEES_SOURCE!AM9+DONNEES_SOURCE!AN9+DONNEES_SOURCE!AO9+DONNEES_SOURCE!AP9,"")</f>
        <v>24</v>
      </c>
      <c r="AG23" s="135">
        <f>IFERROR(Z23+DONNEES_SOURCE!AX9+DONNEES_SOURCE!AY9,"")</f>
        <v>13</v>
      </c>
      <c r="AH23" s="135">
        <f>IFERROR(AA23+DONNEES_SOURCE!BA9+DONNEES_SOURCE!BB9+AB23+AC23,"")</f>
        <v>22</v>
      </c>
    </row>
    <row r="24" spans="1:34" x14ac:dyDescent="0.25">
      <c r="A24" s="128">
        <v>9</v>
      </c>
      <c r="B24" s="129">
        <f>IFERROR(VALUE(LEFT(DONNEES_SOURCE!O10,1)),"")</f>
        <v>2</v>
      </c>
      <c r="C24" s="129">
        <f>IFERROR(VALUE(LEFT(DONNEES_SOURCE!P10,1)),"")</f>
        <v>4</v>
      </c>
      <c r="D24" s="129">
        <f>IFERROR(VALUE(LEFT(DONNEES_SOURCE!Q10,1)),"")</f>
        <v>5</v>
      </c>
      <c r="E24" s="129">
        <f>IFERROR(VALUE(LEFT(DONNEES_SOURCE!R10,1)),"")</f>
        <v>3</v>
      </c>
      <c r="F24" s="129">
        <f>IFERROR(VALUE(LEFT(DONNEES_SOURCE!S10,1)),"")</f>
        <v>4</v>
      </c>
      <c r="G24" s="129">
        <f>IFERROR(VALUE(LEFT(DONNEES_SOURCE!T10,1)),"")</f>
        <v>3</v>
      </c>
      <c r="H24" s="129">
        <f>IFERROR(VALUE(LEFT(DONNEES_SOURCE!U10,1)),"")</f>
        <v>3</v>
      </c>
      <c r="I24" s="129">
        <f>IFERROR(VALUE(LEFT(DONNEES_SOURCE!V10,1)),"")</f>
        <v>4</v>
      </c>
      <c r="J24" s="129">
        <f>IFERROR(VALUE(LEFT(DONNEES_SOURCE!W10,1)),"")</f>
        <v>4</v>
      </c>
      <c r="K24" s="129">
        <f>IFERROR(VALUE(LEFT(DONNEES_SOURCE!X10,1)),"")</f>
        <v>3</v>
      </c>
      <c r="L24" s="129">
        <f>IFERROR(VALUE(LEFT(DONNEES_SOURCE!Y10,1)),"")</f>
        <v>1</v>
      </c>
      <c r="M24" s="129">
        <f>IFERROR(VALUE(LEFT(DONNEES_SOURCE!Z10,1)),"")</f>
        <v>1</v>
      </c>
      <c r="N24" s="129">
        <f>IFERROR(VALUE(LEFT(DONNEES_SOURCE!AA10,1)),"")</f>
        <v>1</v>
      </c>
      <c r="O24" s="129">
        <f>IFERROR(VALUE(LEFT(DONNEES_SOURCE!AB10,1)),"")</f>
        <v>1</v>
      </c>
      <c r="P24" s="129">
        <f>IFERROR(VALUE(LEFT(DONNEES_SOURCE!AC10,1)),"")</f>
        <v>1</v>
      </c>
      <c r="Q24" s="129">
        <f>IFERROR(VALUE(LEFT(DONNEES_SOURCE!AD10,1)),"")</f>
        <v>1</v>
      </c>
      <c r="R24" s="129">
        <f>IFERROR(VALUE(LEFT(DONNEES_SOURCE!AE10,1)),"")</f>
        <v>1</v>
      </c>
      <c r="S24" s="129">
        <f>IFERROR(VALUE(LEFT(DONNEES_SOURCE!AF10,1)),"")</f>
        <v>1</v>
      </c>
      <c r="T24" s="129">
        <f>IFERROR(VALUE(LEFT(DONNEES_SOURCE!AG10,1)),"")</f>
        <v>1</v>
      </c>
      <c r="U24" s="129">
        <f>IFERROR(VALUE(LEFT(DONNEES_SOURCE!AH10,1)),"")</f>
        <v>1</v>
      </c>
      <c r="V24" s="130">
        <f>IFERROR(((DONNEES_SOURCE!AI10-1)*(4/6))+1,"")</f>
        <v>5</v>
      </c>
      <c r="W24" s="128">
        <f>IFERROR(VALUE(LEFT(DONNEES_SOURCE!AJ10,1)),"")</f>
        <v>7</v>
      </c>
      <c r="X24" s="128">
        <f>IFERROR(VALUE(LEFT(DONNEES_SOURCE!AK10,1)),"")</f>
        <v>6</v>
      </c>
      <c r="Y24" s="128">
        <f>IFERROR(8-DONNEES_SOURCE!AL10,"")</f>
        <v>5</v>
      </c>
      <c r="Z24" s="128">
        <f>IFERROR(VALUE(LEFT(DONNEES_SOURCE!AW10,1)),"")</f>
        <v>6</v>
      </c>
      <c r="AA24" s="128">
        <f>IFERROR(8-VALUE(LEFT(DONNEES_SOURCE!AZ10,1)),"")</f>
        <v>7</v>
      </c>
      <c r="AB24" s="128">
        <f>IFERROR(8-DONNEES_SOURCE!BC10,"")</f>
        <v>3</v>
      </c>
      <c r="AC24" s="128">
        <f>IFERROR(8-DONNEES_SOURCE!BD10,"")</f>
        <v>2</v>
      </c>
      <c r="AD24" s="131">
        <f t="shared" si="0"/>
        <v>50</v>
      </c>
      <c r="AE24" s="131">
        <f t="shared" si="1"/>
        <v>18</v>
      </c>
      <c r="AF24" s="131">
        <f>IFERROR(DONNEES_SOURCE!AM10+DONNEES_SOURCE!AN10+DONNEES_SOURCE!AO10+DONNEES_SOURCE!AP10,"")</f>
        <v>26</v>
      </c>
      <c r="AG24" s="131">
        <f>IFERROR(Z24+DONNEES_SOURCE!AX10+DONNEES_SOURCE!AY10,"")</f>
        <v>14</v>
      </c>
      <c r="AH24" s="131">
        <f>IFERROR(AA24+DONNEES_SOURCE!BA10+DONNEES_SOURCE!BB10+AB24+AC24,"")</f>
        <v>23</v>
      </c>
    </row>
    <row r="25" spans="1:34" x14ac:dyDescent="0.25">
      <c r="A25" s="132">
        <v>10</v>
      </c>
      <c r="B25" s="133">
        <f>IFERROR(VALUE(LEFT(DONNEES_SOURCE!O11,1)),"")</f>
        <v>5</v>
      </c>
      <c r="C25" s="133">
        <f>IFERROR(VALUE(LEFT(DONNEES_SOURCE!P11,1)),"")</f>
        <v>4</v>
      </c>
      <c r="D25" s="133">
        <f>IFERROR(VALUE(LEFT(DONNEES_SOURCE!Q11,1)),"")</f>
        <v>5</v>
      </c>
      <c r="E25" s="133">
        <f>IFERROR(VALUE(LEFT(DONNEES_SOURCE!R11,1)),"")</f>
        <v>3</v>
      </c>
      <c r="F25" s="133">
        <f>IFERROR(VALUE(LEFT(DONNEES_SOURCE!S11,1)),"")</f>
        <v>4</v>
      </c>
      <c r="G25" s="133">
        <f>IFERROR(VALUE(LEFT(DONNEES_SOURCE!T11,1)),"")</f>
        <v>2</v>
      </c>
      <c r="H25" s="133">
        <f>IFERROR(VALUE(LEFT(DONNEES_SOURCE!U11,1)),"")</f>
        <v>2</v>
      </c>
      <c r="I25" s="133">
        <f>IFERROR(VALUE(LEFT(DONNEES_SOURCE!V11,1)),"")</f>
        <v>3</v>
      </c>
      <c r="J25" s="133">
        <f>IFERROR(VALUE(LEFT(DONNEES_SOURCE!W11,1)),"")</f>
        <v>3</v>
      </c>
      <c r="K25" s="133">
        <f>IFERROR(VALUE(LEFT(DONNEES_SOURCE!X11,1)),"")</f>
        <v>3</v>
      </c>
      <c r="L25" s="133">
        <f>IFERROR(VALUE(LEFT(DONNEES_SOURCE!Y11,1)),"")</f>
        <v>4</v>
      </c>
      <c r="M25" s="133">
        <f>IFERROR(VALUE(LEFT(DONNEES_SOURCE!Z11,1)),"")</f>
        <v>5</v>
      </c>
      <c r="N25" s="133">
        <f>IFERROR(VALUE(LEFT(DONNEES_SOURCE!AA11,1)),"")</f>
        <v>5</v>
      </c>
      <c r="O25" s="133">
        <f>IFERROR(VALUE(LEFT(DONNEES_SOURCE!AB11,1)),"")</f>
        <v>3</v>
      </c>
      <c r="P25" s="133">
        <f>IFERROR(VALUE(LEFT(DONNEES_SOURCE!AC11,1)),"")</f>
        <v>4</v>
      </c>
      <c r="Q25" s="133">
        <f>IFERROR(VALUE(LEFT(DONNEES_SOURCE!AD11,1)),"")</f>
        <v>2</v>
      </c>
      <c r="R25" s="133">
        <f>IFERROR(VALUE(LEFT(DONNEES_SOURCE!AE11,1)),"")</f>
        <v>2</v>
      </c>
      <c r="S25" s="133">
        <f>IFERROR(VALUE(LEFT(DONNEES_SOURCE!AF11,1)),"")</f>
        <v>3</v>
      </c>
      <c r="T25" s="133">
        <f>IFERROR(VALUE(LEFT(DONNEES_SOURCE!AG11,1)),"")</f>
        <v>4</v>
      </c>
      <c r="U25" s="133">
        <f>IFERROR(VALUE(LEFT(DONNEES_SOURCE!AH11,1)),"")</f>
        <v>3</v>
      </c>
      <c r="V25" s="134">
        <f>IFERROR(((DONNEES_SOURCE!AI11-1)*(4/6))+1,"")</f>
        <v>5</v>
      </c>
      <c r="W25" s="132">
        <f>IFERROR(VALUE(LEFT(DONNEES_SOURCE!AJ11,1)),"")</f>
        <v>7</v>
      </c>
      <c r="X25" s="132">
        <f>IFERROR(VALUE(LEFT(DONNEES_SOURCE!AK11,1)),"")</f>
        <v>5</v>
      </c>
      <c r="Y25" s="132">
        <f>IFERROR(8-DONNEES_SOURCE!AL11,"")</f>
        <v>5</v>
      </c>
      <c r="Z25" s="132">
        <f>IFERROR(VALUE(LEFT(DONNEES_SOURCE!AW11,1)),"")</f>
        <v>3</v>
      </c>
      <c r="AA25" s="132">
        <f>IFERROR(8-VALUE(LEFT(DONNEES_SOURCE!AZ11,1)),"")</f>
        <v>4</v>
      </c>
      <c r="AB25" s="132">
        <f>IFERROR(8-DONNEES_SOURCE!BC11,"")</f>
        <v>6</v>
      </c>
      <c r="AC25" s="132">
        <f>IFERROR(8-DONNEES_SOURCE!BD11,"")</f>
        <v>6</v>
      </c>
      <c r="AD25" s="135">
        <f t="shared" si="0"/>
        <v>74</v>
      </c>
      <c r="AE25" s="135">
        <f t="shared" si="1"/>
        <v>17</v>
      </c>
      <c r="AF25" s="135">
        <f>IFERROR(DONNEES_SOURCE!AM11+DONNEES_SOURCE!AN11+DONNEES_SOURCE!AO11+DONNEES_SOURCE!AP11,"")</f>
        <v>22</v>
      </c>
      <c r="AG25" s="135">
        <f>IFERROR(Z25+DONNEES_SOURCE!AX11+DONNEES_SOURCE!AY11,"")</f>
        <v>14</v>
      </c>
      <c r="AH25" s="135">
        <f>IFERROR(AA25+DONNEES_SOURCE!BA11+DONNEES_SOURCE!BB11+AB25+AC25,"")</f>
        <v>27</v>
      </c>
    </row>
    <row r="26" spans="1:34" x14ac:dyDescent="0.25">
      <c r="A26" s="128">
        <v>11</v>
      </c>
      <c r="B26" s="129">
        <f>IFERROR(VALUE(LEFT(DONNEES_SOURCE!O12,1)),"")</f>
        <v>1</v>
      </c>
      <c r="C26" s="129">
        <f>IFERROR(VALUE(LEFT(DONNEES_SOURCE!P12,1)),"")</f>
        <v>3</v>
      </c>
      <c r="D26" s="129">
        <f>IFERROR(VALUE(LEFT(DONNEES_SOURCE!Q12,1)),"")</f>
        <v>5</v>
      </c>
      <c r="E26" s="129">
        <f>IFERROR(VALUE(LEFT(DONNEES_SOURCE!R12,1)),"")</f>
        <v>5</v>
      </c>
      <c r="F26" s="129">
        <f>IFERROR(VALUE(LEFT(DONNEES_SOURCE!S12,1)),"")</f>
        <v>5</v>
      </c>
      <c r="G26" s="129">
        <f>IFERROR(VALUE(LEFT(DONNEES_SOURCE!T12,1)),"")</f>
        <v>3</v>
      </c>
      <c r="H26" s="129">
        <f>IFERROR(VALUE(LEFT(DONNEES_SOURCE!U12,1)),"")</f>
        <v>2</v>
      </c>
      <c r="I26" s="129">
        <f>IFERROR(VALUE(LEFT(DONNEES_SOURCE!V12,1)),"")</f>
        <v>2</v>
      </c>
      <c r="J26" s="129">
        <f>IFERROR(VALUE(LEFT(DONNEES_SOURCE!W12,1)),"")</f>
        <v>1</v>
      </c>
      <c r="K26" s="129">
        <f>IFERROR(VALUE(LEFT(DONNEES_SOURCE!X12,1)),"")</f>
        <v>3</v>
      </c>
      <c r="L26" s="129">
        <f>IFERROR(VALUE(LEFT(DONNEES_SOURCE!Y12,1)),"")</f>
        <v>4</v>
      </c>
      <c r="M26" s="129">
        <f>IFERROR(VALUE(LEFT(DONNEES_SOURCE!Z12,1)),"")</f>
        <v>4</v>
      </c>
      <c r="N26" s="129">
        <f>IFERROR(VALUE(LEFT(DONNEES_SOURCE!AA12,1)),"")</f>
        <v>4</v>
      </c>
      <c r="O26" s="129">
        <f>IFERROR(VALUE(LEFT(DONNEES_SOURCE!AB12,1)),"")</f>
        <v>4</v>
      </c>
      <c r="P26" s="129">
        <f>IFERROR(VALUE(LEFT(DONNEES_SOURCE!AC12,1)),"")</f>
        <v>5</v>
      </c>
      <c r="Q26" s="129">
        <f>IFERROR(VALUE(LEFT(DONNEES_SOURCE!AD12,1)),"")</f>
        <v>2</v>
      </c>
      <c r="R26" s="129">
        <f>IFERROR(VALUE(LEFT(DONNEES_SOURCE!AE12,1)),"")</f>
        <v>2</v>
      </c>
      <c r="S26" s="129">
        <f>IFERROR(VALUE(LEFT(DONNEES_SOURCE!AF12,1)),"")</f>
        <v>4</v>
      </c>
      <c r="T26" s="129">
        <f>IFERROR(VALUE(LEFT(DONNEES_SOURCE!AG12,1)),"")</f>
        <v>3</v>
      </c>
      <c r="U26" s="129">
        <f>IFERROR(VALUE(LEFT(DONNEES_SOURCE!AH12,1)),"")</f>
        <v>4</v>
      </c>
      <c r="V26" s="130">
        <f>IFERROR(((DONNEES_SOURCE!AI12-1)*(4/6))+1,"")</f>
        <v>3.6666666666666665</v>
      </c>
      <c r="W26" s="128">
        <f>IFERROR(VALUE(LEFT(DONNEES_SOURCE!AJ12,1)),"")</f>
        <v>7</v>
      </c>
      <c r="X26" s="128">
        <f>IFERROR(VALUE(LEFT(DONNEES_SOURCE!AK12,1)),"")</f>
        <v>6</v>
      </c>
      <c r="Y26" s="128">
        <f>IFERROR(8-DONNEES_SOURCE!AL12,"")</f>
        <v>3</v>
      </c>
      <c r="Z26" s="128">
        <f>IFERROR(VALUE(LEFT(DONNEES_SOURCE!AW12,1)),"")</f>
        <v>3</v>
      </c>
      <c r="AA26" s="128">
        <f>IFERROR(8-VALUE(LEFT(DONNEES_SOURCE!AZ12,1)),"")</f>
        <v>4</v>
      </c>
      <c r="AB26" s="128">
        <f>IFERROR(8-DONNEES_SOURCE!BC12,"")</f>
        <v>1</v>
      </c>
      <c r="AC26" s="128">
        <f>IFERROR(8-DONNEES_SOURCE!BD12,"")</f>
        <v>6</v>
      </c>
      <c r="AD26" s="131">
        <f t="shared" si="0"/>
        <v>69.666666666666671</v>
      </c>
      <c r="AE26" s="131">
        <f t="shared" si="1"/>
        <v>16</v>
      </c>
      <c r="AF26" s="131">
        <f>IFERROR(DONNEES_SOURCE!AM12+DONNEES_SOURCE!AN12+DONNEES_SOURCE!AO12+DONNEES_SOURCE!AP12,"")</f>
        <v>28</v>
      </c>
      <c r="AG26" s="131">
        <f>IFERROR(Z26+DONNEES_SOURCE!AX12+DONNEES_SOURCE!AY12,"")</f>
        <v>15</v>
      </c>
      <c r="AH26" s="131">
        <f>IFERROR(AA26+DONNEES_SOURCE!BA12+DONNEES_SOURCE!BB12+AB26+AC26,"")</f>
        <v>25</v>
      </c>
    </row>
    <row r="27" spans="1:34" x14ac:dyDescent="0.25">
      <c r="A27" s="132">
        <v>12</v>
      </c>
      <c r="B27" s="133">
        <f>IFERROR(VALUE(LEFT(DONNEES_SOURCE!O13,1)),"")</f>
        <v>1</v>
      </c>
      <c r="C27" s="133">
        <f>IFERROR(VALUE(LEFT(DONNEES_SOURCE!P13,1)),"")</f>
        <v>4</v>
      </c>
      <c r="D27" s="133">
        <f>IFERROR(VALUE(LEFT(DONNEES_SOURCE!Q13,1)),"")</f>
        <v>5</v>
      </c>
      <c r="E27" s="133">
        <f>IFERROR(VALUE(LEFT(DONNEES_SOURCE!R13,1)),"")</f>
        <v>5</v>
      </c>
      <c r="F27" s="133">
        <f>IFERROR(VALUE(LEFT(DONNEES_SOURCE!S13,1)),"")</f>
        <v>5</v>
      </c>
      <c r="G27" s="133">
        <f>IFERROR(VALUE(LEFT(DONNEES_SOURCE!T13,1)),"")</f>
        <v>3</v>
      </c>
      <c r="H27" s="133">
        <f>IFERROR(VALUE(LEFT(DONNEES_SOURCE!U13,1)),"")</f>
        <v>3</v>
      </c>
      <c r="I27" s="133">
        <f>IFERROR(VALUE(LEFT(DONNEES_SOURCE!V13,1)),"")</f>
        <v>3</v>
      </c>
      <c r="J27" s="133">
        <f>IFERROR(VALUE(LEFT(DONNEES_SOURCE!W13,1)),"")</f>
        <v>4</v>
      </c>
      <c r="K27" s="133">
        <f>IFERROR(VALUE(LEFT(DONNEES_SOURCE!X13,1)),"")</f>
        <v>3</v>
      </c>
      <c r="L27" s="133">
        <f>IFERROR(VALUE(LEFT(DONNEES_SOURCE!Y13,1)),"")</f>
        <v>3</v>
      </c>
      <c r="M27" s="133">
        <f>IFERROR(VALUE(LEFT(DONNEES_SOURCE!Z13,1)),"")</f>
        <v>4</v>
      </c>
      <c r="N27" s="133">
        <f>IFERROR(VALUE(LEFT(DONNEES_SOURCE!AA13,1)),"")</f>
        <v>5</v>
      </c>
      <c r="O27" s="133">
        <f>IFERROR(VALUE(LEFT(DONNEES_SOURCE!AB13,1)),"")</f>
        <v>4</v>
      </c>
      <c r="P27" s="133">
        <f>IFERROR(VALUE(LEFT(DONNEES_SOURCE!AC13,1)),"")</f>
        <v>4</v>
      </c>
      <c r="Q27" s="133">
        <f>IFERROR(VALUE(LEFT(DONNEES_SOURCE!AD13,1)),"")</f>
        <v>3</v>
      </c>
      <c r="R27" s="133">
        <f>IFERROR(VALUE(LEFT(DONNEES_SOURCE!AE13,1)),"")</f>
        <v>3</v>
      </c>
      <c r="S27" s="133">
        <f>IFERROR(VALUE(LEFT(DONNEES_SOURCE!AF13,1)),"")</f>
        <v>3</v>
      </c>
      <c r="T27" s="133">
        <f>IFERROR(VALUE(LEFT(DONNEES_SOURCE!AG13,1)),"")</f>
        <v>3</v>
      </c>
      <c r="U27" s="133">
        <f>IFERROR(VALUE(LEFT(DONNEES_SOURCE!AH13,1)),"")</f>
        <v>3</v>
      </c>
      <c r="V27" s="134">
        <f>IFERROR(((DONNEES_SOURCE!AI13-1)*(4/6))+1,"")</f>
        <v>5</v>
      </c>
      <c r="W27" s="132">
        <f>IFERROR(VALUE(LEFT(DONNEES_SOURCE!AJ13,1)),"")</f>
        <v>7</v>
      </c>
      <c r="X27" s="132">
        <f>IFERROR(VALUE(LEFT(DONNEES_SOURCE!AK13,1)),"")</f>
        <v>7</v>
      </c>
      <c r="Y27" s="132">
        <f>IFERROR(8-DONNEES_SOURCE!AL13,"")</f>
        <v>6</v>
      </c>
      <c r="Z27" s="132">
        <f>IFERROR(VALUE(LEFT(DONNEES_SOURCE!AW13,1)),"")</f>
        <v>6</v>
      </c>
      <c r="AA27" s="132">
        <f>IFERROR(8-VALUE(LEFT(DONNEES_SOURCE!AZ13,1)),"")</f>
        <v>7</v>
      </c>
      <c r="AB27" s="132">
        <f>IFERROR(8-DONNEES_SOURCE!BC13,"")</f>
        <v>1</v>
      </c>
      <c r="AC27" s="132">
        <f>IFERROR(8-DONNEES_SOURCE!BD13,"")</f>
        <v>7</v>
      </c>
      <c r="AD27" s="135">
        <f t="shared" si="0"/>
        <v>76</v>
      </c>
      <c r="AE27" s="135">
        <f t="shared" si="1"/>
        <v>20</v>
      </c>
      <c r="AF27" s="135">
        <f>IFERROR(DONNEES_SOURCE!AM13+DONNEES_SOURCE!AN13+DONNEES_SOURCE!AO13+DONNEES_SOURCE!AP13,"")</f>
        <v>25</v>
      </c>
      <c r="AG27" s="135">
        <f>IFERROR(Z27+DONNEES_SOURCE!AX13+DONNEES_SOURCE!AY13,"")</f>
        <v>20</v>
      </c>
      <c r="AH27" s="135">
        <f>IFERROR(AA27+DONNEES_SOURCE!BA13+DONNEES_SOURCE!BB13+AB27+AC27,"")</f>
        <v>27</v>
      </c>
    </row>
    <row r="28" spans="1:34" x14ac:dyDescent="0.25">
      <c r="A28" s="128">
        <v>13</v>
      </c>
      <c r="B28" s="129">
        <f>IFERROR(VALUE(LEFT(DONNEES_SOURCE!O14,1)),"")</f>
        <v>5</v>
      </c>
      <c r="C28" s="129">
        <f>IFERROR(VALUE(LEFT(DONNEES_SOURCE!P14,1)),"")</f>
        <v>5</v>
      </c>
      <c r="D28" s="129">
        <f>IFERROR(VALUE(LEFT(DONNEES_SOURCE!Q14,1)),"")</f>
        <v>5</v>
      </c>
      <c r="E28" s="129">
        <f>IFERROR(VALUE(LEFT(DONNEES_SOURCE!R14,1)),"")</f>
        <v>3</v>
      </c>
      <c r="F28" s="129">
        <f>IFERROR(VALUE(LEFT(DONNEES_SOURCE!S14,1)),"")</f>
        <v>5</v>
      </c>
      <c r="G28" s="129">
        <f>IFERROR(VALUE(LEFT(DONNEES_SOURCE!T14,1)),"")</f>
        <v>2</v>
      </c>
      <c r="H28" s="129">
        <f>IFERROR(VALUE(LEFT(DONNEES_SOURCE!U14,1)),"")</f>
        <v>2</v>
      </c>
      <c r="I28" s="129">
        <f>IFERROR(VALUE(LEFT(DONNEES_SOURCE!V14,1)),"")</f>
        <v>2</v>
      </c>
      <c r="J28" s="129">
        <f>IFERROR(VALUE(LEFT(DONNEES_SOURCE!W14,1)),"")</f>
        <v>3</v>
      </c>
      <c r="K28" s="129">
        <f>IFERROR(VALUE(LEFT(DONNEES_SOURCE!X14,1)),"")</f>
        <v>4</v>
      </c>
      <c r="L28" s="129">
        <f>IFERROR(VALUE(LEFT(DONNEES_SOURCE!Y14,1)),"")</f>
        <v>3</v>
      </c>
      <c r="M28" s="129">
        <f>IFERROR(VALUE(LEFT(DONNEES_SOURCE!Z14,1)),"")</f>
        <v>5</v>
      </c>
      <c r="N28" s="129">
        <f>IFERROR(VALUE(LEFT(DONNEES_SOURCE!AA14,1)),"")</f>
        <v>5</v>
      </c>
      <c r="O28" s="129">
        <f>IFERROR(VALUE(LEFT(DONNEES_SOURCE!AB14,1)),"")</f>
        <v>4</v>
      </c>
      <c r="P28" s="129">
        <f>IFERROR(VALUE(LEFT(DONNEES_SOURCE!AC14,1)),"")</f>
        <v>5</v>
      </c>
      <c r="Q28" s="129">
        <f>IFERROR(VALUE(LEFT(DONNEES_SOURCE!AD14,1)),"")</f>
        <v>3</v>
      </c>
      <c r="R28" s="129">
        <f>IFERROR(VALUE(LEFT(DONNEES_SOURCE!AE14,1)),"")</f>
        <v>1</v>
      </c>
      <c r="S28" s="129">
        <f>IFERROR(VALUE(LEFT(DONNEES_SOURCE!AF14,1)),"")</f>
        <v>2</v>
      </c>
      <c r="T28" s="129">
        <f>IFERROR(VALUE(LEFT(DONNEES_SOURCE!AG14,1)),"")</f>
        <v>3</v>
      </c>
      <c r="U28" s="129">
        <f>IFERROR(VALUE(LEFT(DONNEES_SOURCE!AH14,1)),"")</f>
        <v>4</v>
      </c>
      <c r="V28" s="130">
        <f>IFERROR(((DONNEES_SOURCE!AI14-1)*(4/6))+1,"")</f>
        <v>4.333333333333333</v>
      </c>
      <c r="W28" s="128">
        <f>IFERROR(VALUE(LEFT(DONNEES_SOURCE!AJ14,1)),"")</f>
        <v>7</v>
      </c>
      <c r="X28" s="128">
        <f>IFERROR(VALUE(LEFT(DONNEES_SOURCE!AK14,1)),"")</f>
        <v>6</v>
      </c>
      <c r="Y28" s="128">
        <f>IFERROR(8-DONNEES_SOURCE!AL14,"")</f>
        <v>6</v>
      </c>
      <c r="Z28" s="128">
        <f>IFERROR(VALUE(LEFT(DONNEES_SOURCE!AW14,1)),"")</f>
        <v>6</v>
      </c>
      <c r="AA28" s="128">
        <f>IFERROR(8-VALUE(LEFT(DONNEES_SOURCE!AZ14,1)),"")</f>
        <v>4</v>
      </c>
      <c r="AB28" s="128">
        <f>IFERROR(8-DONNEES_SOURCE!BC14,"")</f>
        <v>2</v>
      </c>
      <c r="AC28" s="128">
        <f>IFERROR(8-DONNEES_SOURCE!BD14,"")</f>
        <v>5</v>
      </c>
      <c r="AD28" s="131">
        <f t="shared" si="0"/>
        <v>75.333333333333329</v>
      </c>
      <c r="AE28" s="131">
        <f t="shared" si="1"/>
        <v>19</v>
      </c>
      <c r="AF28" s="131">
        <f>IFERROR(DONNEES_SOURCE!AM14+DONNEES_SOURCE!AN14+DONNEES_SOURCE!AO14+DONNEES_SOURCE!AP14,"")</f>
        <v>24</v>
      </c>
      <c r="AG28" s="131">
        <f>IFERROR(Z28+DONNEES_SOURCE!AX14+DONNEES_SOURCE!AY14,"")</f>
        <v>14</v>
      </c>
      <c r="AH28" s="131">
        <f>IFERROR(AA28+DONNEES_SOURCE!BA14+DONNEES_SOURCE!BB14+AB28+AC28,"")</f>
        <v>20</v>
      </c>
    </row>
    <row r="29" spans="1:34" x14ac:dyDescent="0.25">
      <c r="A29" s="132">
        <v>14</v>
      </c>
      <c r="B29" s="133">
        <f>IFERROR(VALUE(LEFT(DONNEES_SOURCE!O15,1)),"")</f>
        <v>3</v>
      </c>
      <c r="C29" s="133">
        <f>IFERROR(VALUE(LEFT(DONNEES_SOURCE!P15,1)),"")</f>
        <v>5</v>
      </c>
      <c r="D29" s="133">
        <f>IFERROR(VALUE(LEFT(DONNEES_SOURCE!Q15,1)),"")</f>
        <v>5</v>
      </c>
      <c r="E29" s="133">
        <f>IFERROR(VALUE(LEFT(DONNEES_SOURCE!R15,1)),"")</f>
        <v>4</v>
      </c>
      <c r="F29" s="133">
        <f>IFERROR(VALUE(LEFT(DONNEES_SOURCE!S15,1)),"")</f>
        <v>3</v>
      </c>
      <c r="G29" s="133">
        <f>IFERROR(VALUE(LEFT(DONNEES_SOURCE!T15,1)),"")</f>
        <v>2</v>
      </c>
      <c r="H29" s="133">
        <f>IFERROR(VALUE(LEFT(DONNEES_SOURCE!U15,1)),"")</f>
        <v>2</v>
      </c>
      <c r="I29" s="133">
        <f>IFERROR(VALUE(LEFT(DONNEES_SOURCE!V15,1)),"")</f>
        <v>4</v>
      </c>
      <c r="J29" s="133">
        <f>IFERROR(VALUE(LEFT(DONNEES_SOURCE!W15,1)),"")</f>
        <v>4</v>
      </c>
      <c r="K29" s="133">
        <f>IFERROR(VALUE(LEFT(DONNEES_SOURCE!X15,1)),"")</f>
        <v>3</v>
      </c>
      <c r="L29" s="133">
        <f>IFERROR(VALUE(LEFT(DONNEES_SOURCE!Y15,1)),"")</f>
        <v>2</v>
      </c>
      <c r="M29" s="133">
        <f>IFERROR(VALUE(LEFT(DONNEES_SOURCE!Z15,1)),"")</f>
        <v>4</v>
      </c>
      <c r="N29" s="133">
        <f>IFERROR(VALUE(LEFT(DONNEES_SOURCE!AA15,1)),"")</f>
        <v>5</v>
      </c>
      <c r="O29" s="133">
        <f>IFERROR(VALUE(LEFT(DONNEES_SOURCE!AB15,1)),"")</f>
        <v>5</v>
      </c>
      <c r="P29" s="133">
        <f>IFERROR(VALUE(LEFT(DONNEES_SOURCE!AC15,1)),"")</f>
        <v>4</v>
      </c>
      <c r="Q29" s="133">
        <f>IFERROR(VALUE(LEFT(DONNEES_SOURCE!AD15,1)),"")</f>
        <v>3</v>
      </c>
      <c r="R29" s="133">
        <f>IFERROR(VALUE(LEFT(DONNEES_SOURCE!AE15,1)),"")</f>
        <v>3</v>
      </c>
      <c r="S29" s="133">
        <f>IFERROR(VALUE(LEFT(DONNEES_SOURCE!AF15,1)),"")</f>
        <v>3</v>
      </c>
      <c r="T29" s="133">
        <f>IFERROR(VALUE(LEFT(DONNEES_SOURCE!AG15,1)),"")</f>
        <v>4</v>
      </c>
      <c r="U29" s="133">
        <f>IFERROR(VALUE(LEFT(DONNEES_SOURCE!AH15,1)),"")</f>
        <v>3</v>
      </c>
      <c r="V29" s="134">
        <f>IFERROR(((DONNEES_SOURCE!AI15-1)*(4/6))+1,"")</f>
        <v>3</v>
      </c>
      <c r="W29" s="132">
        <f>IFERROR(VALUE(LEFT(DONNEES_SOURCE!AJ15,1)),"")</f>
        <v>4</v>
      </c>
      <c r="X29" s="132">
        <f>IFERROR(VALUE(LEFT(DONNEES_SOURCE!AK15,1)),"")</f>
        <v>5</v>
      </c>
      <c r="Y29" s="132">
        <f>IFERROR(8-DONNEES_SOURCE!AL15,"")</f>
        <v>2</v>
      </c>
      <c r="Z29" s="132">
        <f>IFERROR(VALUE(LEFT(DONNEES_SOURCE!AW15,1)),"")</f>
        <v>5</v>
      </c>
      <c r="AA29" s="132">
        <f>IFERROR(8-VALUE(LEFT(DONNEES_SOURCE!AZ15,1)),"")</f>
        <v>4</v>
      </c>
      <c r="AB29" s="132">
        <f>IFERROR(8-DONNEES_SOURCE!BC15,"")</f>
        <v>5</v>
      </c>
      <c r="AC29" s="132">
        <f>IFERROR(8-DONNEES_SOURCE!BD15,"")</f>
        <v>3</v>
      </c>
      <c r="AD29" s="135">
        <f t="shared" si="0"/>
        <v>74</v>
      </c>
      <c r="AE29" s="135">
        <f t="shared" si="1"/>
        <v>11</v>
      </c>
      <c r="AF29" s="135">
        <f>IFERROR(DONNEES_SOURCE!AM15+DONNEES_SOURCE!AN15+DONNEES_SOURCE!AO15+DONNEES_SOURCE!AP15,"")</f>
        <v>22</v>
      </c>
      <c r="AG29" s="135">
        <f>IFERROR(Z29+DONNEES_SOURCE!AX15+DONNEES_SOURCE!AY15,"")</f>
        <v>17</v>
      </c>
      <c r="AH29" s="135">
        <f>IFERROR(AA29+DONNEES_SOURCE!BA15+DONNEES_SOURCE!BB15+AB29+AC29,"")</f>
        <v>22</v>
      </c>
    </row>
    <row r="30" spans="1:34" x14ac:dyDescent="0.25">
      <c r="A30" s="128">
        <v>15</v>
      </c>
      <c r="B30" s="129">
        <f>IFERROR(VALUE(LEFT(DONNEES_SOURCE!O16,1)),"")</f>
        <v>4</v>
      </c>
      <c r="C30" s="129">
        <f>IFERROR(VALUE(LEFT(DONNEES_SOURCE!P16,1)),"")</f>
        <v>5</v>
      </c>
      <c r="D30" s="129">
        <f>IFERROR(VALUE(LEFT(DONNEES_SOURCE!Q16,1)),"")</f>
        <v>4</v>
      </c>
      <c r="E30" s="129">
        <f>IFERROR(VALUE(LEFT(DONNEES_SOURCE!R16,1)),"")</f>
        <v>2</v>
      </c>
      <c r="F30" s="129">
        <f>IFERROR(VALUE(LEFT(DONNEES_SOURCE!S16,1)),"")</f>
        <v>5</v>
      </c>
      <c r="G30" s="129">
        <f>IFERROR(VALUE(LEFT(DONNEES_SOURCE!T16,1)),"")</f>
        <v>3</v>
      </c>
      <c r="H30" s="129">
        <f>IFERROR(VALUE(LEFT(DONNEES_SOURCE!U16,1)),"")</f>
        <v>3</v>
      </c>
      <c r="I30" s="129">
        <f>IFERROR(VALUE(LEFT(DONNEES_SOURCE!V16,1)),"")</f>
        <v>2</v>
      </c>
      <c r="J30" s="129">
        <f>IFERROR(VALUE(LEFT(DONNEES_SOURCE!W16,1)),"")</f>
        <v>3</v>
      </c>
      <c r="K30" s="129">
        <f>IFERROR(VALUE(LEFT(DONNEES_SOURCE!X16,1)),"")</f>
        <v>4</v>
      </c>
      <c r="L30" s="129">
        <f>IFERROR(VALUE(LEFT(DONNEES_SOURCE!Y16,1)),"")</f>
        <v>4</v>
      </c>
      <c r="M30" s="129">
        <f>IFERROR(VALUE(LEFT(DONNEES_SOURCE!Z16,1)),"")</f>
        <v>3</v>
      </c>
      <c r="N30" s="129">
        <f>IFERROR(VALUE(LEFT(DONNEES_SOURCE!AA16,1)),"")</f>
        <v>3</v>
      </c>
      <c r="O30" s="129">
        <f>IFERROR(VALUE(LEFT(DONNEES_SOURCE!AB16,1)),"")</f>
        <v>2</v>
      </c>
      <c r="P30" s="129">
        <f>IFERROR(VALUE(LEFT(DONNEES_SOURCE!AC16,1)),"")</f>
        <v>5</v>
      </c>
      <c r="Q30" s="129">
        <f>IFERROR(VALUE(LEFT(DONNEES_SOURCE!AD16,1)),"")</f>
        <v>3</v>
      </c>
      <c r="R30" s="129">
        <f>IFERROR(VALUE(LEFT(DONNEES_SOURCE!AE16,1)),"")</f>
        <v>2</v>
      </c>
      <c r="S30" s="129">
        <f>IFERROR(VALUE(LEFT(DONNEES_SOURCE!AF16,1)),"")</f>
        <v>2</v>
      </c>
      <c r="T30" s="129">
        <f>IFERROR(VALUE(LEFT(DONNEES_SOURCE!AG16,1)),"")</f>
        <v>2</v>
      </c>
      <c r="U30" s="129">
        <f>IFERROR(VALUE(LEFT(DONNEES_SOURCE!AH16,1)),"")</f>
        <v>4</v>
      </c>
      <c r="V30" s="130">
        <f>IFERROR(((DONNEES_SOURCE!AI16-1)*(4/6))+1,"")</f>
        <v>3.6666666666666665</v>
      </c>
      <c r="W30" s="128">
        <f>IFERROR(VALUE(LEFT(DONNEES_SOURCE!AJ16,1)),"")</f>
        <v>6</v>
      </c>
      <c r="X30" s="128">
        <f>IFERROR(VALUE(LEFT(DONNEES_SOURCE!AK16,1)),"")</f>
        <v>6</v>
      </c>
      <c r="Y30" s="128">
        <f>IFERROR(8-DONNEES_SOURCE!AL16,"")</f>
        <v>5</v>
      </c>
      <c r="Z30" s="128">
        <f>IFERROR(VALUE(LEFT(DONNEES_SOURCE!AW16,1)),"")</f>
        <v>4</v>
      </c>
      <c r="AA30" s="128">
        <f>IFERROR(8-VALUE(LEFT(DONNEES_SOURCE!AZ16,1)),"")</f>
        <v>5</v>
      </c>
      <c r="AB30" s="128">
        <f>IFERROR(8-DONNEES_SOURCE!BC16,"")</f>
        <v>4</v>
      </c>
      <c r="AC30" s="128">
        <f>IFERROR(8-DONNEES_SOURCE!BD16,"")</f>
        <v>3</v>
      </c>
      <c r="AD30" s="131">
        <f t="shared" si="0"/>
        <v>68.666666666666671</v>
      </c>
      <c r="AE30" s="131">
        <f t="shared" si="1"/>
        <v>17</v>
      </c>
      <c r="AF30" s="131">
        <f>IFERROR(DONNEES_SOURCE!AM16+DONNEES_SOURCE!AN16+DONNEES_SOURCE!AO16+DONNEES_SOURCE!AP16,"")</f>
        <v>24</v>
      </c>
      <c r="AG30" s="131">
        <f>IFERROR(Z30+DONNEES_SOURCE!AX16+DONNEES_SOURCE!AY16,"")</f>
        <v>16</v>
      </c>
      <c r="AH30" s="131">
        <f>IFERROR(AA30+DONNEES_SOURCE!BA16+DONNEES_SOURCE!BB16+AB30+AC30,"")</f>
        <v>21</v>
      </c>
    </row>
    <row r="31" spans="1:34" x14ac:dyDescent="0.25">
      <c r="A31" s="132">
        <v>16</v>
      </c>
      <c r="B31" s="133">
        <f>IFERROR(VALUE(LEFT(DONNEES_SOURCE!O17,1)),"")</f>
        <v>4</v>
      </c>
      <c r="C31" s="133">
        <f>IFERROR(VALUE(LEFT(DONNEES_SOURCE!P17,1)),"")</f>
        <v>5</v>
      </c>
      <c r="D31" s="133">
        <f>IFERROR(VALUE(LEFT(DONNEES_SOURCE!Q17,1)),"")</f>
        <v>4</v>
      </c>
      <c r="E31" s="133">
        <f>IFERROR(VALUE(LEFT(DONNEES_SOURCE!R17,1)),"")</f>
        <v>5</v>
      </c>
      <c r="F31" s="133">
        <f>IFERROR(VALUE(LEFT(DONNEES_SOURCE!S17,1)),"")</f>
        <v>3</v>
      </c>
      <c r="G31" s="133">
        <f>IFERROR(VALUE(LEFT(DONNEES_SOURCE!T17,1)),"")</f>
        <v>4</v>
      </c>
      <c r="H31" s="133">
        <f>IFERROR(VALUE(LEFT(DONNEES_SOURCE!U17,1)),"")</f>
        <v>1</v>
      </c>
      <c r="I31" s="133">
        <f>IFERROR(VALUE(LEFT(DONNEES_SOURCE!V17,1)),"")</f>
        <v>3</v>
      </c>
      <c r="J31" s="133">
        <f>IFERROR(VALUE(LEFT(DONNEES_SOURCE!W17,1)),"")</f>
        <v>5</v>
      </c>
      <c r="K31" s="133">
        <f>IFERROR(VALUE(LEFT(DONNEES_SOURCE!X17,1)),"")</f>
        <v>5</v>
      </c>
      <c r="L31" s="133">
        <f>IFERROR(VALUE(LEFT(DONNEES_SOURCE!Y17,1)),"")</f>
        <v>5</v>
      </c>
      <c r="M31" s="133">
        <f>IFERROR(VALUE(LEFT(DONNEES_SOURCE!Z17,1)),"")</f>
        <v>5</v>
      </c>
      <c r="N31" s="133">
        <f>IFERROR(VALUE(LEFT(DONNEES_SOURCE!AA17,1)),"")</f>
        <v>4</v>
      </c>
      <c r="O31" s="133">
        <f>IFERROR(VALUE(LEFT(DONNEES_SOURCE!AB17,1)),"")</f>
        <v>5</v>
      </c>
      <c r="P31" s="133">
        <f>IFERROR(VALUE(LEFT(DONNEES_SOURCE!AC17,1)),"")</f>
        <v>3</v>
      </c>
      <c r="Q31" s="133">
        <f>IFERROR(VALUE(LEFT(DONNEES_SOURCE!AD17,1)),"")</f>
        <v>3</v>
      </c>
      <c r="R31" s="133">
        <f>IFERROR(VALUE(LEFT(DONNEES_SOURCE!AE17,1)),"")</f>
        <v>1</v>
      </c>
      <c r="S31" s="133">
        <f>IFERROR(VALUE(LEFT(DONNEES_SOURCE!AF17,1)),"")</f>
        <v>2</v>
      </c>
      <c r="T31" s="133">
        <f>IFERROR(VALUE(LEFT(DONNEES_SOURCE!AG17,1)),"")</f>
        <v>4</v>
      </c>
      <c r="U31" s="133">
        <f>IFERROR(VALUE(LEFT(DONNEES_SOURCE!AH17,1)),"")</f>
        <v>4</v>
      </c>
      <c r="V31" s="134">
        <f>IFERROR(((DONNEES_SOURCE!AI17-1)*(4/6))+1,"")</f>
        <v>4.333333333333333</v>
      </c>
      <c r="W31" s="132">
        <f>IFERROR(VALUE(LEFT(DONNEES_SOURCE!AJ17,1)),"")</f>
        <v>5</v>
      </c>
      <c r="X31" s="132">
        <f>IFERROR(VALUE(LEFT(DONNEES_SOURCE!AK17,1)),"")</f>
        <v>5</v>
      </c>
      <c r="Y31" s="132">
        <f>IFERROR(8-DONNEES_SOURCE!AL17,"")</f>
        <v>2</v>
      </c>
      <c r="Z31" s="132">
        <f>IFERROR(VALUE(LEFT(DONNEES_SOURCE!AW17,1)),"")</f>
        <v>4</v>
      </c>
      <c r="AA31" s="132">
        <f>IFERROR(8-VALUE(LEFT(DONNEES_SOURCE!AZ17,1)),"")</f>
        <v>6</v>
      </c>
      <c r="AB31" s="132">
        <f>IFERROR(8-DONNEES_SOURCE!BC17,"")</f>
        <v>1</v>
      </c>
      <c r="AC31" s="132">
        <f>IFERROR(8-DONNEES_SOURCE!BD17,"")</f>
        <v>2</v>
      </c>
      <c r="AD31" s="135">
        <f t="shared" si="0"/>
        <v>79.333333333333329</v>
      </c>
      <c r="AE31" s="135">
        <f t="shared" si="1"/>
        <v>12</v>
      </c>
      <c r="AF31" s="135">
        <f>IFERROR(DONNEES_SOURCE!AM17+DONNEES_SOURCE!AN17+DONNEES_SOURCE!AO17+DONNEES_SOURCE!AP17,"")</f>
        <v>14</v>
      </c>
      <c r="AG31" s="135">
        <f>IFERROR(Z31+DONNEES_SOURCE!AX17+DONNEES_SOURCE!AY17,"")</f>
        <v>14</v>
      </c>
      <c r="AH31" s="135">
        <f>IFERROR(AA31+DONNEES_SOURCE!BA17+DONNEES_SOURCE!BB17+AB31+AC31,"")</f>
        <v>21</v>
      </c>
    </row>
    <row r="32" spans="1:34" x14ac:dyDescent="0.25">
      <c r="A32" s="128">
        <v>17</v>
      </c>
      <c r="B32" s="129">
        <f>IFERROR(VALUE(LEFT(DONNEES_SOURCE!O18,1)),"")</f>
        <v>4</v>
      </c>
      <c r="C32" s="129">
        <f>IFERROR(VALUE(LEFT(DONNEES_SOURCE!P18,1)),"")</f>
        <v>4</v>
      </c>
      <c r="D32" s="129">
        <f>IFERROR(VALUE(LEFT(DONNEES_SOURCE!Q18,1)),"")</f>
        <v>4</v>
      </c>
      <c r="E32" s="129">
        <f>IFERROR(VALUE(LEFT(DONNEES_SOURCE!R18,1)),"")</f>
        <v>4</v>
      </c>
      <c r="F32" s="129">
        <f>IFERROR(VALUE(LEFT(DONNEES_SOURCE!S18,1)),"")</f>
        <v>3</v>
      </c>
      <c r="G32" s="129">
        <f>IFERROR(VALUE(LEFT(DONNEES_SOURCE!T18,1)),"")</f>
        <v>4</v>
      </c>
      <c r="H32" s="129">
        <f>IFERROR(VALUE(LEFT(DONNEES_SOURCE!U18,1)),"")</f>
        <v>2</v>
      </c>
      <c r="I32" s="129">
        <f>IFERROR(VALUE(LEFT(DONNEES_SOURCE!V18,1)),"")</f>
        <v>4</v>
      </c>
      <c r="J32" s="129">
        <f>IFERROR(VALUE(LEFT(DONNEES_SOURCE!W18,1)),"")</f>
        <v>3</v>
      </c>
      <c r="K32" s="129">
        <f>IFERROR(VALUE(LEFT(DONNEES_SOURCE!X18,1)),"")</f>
        <v>3</v>
      </c>
      <c r="L32" s="129">
        <f>IFERROR(VALUE(LEFT(DONNEES_SOURCE!Y18,1)),"")</f>
        <v>4</v>
      </c>
      <c r="M32" s="129">
        <f>IFERROR(VALUE(LEFT(DONNEES_SOURCE!Z18,1)),"")</f>
        <v>4</v>
      </c>
      <c r="N32" s="129">
        <f>IFERROR(VALUE(LEFT(DONNEES_SOURCE!AA18,1)),"")</f>
        <v>4</v>
      </c>
      <c r="O32" s="129">
        <f>IFERROR(VALUE(LEFT(DONNEES_SOURCE!AB18,1)),"")</f>
        <v>4</v>
      </c>
      <c r="P32" s="129">
        <f>IFERROR(VALUE(LEFT(DONNEES_SOURCE!AC18,1)),"")</f>
        <v>3</v>
      </c>
      <c r="Q32" s="129">
        <f>IFERROR(VALUE(LEFT(DONNEES_SOURCE!AD18,1)),"")</f>
        <v>4</v>
      </c>
      <c r="R32" s="129">
        <f>IFERROR(VALUE(LEFT(DONNEES_SOURCE!AE18,1)),"")</f>
        <v>2</v>
      </c>
      <c r="S32" s="129">
        <f>IFERROR(VALUE(LEFT(DONNEES_SOURCE!AF18,1)),"")</f>
        <v>4</v>
      </c>
      <c r="T32" s="129">
        <f>IFERROR(VALUE(LEFT(DONNEES_SOURCE!AG18,1)),"")</f>
        <v>3</v>
      </c>
      <c r="U32" s="129">
        <f>IFERROR(VALUE(LEFT(DONNEES_SOURCE!AH18,1)),"")</f>
        <v>3</v>
      </c>
      <c r="V32" s="130">
        <f>IFERROR(((DONNEES_SOURCE!AI18-1)*(4/6))+1,"")</f>
        <v>3</v>
      </c>
      <c r="W32" s="128">
        <f>IFERROR(VALUE(LEFT(DONNEES_SOURCE!AJ18,1)),"")</f>
        <v>4</v>
      </c>
      <c r="X32" s="128">
        <f>IFERROR(VALUE(LEFT(DONNEES_SOURCE!AK18,1)),"")</f>
        <v>2</v>
      </c>
      <c r="Y32" s="128">
        <f>IFERROR(8-DONNEES_SOURCE!AL18,"")</f>
        <v>2</v>
      </c>
      <c r="Z32" s="128">
        <f>IFERROR(VALUE(LEFT(DONNEES_SOURCE!AW18,1)),"")</f>
        <v>6</v>
      </c>
      <c r="AA32" s="128">
        <f>IFERROR(8-VALUE(LEFT(DONNEES_SOURCE!AZ18,1)),"")</f>
        <v>5</v>
      </c>
      <c r="AB32" s="128">
        <f>IFERROR(8-DONNEES_SOURCE!BC18,"")</f>
        <v>3</v>
      </c>
      <c r="AC32" s="128">
        <f>IFERROR(8-DONNEES_SOURCE!BD18,"")</f>
        <v>6</v>
      </c>
      <c r="AD32" s="131">
        <f t="shared" si="0"/>
        <v>73</v>
      </c>
      <c r="AE32" s="131">
        <f t="shared" si="1"/>
        <v>8</v>
      </c>
      <c r="AF32" s="131">
        <f>IFERROR(DONNEES_SOURCE!AM18+DONNEES_SOURCE!AN18+DONNEES_SOURCE!AO18+DONNEES_SOURCE!AP18,"")</f>
        <v>22</v>
      </c>
      <c r="AG32" s="131">
        <f>IFERROR(Z32+DONNEES_SOURCE!AX18+DONNEES_SOURCE!AY18,"")</f>
        <v>16</v>
      </c>
      <c r="AH32" s="131">
        <f>IFERROR(AA32+DONNEES_SOURCE!BA18+DONNEES_SOURCE!BB18+AB32+AC32,"")</f>
        <v>24</v>
      </c>
    </row>
    <row r="33" spans="1:34" x14ac:dyDescent="0.25">
      <c r="A33" s="132">
        <v>18</v>
      </c>
      <c r="B33" s="133">
        <f>IFERROR(VALUE(LEFT(DONNEES_SOURCE!O19,1)),"")</f>
        <v>4</v>
      </c>
      <c r="C33" s="133">
        <f>IFERROR(VALUE(LEFT(DONNEES_SOURCE!P19,1)),"")</f>
        <v>4</v>
      </c>
      <c r="D33" s="133">
        <f>IFERROR(VALUE(LEFT(DONNEES_SOURCE!Q19,1)),"")</f>
        <v>5</v>
      </c>
      <c r="E33" s="133">
        <f>IFERROR(VALUE(LEFT(DONNEES_SOURCE!R19,1)),"")</f>
        <v>2</v>
      </c>
      <c r="F33" s="133">
        <f>IFERROR(VALUE(LEFT(DONNEES_SOURCE!S19,1)),"")</f>
        <v>3</v>
      </c>
      <c r="G33" s="133">
        <f>IFERROR(VALUE(LEFT(DONNEES_SOURCE!T19,1)),"")</f>
        <v>3</v>
      </c>
      <c r="H33" s="133">
        <f>IFERROR(VALUE(LEFT(DONNEES_SOURCE!U19,1)),"")</f>
        <v>3</v>
      </c>
      <c r="I33" s="133">
        <f>IFERROR(VALUE(LEFT(DONNEES_SOURCE!V19,1)),"")</f>
        <v>2</v>
      </c>
      <c r="J33" s="133">
        <f>IFERROR(VALUE(LEFT(DONNEES_SOURCE!W19,1)),"")</f>
        <v>2</v>
      </c>
      <c r="K33" s="133">
        <f>IFERROR(VALUE(LEFT(DONNEES_SOURCE!X19,1)),"")</f>
        <v>5</v>
      </c>
      <c r="L33" s="133">
        <f>IFERROR(VALUE(LEFT(DONNEES_SOURCE!Y19,1)),"")</f>
        <v>5</v>
      </c>
      <c r="M33" s="133">
        <f>IFERROR(VALUE(LEFT(DONNEES_SOURCE!Z19,1)),"")</f>
        <v>5</v>
      </c>
      <c r="N33" s="133">
        <f>IFERROR(VALUE(LEFT(DONNEES_SOURCE!AA19,1)),"")</f>
        <v>5</v>
      </c>
      <c r="O33" s="133">
        <f>IFERROR(VALUE(LEFT(DONNEES_SOURCE!AB19,1)),"")</f>
        <v>3</v>
      </c>
      <c r="P33" s="133">
        <f>IFERROR(VALUE(LEFT(DONNEES_SOURCE!AC19,1)),"")</f>
        <v>3</v>
      </c>
      <c r="Q33" s="133">
        <f>IFERROR(VALUE(LEFT(DONNEES_SOURCE!AD19,1)),"")</f>
        <v>3</v>
      </c>
      <c r="R33" s="133">
        <f>IFERROR(VALUE(LEFT(DONNEES_SOURCE!AE19,1)),"")</f>
        <v>3</v>
      </c>
      <c r="S33" s="133">
        <f>IFERROR(VALUE(LEFT(DONNEES_SOURCE!AF19,1)),"")</f>
        <v>3</v>
      </c>
      <c r="T33" s="133">
        <f>IFERROR(VALUE(LEFT(DONNEES_SOURCE!AG19,1)),"")</f>
        <v>2</v>
      </c>
      <c r="U33" s="133">
        <f>IFERROR(VALUE(LEFT(DONNEES_SOURCE!AH19,1)),"")</f>
        <v>5</v>
      </c>
      <c r="V33" s="134">
        <f>IFERROR(((DONNEES_SOURCE!AI19-1)*(4/6))+1,"")</f>
        <v>4.333333333333333</v>
      </c>
      <c r="W33" s="132">
        <f>IFERROR(VALUE(LEFT(DONNEES_SOURCE!AJ19,1)),"")</f>
        <v>7</v>
      </c>
      <c r="X33" s="132">
        <f>IFERROR(VALUE(LEFT(DONNEES_SOURCE!AK19,1)),"")</f>
        <v>6</v>
      </c>
      <c r="Y33" s="132">
        <f>IFERROR(8-DONNEES_SOURCE!AL19,"")</f>
        <v>5</v>
      </c>
      <c r="Z33" s="132">
        <f>IFERROR(VALUE(LEFT(DONNEES_SOURCE!AW19,1)),"")</f>
        <v>6</v>
      </c>
      <c r="AA33" s="132">
        <f>IFERROR(8-VALUE(LEFT(DONNEES_SOURCE!AZ19,1)),"")</f>
        <v>4</v>
      </c>
      <c r="AB33" s="132">
        <f>IFERROR(8-DONNEES_SOURCE!BC19,"")</f>
        <v>3</v>
      </c>
      <c r="AC33" s="132">
        <f>IFERROR(8-DONNEES_SOURCE!BD19,"")</f>
        <v>5</v>
      </c>
      <c r="AD33" s="135">
        <f t="shared" si="0"/>
        <v>74.333333333333329</v>
      </c>
      <c r="AE33" s="135">
        <f t="shared" si="1"/>
        <v>18</v>
      </c>
      <c r="AF33" s="135">
        <f>IFERROR(DONNEES_SOURCE!AM19+DONNEES_SOURCE!AN19+DONNEES_SOURCE!AO19+DONNEES_SOURCE!AP19,"")</f>
        <v>18</v>
      </c>
      <c r="AG33" s="135">
        <f>IFERROR(Z33+DONNEES_SOURCE!AX19+DONNEES_SOURCE!AY19,"")</f>
        <v>15</v>
      </c>
      <c r="AH33" s="135">
        <f>IFERROR(AA33+DONNEES_SOURCE!BA19+DONNEES_SOURCE!BB19+AB33+AC33,"")</f>
        <v>23</v>
      </c>
    </row>
    <row r="34" spans="1:34" x14ac:dyDescent="0.25">
      <c r="A34" s="128">
        <v>19</v>
      </c>
      <c r="B34" s="129">
        <f>IFERROR(VALUE(LEFT(DONNEES_SOURCE!O20,1)),"")</f>
        <v>3</v>
      </c>
      <c r="C34" s="129">
        <f>IFERROR(VALUE(LEFT(DONNEES_SOURCE!P20,1)),"")</f>
        <v>3</v>
      </c>
      <c r="D34" s="129">
        <f>IFERROR(VALUE(LEFT(DONNEES_SOURCE!Q20,1)),"")</f>
        <v>3</v>
      </c>
      <c r="E34" s="129">
        <f>IFERROR(VALUE(LEFT(DONNEES_SOURCE!R20,1)),"")</f>
        <v>2</v>
      </c>
      <c r="F34" s="129">
        <f>IFERROR(VALUE(LEFT(DONNEES_SOURCE!S20,1)),"")</f>
        <v>3</v>
      </c>
      <c r="G34" s="129">
        <f>IFERROR(VALUE(LEFT(DONNEES_SOURCE!T20,1)),"")</f>
        <v>3</v>
      </c>
      <c r="H34" s="129">
        <f>IFERROR(VALUE(LEFT(DONNEES_SOURCE!U20,1)),"")</f>
        <v>3</v>
      </c>
      <c r="I34" s="129">
        <f>IFERROR(VALUE(LEFT(DONNEES_SOURCE!V20,1)),"")</f>
        <v>3</v>
      </c>
      <c r="J34" s="129">
        <f>IFERROR(VALUE(LEFT(DONNEES_SOURCE!W20,1)),"")</f>
        <v>1</v>
      </c>
      <c r="K34" s="129">
        <f>IFERROR(VALUE(LEFT(DONNEES_SOURCE!X20,1)),"")</f>
        <v>3</v>
      </c>
      <c r="L34" s="129">
        <f>IFERROR(VALUE(LEFT(DONNEES_SOURCE!Y20,1)),"")</f>
        <v>3</v>
      </c>
      <c r="M34" s="129">
        <f>IFERROR(VALUE(LEFT(DONNEES_SOURCE!Z20,1)),"")</f>
        <v>3</v>
      </c>
      <c r="N34" s="129">
        <f>IFERROR(VALUE(LEFT(DONNEES_SOURCE!AA20,1)),"")</f>
        <v>3</v>
      </c>
      <c r="O34" s="129">
        <f>IFERROR(VALUE(LEFT(DONNEES_SOURCE!AB20,1)),"")</f>
        <v>1</v>
      </c>
      <c r="P34" s="129">
        <f>IFERROR(VALUE(LEFT(DONNEES_SOURCE!AC20,1)),"")</f>
        <v>3</v>
      </c>
      <c r="Q34" s="129">
        <f>IFERROR(VALUE(LEFT(DONNEES_SOURCE!AD20,1)),"")</f>
        <v>3</v>
      </c>
      <c r="R34" s="129">
        <f>IFERROR(VALUE(LEFT(DONNEES_SOURCE!AE20,1)),"")</f>
        <v>3</v>
      </c>
      <c r="S34" s="129">
        <f>IFERROR(VALUE(LEFT(DONNEES_SOURCE!AF20,1)),"")</f>
        <v>1</v>
      </c>
      <c r="T34" s="129">
        <f>IFERROR(VALUE(LEFT(DONNEES_SOURCE!AG20,1)),"")</f>
        <v>1</v>
      </c>
      <c r="U34" s="129">
        <f>IFERROR(VALUE(LEFT(DONNEES_SOURCE!AH20,1)),"")</f>
        <v>3</v>
      </c>
      <c r="V34" s="130">
        <f>IFERROR(((DONNEES_SOURCE!AI20-1)*(4/6))+1,"")</f>
        <v>5</v>
      </c>
      <c r="W34" s="128">
        <f>IFERROR(VALUE(LEFT(DONNEES_SOURCE!AJ20,1)),"")</f>
        <v>6</v>
      </c>
      <c r="X34" s="128">
        <f>IFERROR(VALUE(LEFT(DONNEES_SOURCE!AK20,1)),"")</f>
        <v>7</v>
      </c>
      <c r="Y34" s="128">
        <f>IFERROR(8-DONNEES_SOURCE!AL20,"")</f>
        <v>6</v>
      </c>
      <c r="Z34" s="128">
        <f>IFERROR(VALUE(LEFT(DONNEES_SOURCE!AW20,1)),"")</f>
        <v>4</v>
      </c>
      <c r="AA34" s="128">
        <f>IFERROR(8-VALUE(LEFT(DONNEES_SOURCE!AZ20,1)),"")</f>
        <v>4</v>
      </c>
      <c r="AB34" s="128">
        <f>IFERROR(8-DONNEES_SOURCE!BC20,"")</f>
        <v>1</v>
      </c>
      <c r="AC34" s="128">
        <f>IFERROR(8-DONNEES_SOURCE!BD20,"")</f>
        <v>7</v>
      </c>
      <c r="AD34" s="131">
        <f t="shared" si="0"/>
        <v>56</v>
      </c>
      <c r="AE34" s="131">
        <f t="shared" si="1"/>
        <v>19</v>
      </c>
      <c r="AF34" s="131">
        <f>IFERROR(DONNEES_SOURCE!AM20+DONNEES_SOURCE!AN20+DONNEES_SOURCE!AO20+DONNEES_SOURCE!AP20,"")</f>
        <v>22</v>
      </c>
      <c r="AG34" s="131">
        <f>IFERROR(Z34+DONNEES_SOURCE!AX20+DONNEES_SOURCE!AY20,"")</f>
        <v>18</v>
      </c>
      <c r="AH34" s="131">
        <f>IFERROR(AA34+DONNEES_SOURCE!BA20+DONNEES_SOURCE!BB20+AB34+AC34,"")</f>
        <v>23</v>
      </c>
    </row>
    <row r="35" spans="1:34" x14ac:dyDescent="0.25">
      <c r="A35" s="132">
        <v>20</v>
      </c>
      <c r="B35" s="133">
        <f>IFERROR(VALUE(LEFT(DONNEES_SOURCE!O21,1)),"")</f>
        <v>5</v>
      </c>
      <c r="C35" s="133">
        <f>IFERROR(VALUE(LEFT(DONNEES_SOURCE!P21,1)),"")</f>
        <v>2</v>
      </c>
      <c r="D35" s="133">
        <f>IFERROR(VALUE(LEFT(DONNEES_SOURCE!Q21,1)),"")</f>
        <v>4</v>
      </c>
      <c r="E35" s="133">
        <f>IFERROR(VALUE(LEFT(DONNEES_SOURCE!R21,1)),"")</f>
        <v>5</v>
      </c>
      <c r="F35" s="133">
        <f>IFERROR(VALUE(LEFT(DONNEES_SOURCE!S21,1)),"")</f>
        <v>4</v>
      </c>
      <c r="G35" s="133">
        <f>IFERROR(VALUE(LEFT(DONNEES_SOURCE!T21,1)),"")</f>
        <v>4</v>
      </c>
      <c r="H35" s="133">
        <f>IFERROR(VALUE(LEFT(DONNEES_SOURCE!U21,1)),"")</f>
        <v>1</v>
      </c>
      <c r="I35" s="133">
        <f>IFERROR(VALUE(LEFT(DONNEES_SOURCE!V21,1)),"")</f>
        <v>1</v>
      </c>
      <c r="J35" s="133">
        <f>IFERROR(VALUE(LEFT(DONNEES_SOURCE!W21,1)),"")</f>
        <v>1</v>
      </c>
      <c r="K35" s="133">
        <f>IFERROR(VALUE(LEFT(DONNEES_SOURCE!X21,1)),"")</f>
        <v>1</v>
      </c>
      <c r="L35" s="133">
        <f>IFERROR(VALUE(LEFT(DONNEES_SOURCE!Y21,1)),"")</f>
        <v>5</v>
      </c>
      <c r="M35" s="133">
        <f>IFERROR(VALUE(LEFT(DONNEES_SOURCE!Z21,1)),"")</f>
        <v>4</v>
      </c>
      <c r="N35" s="133">
        <f>IFERROR(VALUE(LEFT(DONNEES_SOURCE!AA21,1)),"")</f>
        <v>4</v>
      </c>
      <c r="O35" s="133">
        <f>IFERROR(VALUE(LEFT(DONNEES_SOURCE!AB21,1)),"")</f>
        <v>5</v>
      </c>
      <c r="P35" s="133">
        <f>IFERROR(VALUE(LEFT(DONNEES_SOURCE!AC21,1)),"")</f>
        <v>5</v>
      </c>
      <c r="Q35" s="133">
        <f>IFERROR(VALUE(LEFT(DONNEES_SOURCE!AD21,1)),"")</f>
        <v>4</v>
      </c>
      <c r="R35" s="133">
        <f>IFERROR(VALUE(LEFT(DONNEES_SOURCE!AE21,1)),"")</f>
        <v>2</v>
      </c>
      <c r="S35" s="133">
        <f>IFERROR(VALUE(LEFT(DONNEES_SOURCE!AF21,1)),"")</f>
        <v>2</v>
      </c>
      <c r="T35" s="133">
        <f>IFERROR(VALUE(LEFT(DONNEES_SOURCE!AG21,1)),"")</f>
        <v>2</v>
      </c>
      <c r="U35" s="133">
        <f>IFERROR(VALUE(LEFT(DONNEES_SOURCE!AH21,1)),"")</f>
        <v>4</v>
      </c>
      <c r="V35" s="134">
        <f>IFERROR(((DONNEES_SOURCE!AI21-1)*(4/6))+1,"")</f>
        <v>3.6666666666666665</v>
      </c>
      <c r="W35" s="132">
        <f>IFERROR(VALUE(LEFT(DONNEES_SOURCE!AJ21,1)),"")</f>
        <v>6</v>
      </c>
      <c r="X35" s="132">
        <f>IFERROR(VALUE(LEFT(DONNEES_SOURCE!AK21,1)),"")</f>
        <v>3</v>
      </c>
      <c r="Y35" s="132">
        <f>IFERROR(8-DONNEES_SOURCE!AL21,"")</f>
        <v>5</v>
      </c>
      <c r="Z35" s="132">
        <f>IFERROR(VALUE(LEFT(DONNEES_SOURCE!AW21,1)),"")</f>
        <v>2</v>
      </c>
      <c r="AA35" s="132">
        <f>IFERROR(8-VALUE(LEFT(DONNEES_SOURCE!AZ21,1)),"")</f>
        <v>6</v>
      </c>
      <c r="AB35" s="132">
        <f>IFERROR(8-DONNEES_SOURCE!BC21,"")</f>
        <v>6</v>
      </c>
      <c r="AC35" s="132">
        <f>IFERROR(8-DONNEES_SOURCE!BD21,"")</f>
        <v>6</v>
      </c>
      <c r="AD35" s="135">
        <f t="shared" si="0"/>
        <v>68.666666666666671</v>
      </c>
      <c r="AE35" s="135">
        <f t="shared" si="1"/>
        <v>14</v>
      </c>
      <c r="AF35" s="135">
        <f>IFERROR(DONNEES_SOURCE!AM21+DONNEES_SOURCE!AN21+DONNEES_SOURCE!AO21+DONNEES_SOURCE!AP21,"")</f>
        <v>28</v>
      </c>
      <c r="AG35" s="135">
        <f>IFERROR(Z35+DONNEES_SOURCE!AX21+DONNEES_SOURCE!AY21,"")</f>
        <v>14</v>
      </c>
      <c r="AH35" s="135">
        <f>IFERROR(AA35+DONNEES_SOURCE!BA21+DONNEES_SOURCE!BB21+AB35+AC35,"")</f>
        <v>29</v>
      </c>
    </row>
    <row r="36" spans="1:34" x14ac:dyDescent="0.25">
      <c r="A36" s="128">
        <v>21</v>
      </c>
      <c r="B36" s="129">
        <f>IFERROR(VALUE(LEFT(DONNEES_SOURCE!O22,1)),"")</f>
        <v>3</v>
      </c>
      <c r="C36" s="129">
        <f>IFERROR(VALUE(LEFT(DONNEES_SOURCE!P22,1)),"")</f>
        <v>3</v>
      </c>
      <c r="D36" s="129">
        <f>IFERROR(VALUE(LEFT(DONNEES_SOURCE!Q22,1)),"")</f>
        <v>3</v>
      </c>
      <c r="E36" s="129">
        <f>IFERROR(VALUE(LEFT(DONNEES_SOURCE!R22,1)),"")</f>
        <v>2</v>
      </c>
      <c r="F36" s="129">
        <f>IFERROR(VALUE(LEFT(DONNEES_SOURCE!S22,1)),"")</f>
        <v>2</v>
      </c>
      <c r="G36" s="129">
        <f>IFERROR(VALUE(LEFT(DONNEES_SOURCE!T22,1)),"")</f>
        <v>3</v>
      </c>
      <c r="H36" s="129">
        <f>IFERROR(VALUE(LEFT(DONNEES_SOURCE!U22,1)),"")</f>
        <v>2</v>
      </c>
      <c r="I36" s="129">
        <f>IFERROR(VALUE(LEFT(DONNEES_SOURCE!V22,1)),"")</f>
        <v>3</v>
      </c>
      <c r="J36" s="129">
        <f>IFERROR(VALUE(LEFT(DONNEES_SOURCE!W22,1)),"")</f>
        <v>2</v>
      </c>
      <c r="K36" s="129">
        <f>IFERROR(VALUE(LEFT(DONNEES_SOURCE!X22,1)),"")</f>
        <v>2</v>
      </c>
      <c r="L36" s="129">
        <f>IFERROR(VALUE(LEFT(DONNEES_SOURCE!Y22,1)),"")</f>
        <v>2</v>
      </c>
      <c r="M36" s="129">
        <f>IFERROR(VALUE(LEFT(DONNEES_SOURCE!Z22,1)),"")</f>
        <v>2</v>
      </c>
      <c r="N36" s="129">
        <f>IFERROR(VALUE(LEFT(DONNEES_SOURCE!AA22,1)),"")</f>
        <v>2</v>
      </c>
      <c r="O36" s="129">
        <f>IFERROR(VALUE(LEFT(DONNEES_SOURCE!AB22,1)),"")</f>
        <v>2</v>
      </c>
      <c r="P36" s="129">
        <f>IFERROR(VALUE(LEFT(DONNEES_SOURCE!AC22,1)),"")</f>
        <v>2</v>
      </c>
      <c r="Q36" s="129">
        <f>IFERROR(VALUE(LEFT(DONNEES_SOURCE!AD22,1)),"")</f>
        <v>2</v>
      </c>
      <c r="R36" s="129">
        <f>IFERROR(VALUE(LEFT(DONNEES_SOURCE!AE22,1)),"")</f>
        <v>2</v>
      </c>
      <c r="S36" s="129">
        <f>IFERROR(VALUE(LEFT(DONNEES_SOURCE!AF22,1)),"")</f>
        <v>2</v>
      </c>
      <c r="T36" s="129">
        <f>IFERROR(VALUE(LEFT(DONNEES_SOURCE!AG22,1)),"")</f>
        <v>2</v>
      </c>
      <c r="U36" s="129">
        <f>IFERROR(VALUE(LEFT(DONNEES_SOURCE!AH22,1)),"")</f>
        <v>2</v>
      </c>
      <c r="V36" s="130">
        <f>IFERROR(((DONNEES_SOURCE!AI22-1)*(4/6))+1,"")</f>
        <v>3.6666666666666665</v>
      </c>
      <c r="W36" s="128">
        <f>IFERROR(VALUE(LEFT(DONNEES_SOURCE!AJ22,1)),"")</f>
        <v>5</v>
      </c>
      <c r="X36" s="128">
        <f>IFERROR(VALUE(LEFT(DONNEES_SOURCE!AK22,1)),"")</f>
        <v>5</v>
      </c>
      <c r="Y36" s="128">
        <f>IFERROR(8-DONNEES_SOURCE!AL22,"")</f>
        <v>3</v>
      </c>
      <c r="Z36" s="128">
        <f>IFERROR(VALUE(LEFT(DONNEES_SOURCE!AW22,1)),"")</f>
        <v>2</v>
      </c>
      <c r="AA36" s="128">
        <f>IFERROR(8-VALUE(LEFT(DONNEES_SOURCE!AZ22,1)),"")</f>
        <v>4</v>
      </c>
      <c r="AB36" s="128">
        <f>IFERROR(8-DONNEES_SOURCE!BC22,"")</f>
        <v>3</v>
      </c>
      <c r="AC36" s="128">
        <f>IFERROR(8-DONNEES_SOURCE!BD22,"")</f>
        <v>5</v>
      </c>
      <c r="AD36" s="131">
        <f t="shared" si="0"/>
        <v>48.666666666666664</v>
      </c>
      <c r="AE36" s="131">
        <f t="shared" si="1"/>
        <v>13</v>
      </c>
      <c r="AF36" s="131">
        <f>IFERROR(DONNEES_SOURCE!AM22+DONNEES_SOURCE!AN22+DONNEES_SOURCE!AO22+DONNEES_SOURCE!AP22,"")</f>
        <v>22</v>
      </c>
      <c r="AG36" s="131">
        <f>IFERROR(Z36+DONNEES_SOURCE!AX22+DONNEES_SOURCE!AY22,"")</f>
        <v>10</v>
      </c>
      <c r="AH36" s="131">
        <f>IFERROR(AA36+DONNEES_SOURCE!BA22+DONNEES_SOURCE!BB22+AB36+AC36,"")</f>
        <v>21</v>
      </c>
    </row>
    <row r="37" spans="1:34" x14ac:dyDescent="0.25">
      <c r="A37" s="132">
        <v>22</v>
      </c>
      <c r="B37" s="133">
        <f>IFERROR(VALUE(LEFT(DONNEES_SOURCE!O23,1)),"")</f>
        <v>5</v>
      </c>
      <c r="C37" s="133">
        <f>IFERROR(VALUE(LEFT(DONNEES_SOURCE!P23,1)),"")</f>
        <v>5</v>
      </c>
      <c r="D37" s="133">
        <f>IFERROR(VALUE(LEFT(DONNEES_SOURCE!Q23,1)),"")</f>
        <v>5</v>
      </c>
      <c r="E37" s="133">
        <f>IFERROR(VALUE(LEFT(DONNEES_SOURCE!R23,1)),"")</f>
        <v>5</v>
      </c>
      <c r="F37" s="133">
        <f>IFERROR(VALUE(LEFT(DONNEES_SOURCE!S23,1)),"")</f>
        <v>5</v>
      </c>
      <c r="G37" s="133">
        <f>IFERROR(VALUE(LEFT(DONNEES_SOURCE!T23,1)),"")</f>
        <v>1</v>
      </c>
      <c r="H37" s="133">
        <f>IFERROR(VALUE(LEFT(DONNEES_SOURCE!U23,1)),"")</f>
        <v>1</v>
      </c>
      <c r="I37" s="133">
        <f>IFERROR(VALUE(LEFT(DONNEES_SOURCE!V23,1)),"")</f>
        <v>1</v>
      </c>
      <c r="J37" s="133">
        <f>IFERROR(VALUE(LEFT(DONNEES_SOURCE!W23,1)),"")</f>
        <v>1</v>
      </c>
      <c r="K37" s="133">
        <f>IFERROR(VALUE(LEFT(DONNEES_SOURCE!X23,1)),"")</f>
        <v>4</v>
      </c>
      <c r="L37" s="133">
        <f>IFERROR(VALUE(LEFT(DONNEES_SOURCE!Y23,1)),"")</f>
        <v>5</v>
      </c>
      <c r="M37" s="133">
        <f>IFERROR(VALUE(LEFT(DONNEES_SOURCE!Z23,1)),"")</f>
        <v>5</v>
      </c>
      <c r="N37" s="133">
        <f>IFERROR(VALUE(LEFT(DONNEES_SOURCE!AA23,1)),"")</f>
        <v>5</v>
      </c>
      <c r="O37" s="133">
        <f>IFERROR(VALUE(LEFT(DONNEES_SOURCE!AB23,1)),"")</f>
        <v>5</v>
      </c>
      <c r="P37" s="133">
        <f>IFERROR(VALUE(LEFT(DONNEES_SOURCE!AC23,1)),"")</f>
        <v>5</v>
      </c>
      <c r="Q37" s="133">
        <f>IFERROR(VALUE(LEFT(DONNEES_SOURCE!AD23,1)),"")</f>
        <v>1</v>
      </c>
      <c r="R37" s="133">
        <f>IFERROR(VALUE(LEFT(DONNEES_SOURCE!AE23,1)),"")</f>
        <v>1</v>
      </c>
      <c r="S37" s="133">
        <f>IFERROR(VALUE(LEFT(DONNEES_SOURCE!AF23,1)),"")</f>
        <v>1</v>
      </c>
      <c r="T37" s="133">
        <f>IFERROR(VALUE(LEFT(DONNEES_SOURCE!AG23,1)),"")</f>
        <v>1</v>
      </c>
      <c r="U37" s="133">
        <f>IFERROR(VALUE(LEFT(DONNEES_SOURCE!AH23,1)),"")</f>
        <v>5</v>
      </c>
      <c r="V37" s="134">
        <f>IFERROR(((DONNEES_SOURCE!AI23-1)*(4/6))+1,"")</f>
        <v>4.333333333333333</v>
      </c>
      <c r="W37" s="132">
        <f>IFERROR(VALUE(LEFT(DONNEES_SOURCE!AJ23,1)),"")</f>
        <v>5</v>
      </c>
      <c r="X37" s="132">
        <f>IFERROR(VALUE(LEFT(DONNEES_SOURCE!AK23,1)),"")</f>
        <v>6</v>
      </c>
      <c r="Y37" s="132">
        <f>IFERROR(8-DONNEES_SOURCE!AL23,"")</f>
        <v>6</v>
      </c>
      <c r="Z37" s="132">
        <f>IFERROR(VALUE(LEFT(DONNEES_SOURCE!AW23,1)),"")</f>
        <v>2</v>
      </c>
      <c r="AA37" s="132">
        <f>IFERROR(8-VALUE(LEFT(DONNEES_SOURCE!AZ23,1)),"")</f>
        <v>6</v>
      </c>
      <c r="AB37" s="132">
        <f>IFERROR(8-DONNEES_SOURCE!BC23,"")</f>
        <v>1</v>
      </c>
      <c r="AC37" s="132">
        <f>IFERROR(8-DONNEES_SOURCE!BD23,"")</f>
        <v>2</v>
      </c>
      <c r="AD37" s="135">
        <f t="shared" si="0"/>
        <v>71.333333333333329</v>
      </c>
      <c r="AE37" s="135">
        <f t="shared" si="1"/>
        <v>17</v>
      </c>
      <c r="AF37" s="135">
        <f>IFERROR(DONNEES_SOURCE!AM23+DONNEES_SOURCE!AN23+DONNEES_SOURCE!AO23+DONNEES_SOURCE!AP23,"")</f>
        <v>14</v>
      </c>
      <c r="AG37" s="135">
        <f>IFERROR(Z37+DONNEES_SOURCE!AX23+DONNEES_SOURCE!AY23,"")</f>
        <v>13</v>
      </c>
      <c r="AH37" s="135">
        <f>IFERROR(AA37+DONNEES_SOURCE!BA23+DONNEES_SOURCE!BB23+AB37+AC37,"")</f>
        <v>22</v>
      </c>
    </row>
    <row r="38" spans="1:34" x14ac:dyDescent="0.25">
      <c r="A38" s="128">
        <v>23</v>
      </c>
      <c r="B38" s="129">
        <f>IFERROR(VALUE(LEFT(DONNEES_SOURCE!O24,1)),"")</f>
        <v>3</v>
      </c>
      <c r="C38" s="129">
        <f>IFERROR(VALUE(LEFT(DONNEES_SOURCE!P24,1)),"")</f>
        <v>3</v>
      </c>
      <c r="D38" s="129">
        <f>IFERROR(VALUE(LEFT(DONNEES_SOURCE!Q24,1)),"")</f>
        <v>3</v>
      </c>
      <c r="E38" s="129">
        <f>IFERROR(VALUE(LEFT(DONNEES_SOURCE!R24,1)),"")</f>
        <v>3</v>
      </c>
      <c r="F38" s="129">
        <f>IFERROR(VALUE(LEFT(DONNEES_SOURCE!S24,1)),"")</f>
        <v>3</v>
      </c>
      <c r="G38" s="129">
        <f>IFERROR(VALUE(LEFT(DONNEES_SOURCE!T24,1)),"")</f>
        <v>3</v>
      </c>
      <c r="H38" s="129">
        <f>IFERROR(VALUE(LEFT(DONNEES_SOURCE!U24,1)),"")</f>
        <v>3</v>
      </c>
      <c r="I38" s="129">
        <f>IFERROR(VALUE(LEFT(DONNEES_SOURCE!V24,1)),"")</f>
        <v>3</v>
      </c>
      <c r="J38" s="129">
        <f>IFERROR(VALUE(LEFT(DONNEES_SOURCE!W24,1)),"")</f>
        <v>3</v>
      </c>
      <c r="K38" s="129">
        <f>IFERROR(VALUE(LEFT(DONNEES_SOURCE!X24,1)),"")</f>
        <v>3</v>
      </c>
      <c r="L38" s="129">
        <f>IFERROR(VALUE(LEFT(DONNEES_SOURCE!Y24,1)),"")</f>
        <v>3</v>
      </c>
      <c r="M38" s="129">
        <f>IFERROR(VALUE(LEFT(DONNEES_SOURCE!Z24,1)),"")</f>
        <v>4</v>
      </c>
      <c r="N38" s="129">
        <f>IFERROR(VALUE(LEFT(DONNEES_SOURCE!AA24,1)),"")</f>
        <v>4</v>
      </c>
      <c r="O38" s="129">
        <f>IFERROR(VALUE(LEFT(DONNEES_SOURCE!AB24,1)),"")</f>
        <v>4</v>
      </c>
      <c r="P38" s="129">
        <f>IFERROR(VALUE(LEFT(DONNEES_SOURCE!AC24,1)),"")</f>
        <v>4</v>
      </c>
      <c r="Q38" s="129">
        <f>IFERROR(VALUE(LEFT(DONNEES_SOURCE!AD24,1)),"")</f>
        <v>3</v>
      </c>
      <c r="R38" s="129">
        <f>IFERROR(VALUE(LEFT(DONNEES_SOURCE!AE24,1)),"")</f>
        <v>3</v>
      </c>
      <c r="S38" s="129">
        <f>IFERROR(VALUE(LEFT(DONNEES_SOURCE!AF24,1)),"")</f>
        <v>3</v>
      </c>
      <c r="T38" s="129">
        <f>IFERROR(VALUE(LEFT(DONNEES_SOURCE!AG24,1)),"")</f>
        <v>4</v>
      </c>
      <c r="U38" s="129">
        <f>IFERROR(VALUE(LEFT(DONNEES_SOURCE!AH24,1)),"")</f>
        <v>3</v>
      </c>
      <c r="V38" s="130">
        <f>IFERROR(((DONNEES_SOURCE!AI24-1)*(4/6))+1,"")</f>
        <v>4.333333333333333</v>
      </c>
      <c r="W38" s="128">
        <f>IFERROR(VALUE(LEFT(DONNEES_SOURCE!AJ24,1)),"")</f>
        <v>5</v>
      </c>
      <c r="X38" s="128">
        <f>IFERROR(VALUE(LEFT(DONNEES_SOURCE!AK24,1)),"")</f>
        <v>6</v>
      </c>
      <c r="Y38" s="128">
        <f>IFERROR(8-DONNEES_SOURCE!AL24,"")</f>
        <v>5</v>
      </c>
      <c r="Z38" s="128">
        <f>IFERROR(VALUE(LEFT(DONNEES_SOURCE!AW24,1)),"")</f>
        <v>2</v>
      </c>
      <c r="AA38" s="128">
        <f>IFERROR(8-VALUE(LEFT(DONNEES_SOURCE!AZ24,1)),"")</f>
        <v>6</v>
      </c>
      <c r="AB38" s="128">
        <f>IFERROR(8-DONNEES_SOURCE!BC24,"")</f>
        <v>3</v>
      </c>
      <c r="AC38" s="128">
        <f>IFERROR(8-DONNEES_SOURCE!BD24,"")</f>
        <v>6</v>
      </c>
      <c r="AD38" s="131">
        <f t="shared" si="0"/>
        <v>69.333333333333329</v>
      </c>
      <c r="AE38" s="131">
        <f t="shared" si="1"/>
        <v>16</v>
      </c>
      <c r="AF38" s="131">
        <f>IFERROR(DONNEES_SOURCE!AM24+DONNEES_SOURCE!AN24+DONNEES_SOURCE!AO24+DONNEES_SOURCE!AP24,"")</f>
        <v>21</v>
      </c>
      <c r="AG38" s="131">
        <f>IFERROR(Z38+DONNEES_SOURCE!AX24+DONNEES_SOURCE!AY24,"")</f>
        <v>11</v>
      </c>
      <c r="AH38" s="131">
        <f>IFERROR(AA38+DONNEES_SOURCE!BA24+DONNEES_SOURCE!BB24+AB38+AC38,"")</f>
        <v>24</v>
      </c>
    </row>
    <row r="39" spans="1:34" x14ac:dyDescent="0.25">
      <c r="A39" s="132">
        <v>24</v>
      </c>
      <c r="B39" s="133">
        <f>IFERROR(VALUE(LEFT(DONNEES_SOURCE!O25,1)),"")</f>
        <v>4</v>
      </c>
      <c r="C39" s="133">
        <f>IFERROR(VALUE(LEFT(DONNEES_SOURCE!P25,1)),"")</f>
        <v>4</v>
      </c>
      <c r="D39" s="133">
        <f>IFERROR(VALUE(LEFT(DONNEES_SOURCE!Q25,1)),"")</f>
        <v>4</v>
      </c>
      <c r="E39" s="133">
        <f>IFERROR(VALUE(LEFT(DONNEES_SOURCE!R25,1)),"")</f>
        <v>3</v>
      </c>
      <c r="F39" s="133">
        <f>IFERROR(VALUE(LEFT(DONNEES_SOURCE!S25,1)),"")</f>
        <v>5</v>
      </c>
      <c r="G39" s="133">
        <f>IFERROR(VALUE(LEFT(DONNEES_SOURCE!T25,1)),"")</f>
        <v>3</v>
      </c>
      <c r="H39" s="133">
        <f>IFERROR(VALUE(LEFT(DONNEES_SOURCE!U25,1)),"")</f>
        <v>2</v>
      </c>
      <c r="I39" s="133">
        <f>IFERROR(VALUE(LEFT(DONNEES_SOURCE!V25,1)),"")</f>
        <v>2</v>
      </c>
      <c r="J39" s="133">
        <f>IFERROR(VALUE(LEFT(DONNEES_SOURCE!W25,1)),"")</f>
        <v>3</v>
      </c>
      <c r="K39" s="133">
        <f>IFERROR(VALUE(LEFT(DONNEES_SOURCE!X25,1)),"")</f>
        <v>5</v>
      </c>
      <c r="L39" s="133">
        <f>IFERROR(VALUE(LEFT(DONNEES_SOURCE!Y25,1)),"")</f>
        <v>4</v>
      </c>
      <c r="M39" s="133">
        <f>IFERROR(VALUE(LEFT(DONNEES_SOURCE!Z25,1)),"")</f>
        <v>4</v>
      </c>
      <c r="N39" s="133">
        <f>IFERROR(VALUE(LEFT(DONNEES_SOURCE!AA25,1)),"")</f>
        <v>4</v>
      </c>
      <c r="O39" s="133">
        <f>IFERROR(VALUE(LEFT(DONNEES_SOURCE!AB25,1)),"")</f>
        <v>3</v>
      </c>
      <c r="P39" s="133">
        <f>IFERROR(VALUE(LEFT(DONNEES_SOURCE!AC25,1)),"")</f>
        <v>5</v>
      </c>
      <c r="Q39" s="133">
        <f>IFERROR(VALUE(LEFT(DONNEES_SOURCE!AD25,1)),"")</f>
        <v>3</v>
      </c>
      <c r="R39" s="133">
        <f>IFERROR(VALUE(LEFT(DONNEES_SOURCE!AE25,1)),"")</f>
        <v>2</v>
      </c>
      <c r="S39" s="133">
        <f>IFERROR(VALUE(LEFT(DONNEES_SOURCE!AF25,1)),"")</f>
        <v>2</v>
      </c>
      <c r="T39" s="133">
        <f>IFERROR(VALUE(LEFT(DONNEES_SOURCE!AG25,1)),"")</f>
        <v>3</v>
      </c>
      <c r="U39" s="133">
        <f>IFERROR(VALUE(LEFT(DONNEES_SOURCE!AH25,1)),"")</f>
        <v>5</v>
      </c>
      <c r="V39" s="134">
        <f>IFERROR(((DONNEES_SOURCE!AI25-1)*(4/6))+1,"")</f>
        <v>3.6666666666666665</v>
      </c>
      <c r="W39" s="132">
        <f>IFERROR(VALUE(LEFT(DONNEES_SOURCE!AJ25,1)),"")</f>
        <v>6</v>
      </c>
      <c r="X39" s="132">
        <f>IFERROR(VALUE(LEFT(DONNEES_SOURCE!AK25,1)),"")</f>
        <v>7</v>
      </c>
      <c r="Y39" s="132">
        <f>IFERROR(8-DONNEES_SOURCE!AL25,"")</f>
        <v>4</v>
      </c>
      <c r="Z39" s="132">
        <f>IFERROR(VALUE(LEFT(DONNEES_SOURCE!AW25,1)),"")</f>
        <v>5</v>
      </c>
      <c r="AA39" s="132">
        <f>IFERROR(8-VALUE(LEFT(DONNEES_SOURCE!AZ25,1)),"")</f>
        <v>5</v>
      </c>
      <c r="AB39" s="132">
        <f>IFERROR(8-DONNEES_SOURCE!BC25,"")</f>
        <v>3</v>
      </c>
      <c r="AC39" s="132">
        <f>IFERROR(8-DONNEES_SOURCE!BD25,"")</f>
        <v>3</v>
      </c>
      <c r="AD39" s="135">
        <f t="shared" si="0"/>
        <v>73.666666666666671</v>
      </c>
      <c r="AE39" s="135">
        <f t="shared" si="1"/>
        <v>17</v>
      </c>
      <c r="AF39" s="135">
        <f>IFERROR(DONNEES_SOURCE!AM25+DONNEES_SOURCE!AN25+DONNEES_SOURCE!AO25+DONNEES_SOURCE!AP25,"")</f>
        <v>23</v>
      </c>
      <c r="AG39" s="135">
        <f>IFERROR(Z39+DONNEES_SOURCE!AX25+DONNEES_SOURCE!AY25,"")</f>
        <v>17</v>
      </c>
      <c r="AH39" s="135">
        <f>IFERROR(AA39+DONNEES_SOURCE!BA25+DONNEES_SOURCE!BB25+AB39+AC39,"")</f>
        <v>21</v>
      </c>
    </row>
    <row r="40" spans="1:34" x14ac:dyDescent="0.25">
      <c r="A40" s="128">
        <v>25</v>
      </c>
      <c r="B40" s="129">
        <f>IFERROR(VALUE(LEFT(DONNEES_SOURCE!O26,1)),"")</f>
        <v>5</v>
      </c>
      <c r="C40" s="129">
        <f>IFERROR(VALUE(LEFT(DONNEES_SOURCE!P26,1)),"")</f>
        <v>4</v>
      </c>
      <c r="D40" s="129">
        <f>IFERROR(VALUE(LEFT(DONNEES_SOURCE!Q26,1)),"")</f>
        <v>3</v>
      </c>
      <c r="E40" s="129">
        <f>IFERROR(VALUE(LEFT(DONNEES_SOURCE!R26,1)),"")</f>
        <v>4</v>
      </c>
      <c r="F40" s="129">
        <f>IFERROR(VALUE(LEFT(DONNEES_SOURCE!S26,1)),"")</f>
        <v>5</v>
      </c>
      <c r="G40" s="129">
        <f>IFERROR(VALUE(LEFT(DONNEES_SOURCE!T26,1)),"")</f>
        <v>3</v>
      </c>
      <c r="H40" s="129">
        <f>IFERROR(VALUE(LEFT(DONNEES_SOURCE!U26,1)),"")</f>
        <v>1</v>
      </c>
      <c r="I40" s="129">
        <f>IFERROR(VALUE(LEFT(DONNEES_SOURCE!V26,1)),"")</f>
        <v>2</v>
      </c>
      <c r="J40" s="129">
        <f>IFERROR(VALUE(LEFT(DONNEES_SOURCE!W26,1)),"")</f>
        <v>4</v>
      </c>
      <c r="K40" s="129">
        <f>IFERROR(VALUE(LEFT(DONNEES_SOURCE!X26,1)),"")</f>
        <v>4</v>
      </c>
      <c r="L40" s="129">
        <f>IFERROR(VALUE(LEFT(DONNEES_SOURCE!Y26,1)),"")</f>
        <v>4</v>
      </c>
      <c r="M40" s="129">
        <f>IFERROR(VALUE(LEFT(DONNEES_SOURCE!Z26,1)),"")</f>
        <v>5</v>
      </c>
      <c r="N40" s="129">
        <f>IFERROR(VALUE(LEFT(DONNEES_SOURCE!AA26,1)),"")</f>
        <v>5</v>
      </c>
      <c r="O40" s="129">
        <f>IFERROR(VALUE(LEFT(DONNEES_SOURCE!AB26,1)),"")</f>
        <v>3</v>
      </c>
      <c r="P40" s="129">
        <f>IFERROR(VALUE(LEFT(DONNEES_SOURCE!AC26,1)),"")</f>
        <v>5</v>
      </c>
      <c r="Q40" s="129">
        <f>IFERROR(VALUE(LEFT(DONNEES_SOURCE!AD26,1)),"")</f>
        <v>4</v>
      </c>
      <c r="R40" s="129">
        <f>IFERROR(VALUE(LEFT(DONNEES_SOURCE!AE26,1)),"")</f>
        <v>1</v>
      </c>
      <c r="S40" s="129">
        <f>IFERROR(VALUE(LEFT(DONNEES_SOURCE!AF26,1)),"")</f>
        <v>1</v>
      </c>
      <c r="T40" s="129">
        <f>IFERROR(VALUE(LEFT(DONNEES_SOURCE!AG26,1)),"")</f>
        <v>4</v>
      </c>
      <c r="U40" s="129">
        <f>IFERROR(VALUE(LEFT(DONNEES_SOURCE!AH26,1)),"")</f>
        <v>4</v>
      </c>
      <c r="V40" s="130">
        <f>IFERROR(((DONNEES_SOURCE!AI26-1)*(4/6))+1,"")</f>
        <v>3.6666666666666665</v>
      </c>
      <c r="W40" s="128">
        <f>IFERROR(VALUE(LEFT(DONNEES_SOURCE!AJ26,1)),"")</f>
        <v>3</v>
      </c>
      <c r="X40" s="128">
        <f>IFERROR(VALUE(LEFT(DONNEES_SOURCE!AK26,1)),"")</f>
        <v>5</v>
      </c>
      <c r="Y40" s="128">
        <f>IFERROR(8-DONNEES_SOURCE!AL26,"")</f>
        <v>2</v>
      </c>
      <c r="Z40" s="128">
        <f>IFERROR(VALUE(LEFT(DONNEES_SOURCE!AW26,1)),"")</f>
        <v>6</v>
      </c>
      <c r="AA40" s="128">
        <f>IFERROR(8-VALUE(LEFT(DONNEES_SOURCE!AZ26,1)),"")</f>
        <v>6</v>
      </c>
      <c r="AB40" s="128">
        <f>IFERROR(8-DONNEES_SOURCE!BC26,"")</f>
        <v>2</v>
      </c>
      <c r="AC40" s="128">
        <f>IFERROR(8-DONNEES_SOURCE!BD26,"")</f>
        <v>5</v>
      </c>
      <c r="AD40" s="131">
        <f t="shared" si="0"/>
        <v>74.666666666666671</v>
      </c>
      <c r="AE40" s="131">
        <f t="shared" si="1"/>
        <v>10</v>
      </c>
      <c r="AF40" s="131">
        <f>IFERROR(DONNEES_SOURCE!AM26+DONNEES_SOURCE!AN26+DONNEES_SOURCE!AO26+DONNEES_SOURCE!AP26,"")</f>
        <v>18</v>
      </c>
      <c r="AG40" s="131">
        <f>IFERROR(Z40+DONNEES_SOURCE!AX26+DONNEES_SOURCE!AY26,"")</f>
        <v>16</v>
      </c>
      <c r="AH40" s="131">
        <f>IFERROR(AA40+DONNEES_SOURCE!BA26+DONNEES_SOURCE!BB26+AB40+AC40,"")</f>
        <v>25</v>
      </c>
    </row>
    <row r="41" spans="1:34" x14ac:dyDescent="0.25">
      <c r="A41" s="132">
        <v>26</v>
      </c>
      <c r="B41" s="133">
        <f>IFERROR(VALUE(LEFT(DONNEES_SOURCE!O27,1)),"")</f>
        <v>4</v>
      </c>
      <c r="C41" s="133">
        <f>IFERROR(VALUE(LEFT(DONNEES_SOURCE!P27,1)),"")</f>
        <v>4</v>
      </c>
      <c r="D41" s="133">
        <f>IFERROR(VALUE(LEFT(DONNEES_SOURCE!Q27,1)),"")</f>
        <v>4</v>
      </c>
      <c r="E41" s="133">
        <f>IFERROR(VALUE(LEFT(DONNEES_SOURCE!R27,1)),"")</f>
        <v>4</v>
      </c>
      <c r="F41" s="133">
        <f>IFERROR(VALUE(LEFT(DONNEES_SOURCE!S27,1)),"")</f>
        <v>4</v>
      </c>
      <c r="G41" s="133">
        <f>IFERROR(VALUE(LEFT(DONNEES_SOURCE!T27,1)),"")</f>
        <v>4</v>
      </c>
      <c r="H41" s="133">
        <f>IFERROR(VALUE(LEFT(DONNEES_SOURCE!U27,1)),"")</f>
        <v>4</v>
      </c>
      <c r="I41" s="133">
        <f>IFERROR(VALUE(LEFT(DONNEES_SOURCE!V27,1)),"")</f>
        <v>4</v>
      </c>
      <c r="J41" s="133">
        <f>IFERROR(VALUE(LEFT(DONNEES_SOURCE!W27,1)),"")</f>
        <v>4</v>
      </c>
      <c r="K41" s="133">
        <f>IFERROR(VALUE(LEFT(DONNEES_SOURCE!X27,1)),"")</f>
        <v>4</v>
      </c>
      <c r="L41" s="133">
        <f>IFERROR(VALUE(LEFT(DONNEES_SOURCE!Y27,1)),"")</f>
        <v>4</v>
      </c>
      <c r="M41" s="133">
        <f>IFERROR(VALUE(LEFT(DONNEES_SOURCE!Z27,1)),"")</f>
        <v>4</v>
      </c>
      <c r="N41" s="133">
        <f>IFERROR(VALUE(LEFT(DONNEES_SOURCE!AA27,1)),"")</f>
        <v>4</v>
      </c>
      <c r="O41" s="133">
        <f>IFERROR(VALUE(LEFT(DONNEES_SOURCE!AB27,1)),"")</f>
        <v>4</v>
      </c>
      <c r="P41" s="133">
        <f>IFERROR(VALUE(LEFT(DONNEES_SOURCE!AC27,1)),"")</f>
        <v>4</v>
      </c>
      <c r="Q41" s="133">
        <f>IFERROR(VALUE(LEFT(DONNEES_SOURCE!AD27,1)),"")</f>
        <v>4</v>
      </c>
      <c r="R41" s="133">
        <f>IFERROR(VALUE(LEFT(DONNEES_SOURCE!AE27,1)),"")</f>
        <v>4</v>
      </c>
      <c r="S41" s="133">
        <f>IFERROR(VALUE(LEFT(DONNEES_SOURCE!AF27,1)),"")</f>
        <v>4</v>
      </c>
      <c r="T41" s="133">
        <f>IFERROR(VALUE(LEFT(DONNEES_SOURCE!AG27,1)),"")</f>
        <v>3</v>
      </c>
      <c r="U41" s="133">
        <f>IFERROR(VALUE(LEFT(DONNEES_SOURCE!AH27,1)),"")</f>
        <v>3</v>
      </c>
      <c r="V41" s="134">
        <f>IFERROR(((DONNEES_SOURCE!AI27-1)*(4/6))+1,"")</f>
        <v>4.333333333333333</v>
      </c>
      <c r="W41" s="132">
        <f>IFERROR(VALUE(LEFT(DONNEES_SOURCE!AJ27,1)),"")</f>
        <v>6</v>
      </c>
      <c r="X41" s="132">
        <f>IFERROR(VALUE(LEFT(DONNEES_SOURCE!AK27,1)),"")</f>
        <v>6</v>
      </c>
      <c r="Y41" s="132">
        <f>IFERROR(8-DONNEES_SOURCE!AL27,"")</f>
        <v>4</v>
      </c>
      <c r="Z41" s="132">
        <f>IFERROR(VALUE(LEFT(DONNEES_SOURCE!AW27,1)),"")</f>
        <v>5</v>
      </c>
      <c r="AA41" s="132">
        <f>IFERROR(8-VALUE(LEFT(DONNEES_SOURCE!AZ27,1)),"")</f>
        <v>4</v>
      </c>
      <c r="AB41" s="132">
        <f>IFERROR(8-DONNEES_SOURCE!BC27,"")</f>
        <v>4</v>
      </c>
      <c r="AC41" s="132">
        <f>IFERROR(8-DONNEES_SOURCE!BD27,"")</f>
        <v>3</v>
      </c>
      <c r="AD41" s="135">
        <f t="shared" si="0"/>
        <v>82.333333333333329</v>
      </c>
      <c r="AE41" s="135">
        <f t="shared" si="1"/>
        <v>16</v>
      </c>
      <c r="AF41" s="135">
        <f>IFERROR(DONNEES_SOURCE!AM27+DONNEES_SOURCE!AN27+DONNEES_SOURCE!AO27+DONNEES_SOURCE!AP27,"")</f>
        <v>18</v>
      </c>
      <c r="AG41" s="135">
        <f>IFERROR(Z41+DONNEES_SOURCE!AX27+DONNEES_SOURCE!AY27,"")</f>
        <v>14</v>
      </c>
      <c r="AH41" s="135">
        <f>IFERROR(AA41+DONNEES_SOURCE!BA27+DONNEES_SOURCE!BB27+AB41+AC41,"")</f>
        <v>21</v>
      </c>
    </row>
    <row r="42" spans="1:34" x14ac:dyDescent="0.25">
      <c r="A42" s="128">
        <v>27</v>
      </c>
      <c r="B42" s="129">
        <f>IFERROR(VALUE(LEFT(DONNEES_SOURCE!O28,1)),"")</f>
        <v>3</v>
      </c>
      <c r="C42" s="129">
        <f>IFERROR(VALUE(LEFT(DONNEES_SOURCE!P28,1)),"")</f>
        <v>4</v>
      </c>
      <c r="D42" s="129">
        <f>IFERROR(VALUE(LEFT(DONNEES_SOURCE!Q28,1)),"")</f>
        <v>4</v>
      </c>
      <c r="E42" s="129">
        <f>IFERROR(VALUE(LEFT(DONNEES_SOURCE!R28,1)),"")</f>
        <v>4</v>
      </c>
      <c r="F42" s="129">
        <f>IFERROR(VALUE(LEFT(DONNEES_SOURCE!S28,1)),"")</f>
        <v>4</v>
      </c>
      <c r="G42" s="129">
        <f>IFERROR(VALUE(LEFT(DONNEES_SOURCE!T28,1)),"")</f>
        <v>2</v>
      </c>
      <c r="H42" s="129">
        <f>IFERROR(VALUE(LEFT(DONNEES_SOURCE!U28,1)),"")</f>
        <v>2</v>
      </c>
      <c r="I42" s="129">
        <f>IFERROR(VALUE(LEFT(DONNEES_SOURCE!V28,1)),"")</f>
        <v>2</v>
      </c>
      <c r="J42" s="129">
        <f>IFERROR(VALUE(LEFT(DONNEES_SOURCE!W28,1)),"")</f>
        <v>2</v>
      </c>
      <c r="K42" s="129">
        <f>IFERROR(VALUE(LEFT(DONNEES_SOURCE!X28,1)),"")</f>
        <v>3</v>
      </c>
      <c r="L42" s="129">
        <f>IFERROR(VALUE(LEFT(DONNEES_SOURCE!Y28,1)),"")</f>
        <v>3</v>
      </c>
      <c r="M42" s="129">
        <f>IFERROR(VALUE(LEFT(DONNEES_SOURCE!Z28,1)),"")</f>
        <v>3</v>
      </c>
      <c r="N42" s="129">
        <f>IFERROR(VALUE(LEFT(DONNEES_SOURCE!AA28,1)),"")</f>
        <v>3</v>
      </c>
      <c r="O42" s="129">
        <f>IFERROR(VALUE(LEFT(DONNEES_SOURCE!AB28,1)),"")</f>
        <v>3</v>
      </c>
      <c r="P42" s="129">
        <f>IFERROR(VALUE(LEFT(DONNEES_SOURCE!AC28,1)),"")</f>
        <v>3</v>
      </c>
      <c r="Q42" s="129">
        <f>IFERROR(VALUE(LEFT(DONNEES_SOURCE!AD28,1)),"")</f>
        <v>1</v>
      </c>
      <c r="R42" s="129">
        <f>IFERROR(VALUE(LEFT(DONNEES_SOURCE!AE28,1)),"")</f>
        <v>1</v>
      </c>
      <c r="S42" s="129">
        <f>IFERROR(VALUE(LEFT(DONNEES_SOURCE!AF28,1)),"")</f>
        <v>1</v>
      </c>
      <c r="T42" s="129">
        <f>IFERROR(VALUE(LEFT(DONNEES_SOURCE!AG28,1)),"")</f>
        <v>1</v>
      </c>
      <c r="U42" s="129">
        <f>IFERROR(VALUE(LEFT(DONNEES_SOURCE!AH28,1)),"")</f>
        <v>1</v>
      </c>
      <c r="V42" s="130">
        <f>IFERROR(((DONNEES_SOURCE!AI28-1)*(4/6))+1,"")</f>
        <v>3.6666666666666665</v>
      </c>
      <c r="W42" s="128">
        <f>IFERROR(VALUE(LEFT(DONNEES_SOURCE!AJ28,1)),"")</f>
        <v>3</v>
      </c>
      <c r="X42" s="128">
        <f>IFERROR(VALUE(LEFT(DONNEES_SOURCE!AK28,1)),"")</f>
        <v>5</v>
      </c>
      <c r="Y42" s="128">
        <f>IFERROR(8-DONNEES_SOURCE!AL28,"")</f>
        <v>1</v>
      </c>
      <c r="Z42" s="128">
        <f>IFERROR(VALUE(LEFT(DONNEES_SOURCE!AW28,1)),"")</f>
        <v>3</v>
      </c>
      <c r="AA42" s="128">
        <f>IFERROR(8-VALUE(LEFT(DONNEES_SOURCE!AZ28,1)),"")</f>
        <v>5</v>
      </c>
      <c r="AB42" s="128">
        <f>IFERROR(8-DONNEES_SOURCE!BC28,"")</f>
        <v>5</v>
      </c>
      <c r="AC42" s="128">
        <f>IFERROR(8-DONNEES_SOURCE!BD28,"")</f>
        <v>6</v>
      </c>
      <c r="AD42" s="131">
        <f t="shared" si="0"/>
        <v>53.666666666666664</v>
      </c>
      <c r="AE42" s="131">
        <f t="shared" si="1"/>
        <v>9</v>
      </c>
      <c r="AF42" s="131">
        <f>IFERROR(DONNEES_SOURCE!AM28+DONNEES_SOURCE!AN28+DONNEES_SOURCE!AO28+DONNEES_SOURCE!AP28,"")</f>
        <v>26</v>
      </c>
      <c r="AG42" s="131">
        <f>IFERROR(Z42+DONNEES_SOURCE!AX28+DONNEES_SOURCE!AY28,"")</f>
        <v>14</v>
      </c>
      <c r="AH42" s="131">
        <f>IFERROR(AA42+DONNEES_SOURCE!BA28+DONNEES_SOURCE!BB28+AB42+AC42,"")</f>
        <v>27</v>
      </c>
    </row>
    <row r="43" spans="1:34" x14ac:dyDescent="0.25">
      <c r="A43" s="132">
        <v>28</v>
      </c>
      <c r="B43" s="133">
        <f>IFERROR(VALUE(LEFT(DONNEES_SOURCE!O29,1)),"")</f>
        <v>2</v>
      </c>
      <c r="C43" s="133">
        <f>IFERROR(VALUE(LEFT(DONNEES_SOURCE!P29,1)),"")</f>
        <v>5</v>
      </c>
      <c r="D43" s="133">
        <f>IFERROR(VALUE(LEFT(DONNEES_SOURCE!Q29,1)),"")</f>
        <v>5</v>
      </c>
      <c r="E43" s="133">
        <f>IFERROR(VALUE(LEFT(DONNEES_SOURCE!R29,1)),"")</f>
        <v>3</v>
      </c>
      <c r="F43" s="133">
        <f>IFERROR(VALUE(LEFT(DONNEES_SOURCE!S29,1)),"")</f>
        <v>5</v>
      </c>
      <c r="G43" s="133">
        <f>IFERROR(VALUE(LEFT(DONNEES_SOURCE!T29,1)),"")</f>
        <v>2</v>
      </c>
      <c r="H43" s="133">
        <f>IFERROR(VALUE(LEFT(DONNEES_SOURCE!U29,1)),"")</f>
        <v>3</v>
      </c>
      <c r="I43" s="133">
        <f>IFERROR(VALUE(LEFT(DONNEES_SOURCE!V29,1)),"")</f>
        <v>3</v>
      </c>
      <c r="J43" s="133">
        <f>IFERROR(VALUE(LEFT(DONNEES_SOURCE!W29,1)),"")</f>
        <v>2</v>
      </c>
      <c r="K43" s="133">
        <f>IFERROR(VALUE(LEFT(DONNEES_SOURCE!X29,1)),"")</f>
        <v>4</v>
      </c>
      <c r="L43" s="133">
        <f>IFERROR(VALUE(LEFT(DONNEES_SOURCE!Y29,1)),"")</f>
        <v>2</v>
      </c>
      <c r="M43" s="133">
        <f>IFERROR(VALUE(LEFT(DONNEES_SOURCE!Z29,1)),"")</f>
        <v>4</v>
      </c>
      <c r="N43" s="133">
        <f>IFERROR(VALUE(LEFT(DONNEES_SOURCE!AA29,1)),"")</f>
        <v>5</v>
      </c>
      <c r="O43" s="133">
        <f>IFERROR(VALUE(LEFT(DONNEES_SOURCE!AB29,1)),"")</f>
        <v>3</v>
      </c>
      <c r="P43" s="133">
        <f>IFERROR(VALUE(LEFT(DONNEES_SOURCE!AC29,1)),"")</f>
        <v>5</v>
      </c>
      <c r="Q43" s="133">
        <f>IFERROR(VALUE(LEFT(DONNEES_SOURCE!AD29,1)),"")</f>
        <v>3</v>
      </c>
      <c r="R43" s="133">
        <f>IFERROR(VALUE(LEFT(DONNEES_SOURCE!AE29,1)),"")</f>
        <v>3</v>
      </c>
      <c r="S43" s="133">
        <f>IFERROR(VALUE(LEFT(DONNEES_SOURCE!AF29,1)),"")</f>
        <v>2</v>
      </c>
      <c r="T43" s="133">
        <f>IFERROR(VALUE(LEFT(DONNEES_SOURCE!AG29,1)),"")</f>
        <v>2</v>
      </c>
      <c r="U43" s="133">
        <f>IFERROR(VALUE(LEFT(DONNEES_SOURCE!AH29,1)),"")</f>
        <v>3</v>
      </c>
      <c r="V43" s="134">
        <f>IFERROR(((DONNEES_SOURCE!AI29-1)*(4/6))+1,"")</f>
        <v>3.6666666666666665</v>
      </c>
      <c r="W43" s="132">
        <f>IFERROR(VALUE(LEFT(DONNEES_SOURCE!AJ29,1)),"")</f>
        <v>5</v>
      </c>
      <c r="X43" s="132">
        <f>IFERROR(VALUE(LEFT(DONNEES_SOURCE!AK29,1)),"")</f>
        <v>5</v>
      </c>
      <c r="Y43" s="132">
        <f>IFERROR(8-DONNEES_SOURCE!AL29,"")</f>
        <v>3</v>
      </c>
      <c r="Z43" s="132">
        <f>IFERROR(VALUE(LEFT(DONNEES_SOURCE!AW29,1)),"")</f>
        <v>4</v>
      </c>
      <c r="AA43" s="132">
        <f>IFERROR(8-VALUE(LEFT(DONNEES_SOURCE!AZ29,1)),"")</f>
        <v>6</v>
      </c>
      <c r="AB43" s="132">
        <f>IFERROR(8-DONNEES_SOURCE!BC29,"")</f>
        <v>4</v>
      </c>
      <c r="AC43" s="132">
        <f>IFERROR(8-DONNEES_SOURCE!BD29,"")</f>
        <v>6</v>
      </c>
      <c r="AD43" s="135">
        <f t="shared" si="0"/>
        <v>69.666666666666671</v>
      </c>
      <c r="AE43" s="135">
        <f t="shared" si="1"/>
        <v>13</v>
      </c>
      <c r="AF43" s="135">
        <f>IFERROR(DONNEES_SOURCE!AM29+DONNEES_SOURCE!AN29+DONNEES_SOURCE!AO29+DONNEES_SOURCE!AP29,"")</f>
        <v>19</v>
      </c>
      <c r="AG43" s="135">
        <f>IFERROR(Z43+DONNEES_SOURCE!AX29+DONNEES_SOURCE!AY29,"")</f>
        <v>14</v>
      </c>
      <c r="AH43" s="135">
        <f>IFERROR(AA43+DONNEES_SOURCE!BA29+DONNEES_SOURCE!BB29+AB43+AC43,"")</f>
        <v>26</v>
      </c>
    </row>
    <row r="44" spans="1:34" x14ac:dyDescent="0.25">
      <c r="A44" s="128">
        <v>29</v>
      </c>
      <c r="B44" s="129">
        <f>IFERROR(VALUE(LEFT(DONNEES_SOURCE!O30,1)),"")</f>
        <v>4</v>
      </c>
      <c r="C44" s="129">
        <f>IFERROR(VALUE(LEFT(DONNEES_SOURCE!P30,1)),"")</f>
        <v>5</v>
      </c>
      <c r="D44" s="129">
        <f>IFERROR(VALUE(LEFT(DONNEES_SOURCE!Q30,1)),"")</f>
        <v>5</v>
      </c>
      <c r="E44" s="129">
        <f>IFERROR(VALUE(LEFT(DONNEES_SOURCE!R30,1)),"")</f>
        <v>4</v>
      </c>
      <c r="F44" s="129">
        <f>IFERROR(VALUE(LEFT(DONNEES_SOURCE!S30,1)),"")</f>
        <v>4</v>
      </c>
      <c r="G44" s="129">
        <f>IFERROR(VALUE(LEFT(DONNEES_SOURCE!T30,1)),"")</f>
        <v>1</v>
      </c>
      <c r="H44" s="129">
        <f>IFERROR(VALUE(LEFT(DONNEES_SOURCE!U30,1)),"")</f>
        <v>1</v>
      </c>
      <c r="I44" s="129">
        <f>IFERROR(VALUE(LEFT(DONNEES_SOURCE!V30,1)),"")</f>
        <v>3</v>
      </c>
      <c r="J44" s="129">
        <f>IFERROR(VALUE(LEFT(DONNEES_SOURCE!W30,1)),"")</f>
        <v>3</v>
      </c>
      <c r="K44" s="129">
        <f>IFERROR(VALUE(LEFT(DONNEES_SOURCE!X30,1)),"")</f>
        <v>4</v>
      </c>
      <c r="L44" s="129">
        <f>IFERROR(VALUE(LEFT(DONNEES_SOURCE!Y30,1)),"")</f>
        <v>4</v>
      </c>
      <c r="M44" s="129">
        <f>IFERROR(VALUE(LEFT(DONNEES_SOURCE!Z30,1)),"")</f>
        <v>4</v>
      </c>
      <c r="N44" s="129">
        <f>IFERROR(VALUE(LEFT(DONNEES_SOURCE!AA30,1)),"")</f>
        <v>4</v>
      </c>
      <c r="O44" s="129">
        <f>IFERROR(VALUE(LEFT(DONNEES_SOURCE!AB30,1)),"")</f>
        <v>5</v>
      </c>
      <c r="P44" s="129">
        <f>IFERROR(VALUE(LEFT(DONNEES_SOURCE!AC30,1)),"")</f>
        <v>4</v>
      </c>
      <c r="Q44" s="129">
        <f>IFERROR(VALUE(LEFT(DONNEES_SOURCE!AD30,1)),"")</f>
        <v>1</v>
      </c>
      <c r="R44" s="129">
        <f>IFERROR(VALUE(LEFT(DONNEES_SOURCE!AE30,1)),"")</f>
        <v>1</v>
      </c>
      <c r="S44" s="129">
        <f>IFERROR(VALUE(LEFT(DONNEES_SOURCE!AF30,1)),"")</f>
        <v>3</v>
      </c>
      <c r="T44" s="129">
        <f>IFERROR(VALUE(LEFT(DONNEES_SOURCE!AG30,1)),"")</f>
        <v>4</v>
      </c>
      <c r="U44" s="129">
        <f>IFERROR(VALUE(LEFT(DONNEES_SOURCE!AH30,1)),"")</f>
        <v>4</v>
      </c>
      <c r="V44" s="130">
        <f>IFERROR(((DONNEES_SOURCE!AI30-1)*(4/6))+1,"")</f>
        <v>5</v>
      </c>
      <c r="W44" s="128">
        <f>IFERROR(VALUE(LEFT(DONNEES_SOURCE!AJ30,1)),"")</f>
        <v>6</v>
      </c>
      <c r="X44" s="128">
        <f>IFERROR(VALUE(LEFT(DONNEES_SOURCE!AK30,1)),"")</f>
        <v>6</v>
      </c>
      <c r="Y44" s="128">
        <f>IFERROR(8-DONNEES_SOURCE!AL30,"")</f>
        <v>4</v>
      </c>
      <c r="Z44" s="128">
        <f>IFERROR(VALUE(LEFT(DONNEES_SOURCE!AW30,1)),"")</f>
        <v>2</v>
      </c>
      <c r="AA44" s="128">
        <f>IFERROR(8-VALUE(LEFT(DONNEES_SOURCE!AZ30,1)),"")</f>
        <v>3</v>
      </c>
      <c r="AB44" s="128">
        <f>IFERROR(8-DONNEES_SOURCE!BC30,"")</f>
        <v>3</v>
      </c>
      <c r="AC44" s="128">
        <f>IFERROR(8-DONNEES_SOURCE!BD30,"")</f>
        <v>7</v>
      </c>
      <c r="AD44" s="131">
        <f t="shared" si="0"/>
        <v>73</v>
      </c>
      <c r="AE44" s="131">
        <f t="shared" si="1"/>
        <v>16</v>
      </c>
      <c r="AF44" s="131">
        <f>IFERROR(DONNEES_SOURCE!AM30+DONNEES_SOURCE!AN30+DONNEES_SOURCE!AO30+DONNEES_SOURCE!AP30,"")</f>
        <v>21</v>
      </c>
      <c r="AG44" s="131">
        <f>IFERROR(Z44+DONNEES_SOURCE!AX30+DONNEES_SOURCE!AY30,"")</f>
        <v>14</v>
      </c>
      <c r="AH44" s="131">
        <f>IFERROR(AA44+DONNEES_SOURCE!BA30+DONNEES_SOURCE!BB30+AB44+AC44,"")</f>
        <v>24</v>
      </c>
    </row>
    <row r="45" spans="1:34" x14ac:dyDescent="0.25">
      <c r="A45" s="132">
        <v>30</v>
      </c>
      <c r="B45" s="133">
        <f>IFERROR(VALUE(LEFT(DONNEES_SOURCE!O31,1)),"")</f>
        <v>5</v>
      </c>
      <c r="C45" s="133">
        <f>IFERROR(VALUE(LEFT(DONNEES_SOURCE!P31,1)),"")</f>
        <v>5</v>
      </c>
      <c r="D45" s="133">
        <f>IFERROR(VALUE(LEFT(DONNEES_SOURCE!Q31,1)),"")</f>
        <v>5</v>
      </c>
      <c r="E45" s="133">
        <f>IFERROR(VALUE(LEFT(DONNEES_SOURCE!R31,1)),"")</f>
        <v>4</v>
      </c>
      <c r="F45" s="133">
        <f>IFERROR(VALUE(LEFT(DONNEES_SOURCE!S31,1)),"")</f>
        <v>3</v>
      </c>
      <c r="G45" s="133">
        <f>IFERROR(VALUE(LEFT(DONNEES_SOURCE!T31,1)),"")</f>
        <v>3</v>
      </c>
      <c r="H45" s="133">
        <f>IFERROR(VALUE(LEFT(DONNEES_SOURCE!U31,1)),"")</f>
        <v>2</v>
      </c>
      <c r="I45" s="133">
        <f>IFERROR(VALUE(LEFT(DONNEES_SOURCE!V31,1)),"")</f>
        <v>3</v>
      </c>
      <c r="J45" s="133">
        <f>IFERROR(VALUE(LEFT(DONNEES_SOURCE!W31,1)),"")</f>
        <v>3</v>
      </c>
      <c r="K45" s="133">
        <f>IFERROR(VALUE(LEFT(DONNEES_SOURCE!X31,1)),"")</f>
        <v>3</v>
      </c>
      <c r="L45" s="133">
        <f>IFERROR(VALUE(LEFT(DONNEES_SOURCE!Y31,1)),"")</f>
        <v>4</v>
      </c>
      <c r="M45" s="133">
        <f>IFERROR(VALUE(LEFT(DONNEES_SOURCE!Z31,1)),"")</f>
        <v>4</v>
      </c>
      <c r="N45" s="133">
        <f>IFERROR(VALUE(LEFT(DONNEES_SOURCE!AA31,1)),"")</f>
        <v>5</v>
      </c>
      <c r="O45" s="133">
        <f>IFERROR(VALUE(LEFT(DONNEES_SOURCE!AB31,1)),"")</f>
        <v>4</v>
      </c>
      <c r="P45" s="133">
        <f>IFERROR(VALUE(LEFT(DONNEES_SOURCE!AC31,1)),"")</f>
        <v>3</v>
      </c>
      <c r="Q45" s="133">
        <f>IFERROR(VALUE(LEFT(DONNEES_SOURCE!AD31,1)),"")</f>
        <v>3</v>
      </c>
      <c r="R45" s="133">
        <f>IFERROR(VALUE(LEFT(DONNEES_SOURCE!AE31,1)),"")</f>
        <v>3</v>
      </c>
      <c r="S45" s="133">
        <f>IFERROR(VALUE(LEFT(DONNEES_SOURCE!AF31,1)),"")</f>
        <v>3</v>
      </c>
      <c r="T45" s="133">
        <f>IFERROR(VALUE(LEFT(DONNEES_SOURCE!AG31,1)),"")</f>
        <v>3</v>
      </c>
      <c r="U45" s="133">
        <f>IFERROR(VALUE(LEFT(DONNEES_SOURCE!AH31,1)),"")</f>
        <v>4</v>
      </c>
      <c r="V45" s="134">
        <f>IFERROR(((DONNEES_SOURCE!AI31-1)*(4/6))+1,"")</f>
        <v>4.333333333333333</v>
      </c>
      <c r="W45" s="132">
        <f>IFERROR(VALUE(LEFT(DONNEES_SOURCE!AJ31,1)),"")</f>
        <v>5</v>
      </c>
      <c r="X45" s="132">
        <f>IFERROR(VALUE(LEFT(DONNEES_SOURCE!AK31,1)),"")</f>
        <v>6</v>
      </c>
      <c r="Y45" s="132">
        <f>IFERROR(8-DONNEES_SOURCE!AL31,"")</f>
        <v>3</v>
      </c>
      <c r="Z45" s="132">
        <f>IFERROR(VALUE(LEFT(DONNEES_SOURCE!AW31,1)),"")</f>
        <v>1</v>
      </c>
      <c r="AA45" s="132">
        <f>IFERROR(8-VALUE(LEFT(DONNEES_SOURCE!AZ31,1)),"")</f>
        <v>4</v>
      </c>
      <c r="AB45" s="132">
        <f>IFERROR(8-DONNEES_SOURCE!BC31,"")</f>
        <v>5</v>
      </c>
      <c r="AC45" s="132">
        <f>IFERROR(8-DONNEES_SOURCE!BD31,"")</f>
        <v>4</v>
      </c>
      <c r="AD45" s="135">
        <f t="shared" si="0"/>
        <v>76.333333333333329</v>
      </c>
      <c r="AE45" s="135">
        <f t="shared" si="1"/>
        <v>14</v>
      </c>
      <c r="AF45" s="135">
        <f>IFERROR(DONNEES_SOURCE!AM31+DONNEES_SOURCE!AN31+DONNEES_SOURCE!AO31+DONNEES_SOURCE!AP31,"")</f>
        <v>19</v>
      </c>
      <c r="AG45" s="135">
        <f>IFERROR(Z45+DONNEES_SOURCE!AX31+DONNEES_SOURCE!AY31,"")</f>
        <v>10</v>
      </c>
      <c r="AH45" s="135">
        <f>IFERROR(AA45+DONNEES_SOURCE!BA31+DONNEES_SOURCE!BB31+AB45+AC45,"")</f>
        <v>23</v>
      </c>
    </row>
    <row r="46" spans="1:34" x14ac:dyDescent="0.25">
      <c r="A46" s="128">
        <v>31</v>
      </c>
      <c r="B46" s="129">
        <f>IFERROR(VALUE(LEFT(DONNEES_SOURCE!O32,1)),"")</f>
        <v>3</v>
      </c>
      <c r="C46" s="129">
        <f>IFERROR(VALUE(LEFT(DONNEES_SOURCE!P32,1)),"")</f>
        <v>5</v>
      </c>
      <c r="D46" s="129">
        <f>IFERROR(VALUE(LEFT(DONNEES_SOURCE!Q32,1)),"")</f>
        <v>5</v>
      </c>
      <c r="E46" s="129">
        <f>IFERROR(VALUE(LEFT(DONNEES_SOURCE!R32,1)),"")</f>
        <v>3</v>
      </c>
      <c r="F46" s="129">
        <f>IFERROR(VALUE(LEFT(DONNEES_SOURCE!S32,1)),"")</f>
        <v>3</v>
      </c>
      <c r="G46" s="129">
        <f>IFERROR(VALUE(LEFT(DONNEES_SOURCE!T32,1)),"")</f>
        <v>3</v>
      </c>
      <c r="H46" s="129">
        <f>IFERROR(VALUE(LEFT(DONNEES_SOURCE!U32,1)),"")</f>
        <v>3</v>
      </c>
      <c r="I46" s="129">
        <f>IFERROR(VALUE(LEFT(DONNEES_SOURCE!V32,1)),"")</f>
        <v>3</v>
      </c>
      <c r="J46" s="129">
        <f>IFERROR(VALUE(LEFT(DONNEES_SOURCE!W32,1)),"")</f>
        <v>3</v>
      </c>
      <c r="K46" s="129">
        <f>IFERROR(VALUE(LEFT(DONNEES_SOURCE!X32,1)),"")</f>
        <v>3</v>
      </c>
      <c r="L46" s="129">
        <f>IFERROR(VALUE(LEFT(DONNEES_SOURCE!Y32,1)),"")</f>
        <v>3</v>
      </c>
      <c r="M46" s="129">
        <f>IFERROR(VALUE(LEFT(DONNEES_SOURCE!Z32,1)),"")</f>
        <v>5</v>
      </c>
      <c r="N46" s="129">
        <f>IFERROR(VALUE(LEFT(DONNEES_SOURCE!AA32,1)),"")</f>
        <v>4</v>
      </c>
      <c r="O46" s="129">
        <f>IFERROR(VALUE(LEFT(DONNEES_SOURCE!AB32,1)),"")</f>
        <v>3</v>
      </c>
      <c r="P46" s="129">
        <f>IFERROR(VALUE(LEFT(DONNEES_SOURCE!AC32,1)),"")</f>
        <v>3</v>
      </c>
      <c r="Q46" s="129">
        <f>IFERROR(VALUE(LEFT(DONNEES_SOURCE!AD32,1)),"")</f>
        <v>3</v>
      </c>
      <c r="R46" s="129">
        <f>IFERROR(VALUE(LEFT(DONNEES_SOURCE!AE32,1)),"")</f>
        <v>3</v>
      </c>
      <c r="S46" s="129">
        <f>IFERROR(VALUE(LEFT(DONNEES_SOURCE!AF32,1)),"")</f>
        <v>3</v>
      </c>
      <c r="T46" s="129">
        <f>IFERROR(VALUE(LEFT(DONNEES_SOURCE!AG32,1)),"")</f>
        <v>3</v>
      </c>
      <c r="U46" s="129">
        <f>IFERROR(VALUE(LEFT(DONNEES_SOURCE!AH32,1)),"")</f>
        <v>3</v>
      </c>
      <c r="V46" s="130">
        <f>IFERROR(((DONNEES_SOURCE!AI32-1)*(4/6))+1,"")</f>
        <v>5</v>
      </c>
      <c r="W46" s="128">
        <f>IFERROR(VALUE(LEFT(DONNEES_SOURCE!AJ32,1)),"")</f>
        <v>6</v>
      </c>
      <c r="X46" s="128">
        <f>IFERROR(VALUE(LEFT(DONNEES_SOURCE!AK32,1)),"")</f>
        <v>5</v>
      </c>
      <c r="Y46" s="128">
        <f>IFERROR(8-DONNEES_SOURCE!AL32,"")</f>
        <v>5</v>
      </c>
      <c r="Z46" s="128">
        <f>IFERROR(VALUE(LEFT(DONNEES_SOURCE!AW32,1)),"")</f>
        <v>2</v>
      </c>
      <c r="AA46" s="128">
        <f>IFERROR(8-VALUE(LEFT(DONNEES_SOURCE!AZ32,1)),"")</f>
        <v>2</v>
      </c>
      <c r="AB46" s="128">
        <f>IFERROR(8-DONNEES_SOURCE!BC32,"")</f>
        <v>3</v>
      </c>
      <c r="AC46" s="128">
        <f>IFERROR(8-DONNEES_SOURCE!BD32,"")</f>
        <v>5</v>
      </c>
      <c r="AD46" s="131">
        <f t="shared" si="0"/>
        <v>72</v>
      </c>
      <c r="AE46" s="131">
        <f t="shared" si="1"/>
        <v>16</v>
      </c>
      <c r="AF46" s="131">
        <f>IFERROR(DONNEES_SOURCE!AM32+DONNEES_SOURCE!AN32+DONNEES_SOURCE!AO32+DONNEES_SOURCE!AP32,"")</f>
        <v>25</v>
      </c>
      <c r="AG46" s="131">
        <f>IFERROR(Z46+DONNEES_SOURCE!AX32+DONNEES_SOURCE!AY32,"")</f>
        <v>8</v>
      </c>
      <c r="AH46" s="131">
        <f>IFERROR(AA46+DONNEES_SOURCE!BA32+DONNEES_SOURCE!BB32+AB46+AC46,"")</f>
        <v>16</v>
      </c>
    </row>
    <row r="47" spans="1:34" x14ac:dyDescent="0.25">
      <c r="A47" s="132">
        <v>32</v>
      </c>
      <c r="B47" s="133">
        <f>IFERROR(VALUE(LEFT(DONNEES_SOURCE!O33,1)),"")</f>
        <v>5</v>
      </c>
      <c r="C47" s="133">
        <f>IFERROR(VALUE(LEFT(DONNEES_SOURCE!P33,1)),"")</f>
        <v>4</v>
      </c>
      <c r="D47" s="133">
        <f>IFERROR(VALUE(LEFT(DONNEES_SOURCE!Q33,1)),"")</f>
        <v>5</v>
      </c>
      <c r="E47" s="133">
        <f>IFERROR(VALUE(LEFT(DONNEES_SOURCE!R33,1)),"")</f>
        <v>5</v>
      </c>
      <c r="F47" s="133">
        <f>IFERROR(VALUE(LEFT(DONNEES_SOURCE!S33,1)),"")</f>
        <v>5</v>
      </c>
      <c r="G47" s="133">
        <f>IFERROR(VALUE(LEFT(DONNEES_SOURCE!T33,1)),"")</f>
        <v>3</v>
      </c>
      <c r="H47" s="133">
        <f>IFERROR(VALUE(LEFT(DONNEES_SOURCE!U33,1)),"")</f>
        <v>2</v>
      </c>
      <c r="I47" s="133">
        <f>IFERROR(VALUE(LEFT(DONNEES_SOURCE!V33,1)),"")</f>
        <v>3</v>
      </c>
      <c r="J47" s="133">
        <f>IFERROR(VALUE(LEFT(DONNEES_SOURCE!W33,1)),"")</f>
        <v>3</v>
      </c>
      <c r="K47" s="133">
        <f>IFERROR(VALUE(LEFT(DONNEES_SOURCE!X33,1)),"")</f>
        <v>4</v>
      </c>
      <c r="L47" s="133">
        <f>IFERROR(VALUE(LEFT(DONNEES_SOURCE!Y33,1)),"")</f>
        <v>5</v>
      </c>
      <c r="M47" s="133">
        <f>IFERROR(VALUE(LEFT(DONNEES_SOURCE!Z33,1)),"")</f>
        <v>5</v>
      </c>
      <c r="N47" s="133">
        <f>IFERROR(VALUE(LEFT(DONNEES_SOURCE!AA33,1)),"")</f>
        <v>5</v>
      </c>
      <c r="O47" s="133">
        <f>IFERROR(VALUE(LEFT(DONNEES_SOURCE!AB33,1)),"")</f>
        <v>5</v>
      </c>
      <c r="P47" s="133">
        <f>IFERROR(VALUE(LEFT(DONNEES_SOURCE!AC33,1)),"")</f>
        <v>5</v>
      </c>
      <c r="Q47" s="133">
        <f>IFERROR(VALUE(LEFT(DONNEES_SOURCE!AD33,1)),"")</f>
        <v>4</v>
      </c>
      <c r="R47" s="133">
        <f>IFERROR(VALUE(LEFT(DONNEES_SOURCE!AE33,1)),"")</f>
        <v>3</v>
      </c>
      <c r="S47" s="133">
        <f>IFERROR(VALUE(LEFT(DONNEES_SOURCE!AF33,1)),"")</f>
        <v>3</v>
      </c>
      <c r="T47" s="133">
        <f>IFERROR(VALUE(LEFT(DONNEES_SOURCE!AG33,1)),"")</f>
        <v>3</v>
      </c>
      <c r="U47" s="133">
        <f>IFERROR(VALUE(LEFT(DONNEES_SOURCE!AH33,1)),"")</f>
        <v>4</v>
      </c>
      <c r="V47" s="134">
        <f>IFERROR(((DONNEES_SOURCE!AI33-1)*(4/6))+1,"")</f>
        <v>4.333333333333333</v>
      </c>
      <c r="W47" s="132">
        <f>IFERROR(VALUE(LEFT(DONNEES_SOURCE!AJ33,1)),"")</f>
        <v>6</v>
      </c>
      <c r="X47" s="132">
        <f>IFERROR(VALUE(LEFT(DONNEES_SOURCE!AK33,1)),"")</f>
        <v>6</v>
      </c>
      <c r="Y47" s="132">
        <f>IFERROR(8-DONNEES_SOURCE!AL33,"")</f>
        <v>5</v>
      </c>
      <c r="Z47" s="132">
        <f>IFERROR(VALUE(LEFT(DONNEES_SOURCE!AW33,1)),"")</f>
        <v>4</v>
      </c>
      <c r="AA47" s="132">
        <f>IFERROR(8-VALUE(LEFT(DONNEES_SOURCE!AZ33,1)),"")</f>
        <v>6</v>
      </c>
      <c r="AB47" s="132">
        <f>IFERROR(8-DONNEES_SOURCE!BC33,"")</f>
        <v>3</v>
      </c>
      <c r="AC47" s="132">
        <f>IFERROR(8-DONNEES_SOURCE!BD33,"")</f>
        <v>6</v>
      </c>
      <c r="AD47" s="135">
        <f t="shared" si="0"/>
        <v>85.333333333333329</v>
      </c>
      <c r="AE47" s="135">
        <f t="shared" si="1"/>
        <v>17</v>
      </c>
      <c r="AF47" s="135">
        <f>IFERROR(DONNEES_SOURCE!AM33+DONNEES_SOURCE!AN33+DONNEES_SOURCE!AO33+DONNEES_SOURCE!AP33,"")</f>
        <v>15</v>
      </c>
      <c r="AG47" s="135">
        <f>IFERROR(Z47+DONNEES_SOURCE!AX33+DONNEES_SOURCE!AY33,"")</f>
        <v>16</v>
      </c>
      <c r="AH47" s="135">
        <f>IFERROR(AA47+DONNEES_SOURCE!BA33+DONNEES_SOURCE!BB33+AB47+AC47,"")</f>
        <v>26</v>
      </c>
    </row>
    <row r="48" spans="1:34" x14ac:dyDescent="0.25">
      <c r="A48" s="128">
        <v>33</v>
      </c>
      <c r="B48" s="129">
        <f>IFERROR(VALUE(LEFT(DONNEES_SOURCE!O34,1)),"")</f>
        <v>2</v>
      </c>
      <c r="C48" s="129">
        <f>IFERROR(VALUE(LEFT(DONNEES_SOURCE!P34,1)),"")</f>
        <v>2</v>
      </c>
      <c r="D48" s="129">
        <f>IFERROR(VALUE(LEFT(DONNEES_SOURCE!Q34,1)),"")</f>
        <v>5</v>
      </c>
      <c r="E48" s="129">
        <f>IFERROR(VALUE(LEFT(DONNEES_SOURCE!R34,1)),"")</f>
        <v>5</v>
      </c>
      <c r="F48" s="129">
        <f>IFERROR(VALUE(LEFT(DONNEES_SOURCE!S34,1)),"")</f>
        <v>3</v>
      </c>
      <c r="G48" s="129">
        <f>IFERROR(VALUE(LEFT(DONNEES_SOURCE!T34,1)),"")</f>
        <v>1</v>
      </c>
      <c r="H48" s="129">
        <f>IFERROR(VALUE(LEFT(DONNEES_SOURCE!U34,1)),"")</f>
        <v>3</v>
      </c>
      <c r="I48" s="129">
        <f>IFERROR(VALUE(LEFT(DONNEES_SOURCE!V34,1)),"")</f>
        <v>1</v>
      </c>
      <c r="J48" s="129">
        <f>IFERROR(VALUE(LEFT(DONNEES_SOURCE!W34,1)),"")</f>
        <v>3</v>
      </c>
      <c r="K48" s="129">
        <f>IFERROR(VALUE(LEFT(DONNEES_SOURCE!X34,1)),"")</f>
        <v>3</v>
      </c>
      <c r="L48" s="129">
        <f>IFERROR(VALUE(LEFT(DONNEES_SOURCE!Y34,1)),"")</f>
        <v>3</v>
      </c>
      <c r="M48" s="129">
        <f>IFERROR(VALUE(LEFT(DONNEES_SOURCE!Z34,1)),"")</f>
        <v>4</v>
      </c>
      <c r="N48" s="129">
        <f>IFERROR(VALUE(LEFT(DONNEES_SOURCE!AA34,1)),"")</f>
        <v>4</v>
      </c>
      <c r="O48" s="129">
        <f>IFERROR(VALUE(LEFT(DONNEES_SOURCE!AB34,1)),"")</f>
        <v>4</v>
      </c>
      <c r="P48" s="129">
        <f>IFERROR(VALUE(LEFT(DONNEES_SOURCE!AC34,1)),"")</f>
        <v>3</v>
      </c>
      <c r="Q48" s="129">
        <f>IFERROR(VALUE(LEFT(DONNEES_SOURCE!AD34,1)),"")</f>
        <v>3</v>
      </c>
      <c r="R48" s="129">
        <f>IFERROR(VALUE(LEFT(DONNEES_SOURCE!AE34,1)),"")</f>
        <v>3</v>
      </c>
      <c r="S48" s="129">
        <f>IFERROR(VALUE(LEFT(DONNEES_SOURCE!AF34,1)),"")</f>
        <v>3</v>
      </c>
      <c r="T48" s="129">
        <f>IFERROR(VALUE(LEFT(DONNEES_SOURCE!AG34,1)),"")</f>
        <v>4</v>
      </c>
      <c r="U48" s="129">
        <f>IFERROR(VALUE(LEFT(DONNEES_SOURCE!AH34,1)),"")</f>
        <v>3</v>
      </c>
      <c r="V48" s="130">
        <f>IFERROR(((DONNEES_SOURCE!AI34-1)*(4/6))+1,"")</f>
        <v>4.333333333333333</v>
      </c>
      <c r="W48" s="128">
        <f>IFERROR(VALUE(LEFT(DONNEES_SOURCE!AJ34,1)),"")</f>
        <v>5</v>
      </c>
      <c r="X48" s="128">
        <f>IFERROR(VALUE(LEFT(DONNEES_SOURCE!AK34,1)),"")</f>
        <v>6</v>
      </c>
      <c r="Y48" s="128">
        <f>IFERROR(8-DONNEES_SOURCE!AL34,"")</f>
        <v>3</v>
      </c>
      <c r="Z48" s="128">
        <f>IFERROR(VALUE(LEFT(DONNEES_SOURCE!AW34,1)),"")</f>
        <v>2</v>
      </c>
      <c r="AA48" s="128">
        <f>IFERROR(8-VALUE(LEFT(DONNEES_SOURCE!AZ34,1)),"")</f>
        <v>2</v>
      </c>
      <c r="AB48" s="128">
        <f>IFERROR(8-DONNEES_SOURCE!BC34,"")</f>
        <v>6</v>
      </c>
      <c r="AC48" s="128">
        <f>IFERROR(8-DONNEES_SOURCE!BD34,"")</f>
        <v>7</v>
      </c>
      <c r="AD48" s="131">
        <f t="shared" ref="AD48:AD82" si="2">IFERROR(B48+C48+D48+E48+F48+G48+H48+I48+J48+K48+L48+M48+N48+O48+P48+Q48+R48+S48+T48+U48+V48,"")</f>
        <v>66.333333333333329</v>
      </c>
      <c r="AE48" s="131">
        <f t="shared" ref="AE48:AE82" si="3">IFERROR(W48+X48+Y48,"")</f>
        <v>14</v>
      </c>
      <c r="AF48" s="131">
        <f>IFERROR(DONNEES_SOURCE!AM34+DONNEES_SOURCE!AN34+DONNEES_SOURCE!AO34+DONNEES_SOURCE!AP34,"")</f>
        <v>22</v>
      </c>
      <c r="AG48" s="131">
        <f>IFERROR(Z48+DONNEES_SOURCE!AX34+DONNEES_SOURCE!AY34,"")</f>
        <v>12</v>
      </c>
      <c r="AH48" s="131">
        <f>IFERROR(AA48+DONNEES_SOURCE!BA34+DONNEES_SOURCE!BB34+AB48+AC48,"")</f>
        <v>29</v>
      </c>
    </row>
    <row r="49" spans="1:34" x14ac:dyDescent="0.25">
      <c r="A49" s="132">
        <v>34</v>
      </c>
      <c r="B49" s="133">
        <f>IFERROR(VALUE(LEFT(DONNEES_SOURCE!O35,1)),"")</f>
        <v>2</v>
      </c>
      <c r="C49" s="133">
        <f>IFERROR(VALUE(LEFT(DONNEES_SOURCE!P35,1)),"")</f>
        <v>4</v>
      </c>
      <c r="D49" s="133">
        <f>IFERROR(VALUE(LEFT(DONNEES_SOURCE!Q35,1)),"")</f>
        <v>4</v>
      </c>
      <c r="E49" s="133">
        <f>IFERROR(VALUE(LEFT(DONNEES_SOURCE!R35,1)),"")</f>
        <v>1</v>
      </c>
      <c r="F49" s="133">
        <f>IFERROR(VALUE(LEFT(DONNEES_SOURCE!S35,1)),"")</f>
        <v>4</v>
      </c>
      <c r="G49" s="133">
        <f>IFERROR(VALUE(LEFT(DONNEES_SOURCE!T35,1)),"")</f>
        <v>3</v>
      </c>
      <c r="H49" s="133">
        <f>IFERROR(VALUE(LEFT(DONNEES_SOURCE!U35,1)),"")</f>
        <v>3</v>
      </c>
      <c r="I49" s="133">
        <f>IFERROR(VALUE(LEFT(DONNEES_SOURCE!V35,1)),"")</f>
        <v>3</v>
      </c>
      <c r="J49" s="133">
        <f>IFERROR(VALUE(LEFT(DONNEES_SOURCE!W35,1)),"")</f>
        <v>4</v>
      </c>
      <c r="K49" s="133">
        <f>IFERROR(VALUE(LEFT(DONNEES_SOURCE!X35,1)),"")</f>
        <v>3</v>
      </c>
      <c r="L49" s="133">
        <f>IFERROR(VALUE(LEFT(DONNEES_SOURCE!Y35,1)),"")</f>
        <v>1</v>
      </c>
      <c r="M49" s="133">
        <f>IFERROR(VALUE(LEFT(DONNEES_SOURCE!Z35,1)),"")</f>
        <v>4</v>
      </c>
      <c r="N49" s="133">
        <f>IFERROR(VALUE(LEFT(DONNEES_SOURCE!AA35,1)),"")</f>
        <v>4</v>
      </c>
      <c r="O49" s="133">
        <f>IFERROR(VALUE(LEFT(DONNEES_SOURCE!AB35,1)),"")</f>
        <v>1</v>
      </c>
      <c r="P49" s="133">
        <f>IFERROR(VALUE(LEFT(DONNEES_SOURCE!AC35,1)),"")</f>
        <v>4</v>
      </c>
      <c r="Q49" s="133">
        <f>IFERROR(VALUE(LEFT(DONNEES_SOURCE!AD35,1)),"")</f>
        <v>1</v>
      </c>
      <c r="R49" s="133">
        <f>IFERROR(VALUE(LEFT(DONNEES_SOURCE!AE35,1)),"")</f>
        <v>1</v>
      </c>
      <c r="S49" s="133">
        <f>IFERROR(VALUE(LEFT(DONNEES_SOURCE!AF35,1)),"")</f>
        <v>1</v>
      </c>
      <c r="T49" s="133">
        <f>IFERROR(VALUE(LEFT(DONNEES_SOURCE!AG35,1)),"")</f>
        <v>4</v>
      </c>
      <c r="U49" s="133">
        <f>IFERROR(VALUE(LEFT(DONNEES_SOURCE!AH35,1)),"")</f>
        <v>4</v>
      </c>
      <c r="V49" s="134">
        <f>IFERROR(((DONNEES_SOURCE!AI35-1)*(4/6))+1,"")</f>
        <v>4.333333333333333</v>
      </c>
      <c r="W49" s="132">
        <f>IFERROR(VALUE(LEFT(DONNEES_SOURCE!AJ35,1)),"")</f>
        <v>5</v>
      </c>
      <c r="X49" s="132">
        <f>IFERROR(VALUE(LEFT(DONNEES_SOURCE!AK35,1)),"")</f>
        <v>5</v>
      </c>
      <c r="Y49" s="132">
        <f>IFERROR(8-DONNEES_SOURCE!AL35,"")</f>
        <v>4</v>
      </c>
      <c r="Z49" s="132">
        <f>IFERROR(VALUE(LEFT(DONNEES_SOURCE!AW35,1)),"")</f>
        <v>4</v>
      </c>
      <c r="AA49" s="132">
        <f>IFERROR(8-VALUE(LEFT(DONNEES_SOURCE!AZ35,1)),"")</f>
        <v>6</v>
      </c>
      <c r="AB49" s="132">
        <f>IFERROR(8-DONNEES_SOURCE!BC35,"")</f>
        <v>2</v>
      </c>
      <c r="AC49" s="132">
        <f>IFERROR(8-DONNEES_SOURCE!BD35,"")</f>
        <v>5</v>
      </c>
      <c r="AD49" s="135">
        <f t="shared" si="2"/>
        <v>60.333333333333336</v>
      </c>
      <c r="AE49" s="135">
        <f t="shared" si="3"/>
        <v>14</v>
      </c>
      <c r="AF49" s="135">
        <f>IFERROR(DONNEES_SOURCE!AM35+DONNEES_SOURCE!AN35+DONNEES_SOURCE!AO35+DONNEES_SOURCE!AP35,"")</f>
        <v>22</v>
      </c>
      <c r="AG49" s="135">
        <f>IFERROR(Z49+DONNEES_SOURCE!AX35+DONNEES_SOURCE!AY35,"")</f>
        <v>14</v>
      </c>
      <c r="AH49" s="135">
        <f>IFERROR(AA49+DONNEES_SOURCE!BA35+DONNEES_SOURCE!BB35+AB49+AC49,"")</f>
        <v>24</v>
      </c>
    </row>
    <row r="50" spans="1:34" x14ac:dyDescent="0.25">
      <c r="A50" s="128">
        <v>35</v>
      </c>
      <c r="B50" s="129">
        <f>IFERROR(VALUE(LEFT(DONNEES_SOURCE!O36,1)),"")</f>
        <v>5</v>
      </c>
      <c r="C50" s="129">
        <f>IFERROR(VALUE(LEFT(DONNEES_SOURCE!P36,1)),"")</f>
        <v>5</v>
      </c>
      <c r="D50" s="129">
        <f>IFERROR(VALUE(LEFT(DONNEES_SOURCE!Q36,1)),"")</f>
        <v>5</v>
      </c>
      <c r="E50" s="129">
        <f>IFERROR(VALUE(LEFT(DONNEES_SOURCE!R36,1)),"")</f>
        <v>3</v>
      </c>
      <c r="F50" s="129">
        <f>IFERROR(VALUE(LEFT(DONNEES_SOURCE!S36,1)),"")</f>
        <v>3</v>
      </c>
      <c r="G50" s="129">
        <f>IFERROR(VALUE(LEFT(DONNEES_SOURCE!T36,1)),"")</f>
        <v>3</v>
      </c>
      <c r="H50" s="129">
        <f>IFERROR(VALUE(LEFT(DONNEES_SOURCE!U36,1)),"")</f>
        <v>1</v>
      </c>
      <c r="I50" s="129">
        <f>IFERROR(VALUE(LEFT(DONNEES_SOURCE!V36,1)),"")</f>
        <v>1</v>
      </c>
      <c r="J50" s="129">
        <f>IFERROR(VALUE(LEFT(DONNEES_SOURCE!W36,1)),"")</f>
        <v>1</v>
      </c>
      <c r="K50" s="129">
        <f>IFERROR(VALUE(LEFT(DONNEES_SOURCE!X36,1)),"")</f>
        <v>4</v>
      </c>
      <c r="L50" s="129">
        <f>IFERROR(VALUE(LEFT(DONNEES_SOURCE!Y36,1)),"")</f>
        <v>5</v>
      </c>
      <c r="M50" s="129">
        <f>IFERROR(VALUE(LEFT(DONNEES_SOURCE!Z36,1)),"")</f>
        <v>5</v>
      </c>
      <c r="N50" s="129">
        <f>IFERROR(VALUE(LEFT(DONNEES_SOURCE!AA36,1)),"")</f>
        <v>5</v>
      </c>
      <c r="O50" s="129">
        <f>IFERROR(VALUE(LEFT(DONNEES_SOURCE!AB36,1)),"")</f>
        <v>4</v>
      </c>
      <c r="P50" s="129">
        <f>IFERROR(VALUE(LEFT(DONNEES_SOURCE!AC36,1)),"")</f>
        <v>3</v>
      </c>
      <c r="Q50" s="129">
        <f>IFERROR(VALUE(LEFT(DONNEES_SOURCE!AD36,1)),"")</f>
        <v>3</v>
      </c>
      <c r="R50" s="129">
        <f>IFERROR(VALUE(LEFT(DONNEES_SOURCE!AE36,1)),"")</f>
        <v>3</v>
      </c>
      <c r="S50" s="129">
        <f>IFERROR(VALUE(LEFT(DONNEES_SOURCE!AF36,1)),"")</f>
        <v>3</v>
      </c>
      <c r="T50" s="129">
        <f>IFERROR(VALUE(LEFT(DONNEES_SOURCE!AG36,1)),"")</f>
        <v>4</v>
      </c>
      <c r="U50" s="129">
        <f>IFERROR(VALUE(LEFT(DONNEES_SOURCE!AH36,1)),"")</f>
        <v>3</v>
      </c>
      <c r="V50" s="130">
        <f>IFERROR(((DONNEES_SOURCE!AI36-1)*(4/6))+1,"")</f>
        <v>4.333333333333333</v>
      </c>
      <c r="W50" s="128">
        <f>IFERROR(VALUE(LEFT(DONNEES_SOURCE!AJ36,1)),"")</f>
        <v>6</v>
      </c>
      <c r="X50" s="128">
        <f>IFERROR(VALUE(LEFT(DONNEES_SOURCE!AK36,1)),"")</f>
        <v>6</v>
      </c>
      <c r="Y50" s="128">
        <f>IFERROR(8-DONNEES_SOURCE!AL36,"")</f>
        <v>2</v>
      </c>
      <c r="Z50" s="128">
        <f>IFERROR(VALUE(LEFT(DONNEES_SOURCE!AW36,1)),"")</f>
        <v>6</v>
      </c>
      <c r="AA50" s="128">
        <f>IFERROR(8-VALUE(LEFT(DONNEES_SOURCE!AZ36,1)),"")</f>
        <v>3</v>
      </c>
      <c r="AB50" s="128">
        <f>IFERROR(8-DONNEES_SOURCE!BC36,"")</f>
        <v>3</v>
      </c>
      <c r="AC50" s="128">
        <f>IFERROR(8-DONNEES_SOURCE!BD36,"")</f>
        <v>2</v>
      </c>
      <c r="AD50" s="131">
        <f t="shared" si="2"/>
        <v>73.333333333333329</v>
      </c>
      <c r="AE50" s="131">
        <f t="shared" si="3"/>
        <v>14</v>
      </c>
      <c r="AF50" s="131">
        <f>IFERROR(DONNEES_SOURCE!AM36+DONNEES_SOURCE!AN36+DONNEES_SOURCE!AO36+DONNEES_SOURCE!AP36,"")</f>
        <v>28</v>
      </c>
      <c r="AG50" s="131">
        <f>IFERROR(Z50+DONNEES_SOURCE!AX36+DONNEES_SOURCE!AY36,"")</f>
        <v>14</v>
      </c>
      <c r="AH50" s="131">
        <f>IFERROR(AA50+DONNEES_SOURCE!BA36+DONNEES_SOURCE!BB36+AB50+AC50,"")</f>
        <v>18</v>
      </c>
    </row>
    <row r="51" spans="1:34" x14ac:dyDescent="0.25">
      <c r="A51" s="132">
        <v>36</v>
      </c>
      <c r="B51" s="133">
        <f>IFERROR(VALUE(LEFT(DONNEES_SOURCE!O37,1)),"")</f>
        <v>4</v>
      </c>
      <c r="C51" s="133">
        <f>IFERROR(VALUE(LEFT(DONNEES_SOURCE!P37,1)),"")</f>
        <v>5</v>
      </c>
      <c r="D51" s="133">
        <f>IFERROR(VALUE(LEFT(DONNEES_SOURCE!Q37,1)),"")</f>
        <v>5</v>
      </c>
      <c r="E51" s="133">
        <f>IFERROR(VALUE(LEFT(DONNEES_SOURCE!R37,1)),"")</f>
        <v>4</v>
      </c>
      <c r="F51" s="133">
        <f>IFERROR(VALUE(LEFT(DONNEES_SOURCE!S37,1)),"")</f>
        <v>3</v>
      </c>
      <c r="G51" s="133">
        <f>IFERROR(VALUE(LEFT(DONNEES_SOURCE!T37,1)),"")</f>
        <v>4</v>
      </c>
      <c r="H51" s="133">
        <f>IFERROR(VALUE(LEFT(DONNEES_SOURCE!U37,1)),"")</f>
        <v>3</v>
      </c>
      <c r="I51" s="133">
        <f>IFERROR(VALUE(LEFT(DONNEES_SOURCE!V37,1)),"")</f>
        <v>3</v>
      </c>
      <c r="J51" s="133">
        <f>IFERROR(VALUE(LEFT(DONNEES_SOURCE!W37,1)),"")</f>
        <v>4</v>
      </c>
      <c r="K51" s="133">
        <f>IFERROR(VALUE(LEFT(DONNEES_SOURCE!X37,1)),"")</f>
        <v>3</v>
      </c>
      <c r="L51" s="133">
        <f>IFERROR(VALUE(LEFT(DONNEES_SOURCE!Y37,1)),"")</f>
        <v>4</v>
      </c>
      <c r="M51" s="133">
        <f>IFERROR(VALUE(LEFT(DONNEES_SOURCE!Z37,1)),"")</f>
        <v>5</v>
      </c>
      <c r="N51" s="133">
        <f>IFERROR(VALUE(LEFT(DONNEES_SOURCE!AA37,1)),"")</f>
        <v>5</v>
      </c>
      <c r="O51" s="133">
        <f>IFERROR(VALUE(LEFT(DONNEES_SOURCE!AB37,1)),"")</f>
        <v>5</v>
      </c>
      <c r="P51" s="133">
        <f>IFERROR(VALUE(LEFT(DONNEES_SOURCE!AC37,1)),"")</f>
        <v>3</v>
      </c>
      <c r="Q51" s="133">
        <f>IFERROR(VALUE(LEFT(DONNEES_SOURCE!AD37,1)),"")</f>
        <v>4</v>
      </c>
      <c r="R51" s="133">
        <f>IFERROR(VALUE(LEFT(DONNEES_SOURCE!AE37,1)),"")</f>
        <v>4</v>
      </c>
      <c r="S51" s="133">
        <f>IFERROR(VALUE(LEFT(DONNEES_SOURCE!AF37,1)),"")</f>
        <v>3</v>
      </c>
      <c r="T51" s="133">
        <f>IFERROR(VALUE(LEFT(DONNEES_SOURCE!AG37,1)),"")</f>
        <v>3</v>
      </c>
      <c r="U51" s="133">
        <f>IFERROR(VALUE(LEFT(DONNEES_SOURCE!AH37,1)),"")</f>
        <v>4</v>
      </c>
      <c r="V51" s="134">
        <f>IFERROR(((DONNEES_SOURCE!AI37-1)*(4/6))+1,"")</f>
        <v>4.333333333333333</v>
      </c>
      <c r="W51" s="132">
        <f>IFERROR(VALUE(LEFT(DONNEES_SOURCE!AJ37,1)),"")</f>
        <v>5</v>
      </c>
      <c r="X51" s="132">
        <f>IFERROR(VALUE(LEFT(DONNEES_SOURCE!AK37,1)),"")</f>
        <v>5</v>
      </c>
      <c r="Y51" s="132">
        <f>IFERROR(8-DONNEES_SOURCE!AL37,"")</f>
        <v>3</v>
      </c>
      <c r="Z51" s="132">
        <f>IFERROR(VALUE(LEFT(DONNEES_SOURCE!AW37,1)),"")</f>
        <v>3</v>
      </c>
      <c r="AA51" s="132">
        <f>IFERROR(8-VALUE(LEFT(DONNEES_SOURCE!AZ37,1)),"")</f>
        <v>6</v>
      </c>
      <c r="AB51" s="132">
        <f>IFERROR(8-DONNEES_SOURCE!BC37,"")</f>
        <v>4</v>
      </c>
      <c r="AC51" s="132">
        <f>IFERROR(8-DONNEES_SOURCE!BD37,"")</f>
        <v>4</v>
      </c>
      <c r="AD51" s="135">
        <f t="shared" si="2"/>
        <v>82.333333333333329</v>
      </c>
      <c r="AE51" s="135">
        <f t="shared" si="3"/>
        <v>13</v>
      </c>
      <c r="AF51" s="135">
        <f>IFERROR(DONNEES_SOURCE!AM37+DONNEES_SOURCE!AN37+DONNEES_SOURCE!AO37+DONNEES_SOURCE!AP37,"")</f>
        <v>28</v>
      </c>
      <c r="AG51" s="135">
        <f>IFERROR(Z51+DONNEES_SOURCE!AX37+DONNEES_SOURCE!AY37,"")</f>
        <v>14</v>
      </c>
      <c r="AH51" s="135">
        <f>IFERROR(AA51+DONNEES_SOURCE!BA37+DONNEES_SOURCE!BB37+AB51+AC51,"")</f>
        <v>26</v>
      </c>
    </row>
    <row r="52" spans="1:34" x14ac:dyDescent="0.25">
      <c r="A52" s="128">
        <v>37</v>
      </c>
      <c r="B52" s="129">
        <f>IFERROR(VALUE(LEFT(DONNEES_SOURCE!O38,1)),"")</f>
        <v>4</v>
      </c>
      <c r="C52" s="129">
        <f>IFERROR(VALUE(LEFT(DONNEES_SOURCE!P38,1)),"")</f>
        <v>5</v>
      </c>
      <c r="D52" s="129">
        <f>IFERROR(VALUE(LEFT(DONNEES_SOURCE!Q38,1)),"")</f>
        <v>5</v>
      </c>
      <c r="E52" s="129">
        <f>IFERROR(VALUE(LEFT(DONNEES_SOURCE!R38,1)),"")</f>
        <v>4</v>
      </c>
      <c r="F52" s="129">
        <f>IFERROR(VALUE(LEFT(DONNEES_SOURCE!S38,1)),"")</f>
        <v>3</v>
      </c>
      <c r="G52" s="129">
        <f>IFERROR(VALUE(LEFT(DONNEES_SOURCE!T38,1)),"")</f>
        <v>4</v>
      </c>
      <c r="H52" s="129">
        <f>IFERROR(VALUE(LEFT(DONNEES_SOURCE!U38,1)),"")</f>
        <v>4</v>
      </c>
      <c r="I52" s="129">
        <f>IFERROR(VALUE(LEFT(DONNEES_SOURCE!V38,1)),"")</f>
        <v>3</v>
      </c>
      <c r="J52" s="129">
        <f>IFERROR(VALUE(LEFT(DONNEES_SOURCE!W38,1)),"")</f>
        <v>4</v>
      </c>
      <c r="K52" s="129">
        <f>IFERROR(VALUE(LEFT(DONNEES_SOURCE!X38,1)),"")</f>
        <v>5</v>
      </c>
      <c r="L52" s="129">
        <f>IFERROR(VALUE(LEFT(DONNEES_SOURCE!Y38,1)),"")</f>
        <v>5</v>
      </c>
      <c r="M52" s="129">
        <f>IFERROR(VALUE(LEFT(DONNEES_SOURCE!Z38,1)),"")</f>
        <v>5</v>
      </c>
      <c r="N52" s="129">
        <f>IFERROR(VALUE(LEFT(DONNEES_SOURCE!AA38,1)),"")</f>
        <v>5</v>
      </c>
      <c r="O52" s="129">
        <f>IFERROR(VALUE(LEFT(DONNEES_SOURCE!AB38,1)),"")</f>
        <v>4</v>
      </c>
      <c r="P52" s="129">
        <f>IFERROR(VALUE(LEFT(DONNEES_SOURCE!AC38,1)),"")</f>
        <v>3</v>
      </c>
      <c r="Q52" s="129">
        <f>IFERROR(VALUE(LEFT(DONNEES_SOURCE!AD38,1)),"")</f>
        <v>3</v>
      </c>
      <c r="R52" s="129">
        <f>IFERROR(VALUE(LEFT(DONNEES_SOURCE!AE38,1)),"")</f>
        <v>3</v>
      </c>
      <c r="S52" s="129">
        <f>IFERROR(VALUE(LEFT(DONNEES_SOURCE!AF38,1)),"")</f>
        <v>2</v>
      </c>
      <c r="T52" s="129">
        <f>IFERROR(VALUE(LEFT(DONNEES_SOURCE!AG38,1)),"")</f>
        <v>4</v>
      </c>
      <c r="U52" s="129">
        <f>IFERROR(VALUE(LEFT(DONNEES_SOURCE!AH38,1)),"")</f>
        <v>4</v>
      </c>
      <c r="V52" s="130">
        <f>IFERROR(((DONNEES_SOURCE!AI38-1)*(4/6))+1,"")</f>
        <v>3.6666666666666665</v>
      </c>
      <c r="W52" s="128">
        <f>IFERROR(VALUE(LEFT(DONNEES_SOURCE!AJ38,1)),"")</f>
        <v>3</v>
      </c>
      <c r="X52" s="128">
        <f>IFERROR(VALUE(LEFT(DONNEES_SOURCE!AK38,1)),"")</f>
        <v>6</v>
      </c>
      <c r="Y52" s="128">
        <f>IFERROR(8-DONNEES_SOURCE!AL38,"")</f>
        <v>2</v>
      </c>
      <c r="Z52" s="128">
        <f>IFERROR(VALUE(LEFT(DONNEES_SOURCE!AW38,1)),"")</f>
        <v>5</v>
      </c>
      <c r="AA52" s="128">
        <f>IFERROR(8-VALUE(LEFT(DONNEES_SOURCE!AZ38,1)),"")</f>
        <v>6</v>
      </c>
      <c r="AB52" s="128">
        <f>IFERROR(8-DONNEES_SOURCE!BC38,"")</f>
        <v>3</v>
      </c>
      <c r="AC52" s="128">
        <f>IFERROR(8-DONNEES_SOURCE!BD38,"")</f>
        <v>6</v>
      </c>
      <c r="AD52" s="131">
        <f t="shared" si="2"/>
        <v>82.666666666666671</v>
      </c>
      <c r="AE52" s="131">
        <f t="shared" si="3"/>
        <v>11</v>
      </c>
      <c r="AF52" s="131">
        <f>IFERROR(DONNEES_SOURCE!AM38+DONNEES_SOURCE!AN38+DONNEES_SOURCE!AO38+DONNEES_SOURCE!AP38,"")</f>
        <v>22</v>
      </c>
      <c r="AG52" s="131">
        <f>IFERROR(Z52+DONNEES_SOURCE!AX38+DONNEES_SOURCE!AY38,"")</f>
        <v>16</v>
      </c>
      <c r="AH52" s="131">
        <f>IFERROR(AA52+DONNEES_SOURCE!BA38+DONNEES_SOURCE!BB38+AB52+AC52,"")</f>
        <v>25</v>
      </c>
    </row>
    <row r="53" spans="1:34" x14ac:dyDescent="0.25">
      <c r="A53" s="132">
        <v>38</v>
      </c>
      <c r="B53" s="133">
        <f>IFERROR(VALUE(LEFT(DONNEES_SOURCE!O39,1)),"")</f>
        <v>3</v>
      </c>
      <c r="C53" s="133">
        <f>IFERROR(VALUE(LEFT(DONNEES_SOURCE!P39,1)),"")</f>
        <v>4</v>
      </c>
      <c r="D53" s="133">
        <f>IFERROR(VALUE(LEFT(DONNEES_SOURCE!Q39,1)),"")</f>
        <v>5</v>
      </c>
      <c r="E53" s="133">
        <f>IFERROR(VALUE(LEFT(DONNEES_SOURCE!R39,1)),"")</f>
        <v>5</v>
      </c>
      <c r="F53" s="133">
        <f>IFERROR(VALUE(LEFT(DONNEES_SOURCE!S39,1)),"")</f>
        <v>5</v>
      </c>
      <c r="G53" s="133">
        <f>IFERROR(VALUE(LEFT(DONNEES_SOURCE!T39,1)),"")</f>
        <v>3</v>
      </c>
      <c r="H53" s="133">
        <f>IFERROR(VALUE(LEFT(DONNEES_SOURCE!U39,1)),"")</f>
        <v>3</v>
      </c>
      <c r="I53" s="133">
        <f>IFERROR(VALUE(LEFT(DONNEES_SOURCE!V39,1)),"")</f>
        <v>3</v>
      </c>
      <c r="J53" s="133">
        <f>IFERROR(VALUE(LEFT(DONNEES_SOURCE!W39,1)),"")</f>
        <v>4</v>
      </c>
      <c r="K53" s="133">
        <f>IFERROR(VALUE(LEFT(DONNEES_SOURCE!X39,1)),"")</f>
        <v>5</v>
      </c>
      <c r="L53" s="133">
        <f>IFERROR(VALUE(LEFT(DONNEES_SOURCE!Y39,1)),"")</f>
        <v>4</v>
      </c>
      <c r="M53" s="133">
        <f>IFERROR(VALUE(LEFT(DONNEES_SOURCE!Z39,1)),"")</f>
        <v>4</v>
      </c>
      <c r="N53" s="133">
        <f>IFERROR(VALUE(LEFT(DONNEES_SOURCE!AA39,1)),"")</f>
        <v>5</v>
      </c>
      <c r="O53" s="133">
        <f>IFERROR(VALUE(LEFT(DONNEES_SOURCE!AB39,1)),"")</f>
        <v>5</v>
      </c>
      <c r="P53" s="133">
        <f>IFERROR(VALUE(LEFT(DONNEES_SOURCE!AC39,1)),"")</f>
        <v>5</v>
      </c>
      <c r="Q53" s="133">
        <f>IFERROR(VALUE(LEFT(DONNEES_SOURCE!AD39,1)),"")</f>
        <v>3</v>
      </c>
      <c r="R53" s="133">
        <f>IFERROR(VALUE(LEFT(DONNEES_SOURCE!AE39,1)),"")</f>
        <v>3</v>
      </c>
      <c r="S53" s="133">
        <f>IFERROR(VALUE(LEFT(DONNEES_SOURCE!AF39,1)),"")</f>
        <v>3</v>
      </c>
      <c r="T53" s="133">
        <f>IFERROR(VALUE(LEFT(DONNEES_SOURCE!AG39,1)),"")</f>
        <v>4</v>
      </c>
      <c r="U53" s="133">
        <f>IFERROR(VALUE(LEFT(DONNEES_SOURCE!AH39,1)),"")</f>
        <v>5</v>
      </c>
      <c r="V53" s="134">
        <f>IFERROR(((DONNEES_SOURCE!AI39-1)*(4/6))+1,"")</f>
        <v>5</v>
      </c>
      <c r="W53" s="132">
        <f>IFERROR(VALUE(LEFT(DONNEES_SOURCE!AJ39,1)),"")</f>
        <v>6</v>
      </c>
      <c r="X53" s="132">
        <f>IFERROR(VALUE(LEFT(DONNEES_SOURCE!AK39,1)),"")</f>
        <v>6</v>
      </c>
      <c r="Y53" s="132">
        <f>IFERROR(8-DONNEES_SOURCE!AL39,"")</f>
        <v>1</v>
      </c>
      <c r="Z53" s="132">
        <f>IFERROR(VALUE(LEFT(DONNEES_SOURCE!AW39,1)),"")</f>
        <v>7</v>
      </c>
      <c r="AA53" s="132">
        <f>IFERROR(8-VALUE(LEFT(DONNEES_SOURCE!AZ39,1)),"")</f>
        <v>4</v>
      </c>
      <c r="AB53" s="132">
        <f>IFERROR(8-DONNEES_SOURCE!BC39,"")</f>
        <v>2</v>
      </c>
      <c r="AC53" s="132">
        <f>IFERROR(8-DONNEES_SOURCE!BD39,"")</f>
        <v>4</v>
      </c>
      <c r="AD53" s="135">
        <f t="shared" si="2"/>
        <v>86</v>
      </c>
      <c r="AE53" s="135">
        <f t="shared" si="3"/>
        <v>13</v>
      </c>
      <c r="AF53" s="135">
        <f>IFERROR(DONNEES_SOURCE!AM39+DONNEES_SOURCE!AN39+DONNEES_SOURCE!AO39+DONNEES_SOURCE!AP39,"")</f>
        <v>26</v>
      </c>
      <c r="AG53" s="135">
        <f>IFERROR(Z53+DONNEES_SOURCE!AX39+DONNEES_SOURCE!AY39,"")</f>
        <v>19</v>
      </c>
      <c r="AH53" s="135">
        <f>IFERROR(AA53+DONNEES_SOURCE!BA39+DONNEES_SOURCE!BB39+AB53+AC53,"")</f>
        <v>21</v>
      </c>
    </row>
    <row r="54" spans="1:34" x14ac:dyDescent="0.25">
      <c r="A54" s="128">
        <v>39</v>
      </c>
      <c r="B54" s="129">
        <f>IFERROR(VALUE(LEFT(DONNEES_SOURCE!O40,1)),"")</f>
        <v>4</v>
      </c>
      <c r="C54" s="129">
        <f>IFERROR(VALUE(LEFT(DONNEES_SOURCE!P40,1)),"")</f>
        <v>4</v>
      </c>
      <c r="D54" s="129">
        <f>IFERROR(VALUE(LEFT(DONNEES_SOURCE!Q40,1)),"")</f>
        <v>3</v>
      </c>
      <c r="E54" s="129">
        <f>IFERROR(VALUE(LEFT(DONNEES_SOURCE!R40,1)),"")</f>
        <v>4</v>
      </c>
      <c r="F54" s="129">
        <f>IFERROR(VALUE(LEFT(DONNEES_SOURCE!S40,1)),"")</f>
        <v>5</v>
      </c>
      <c r="G54" s="129">
        <f>IFERROR(VALUE(LEFT(DONNEES_SOURCE!T40,1)),"")</f>
        <v>2</v>
      </c>
      <c r="H54" s="129">
        <f>IFERROR(VALUE(LEFT(DONNEES_SOURCE!U40,1)),"")</f>
        <v>2</v>
      </c>
      <c r="I54" s="129">
        <f>IFERROR(VALUE(LEFT(DONNEES_SOURCE!V40,1)),"")</f>
        <v>3</v>
      </c>
      <c r="J54" s="129">
        <f>IFERROR(VALUE(LEFT(DONNEES_SOURCE!W40,1)),"")</f>
        <v>3</v>
      </c>
      <c r="K54" s="129">
        <f>IFERROR(VALUE(LEFT(DONNEES_SOURCE!X40,1)),"")</f>
        <v>4</v>
      </c>
      <c r="L54" s="129">
        <f>IFERROR(VALUE(LEFT(DONNEES_SOURCE!Y40,1)),"")</f>
        <v>4</v>
      </c>
      <c r="M54" s="129">
        <f>IFERROR(VALUE(LEFT(DONNEES_SOURCE!Z40,1)),"")</f>
        <v>4</v>
      </c>
      <c r="N54" s="129">
        <f>IFERROR(VALUE(LEFT(DONNEES_SOURCE!AA40,1)),"")</f>
        <v>3</v>
      </c>
      <c r="O54" s="129">
        <f>IFERROR(VALUE(LEFT(DONNEES_SOURCE!AB40,1)),"")</f>
        <v>3</v>
      </c>
      <c r="P54" s="129">
        <f>IFERROR(VALUE(LEFT(DONNEES_SOURCE!AC40,1)),"")</f>
        <v>5</v>
      </c>
      <c r="Q54" s="129">
        <f>IFERROR(VALUE(LEFT(DONNEES_SOURCE!AD40,1)),"")</f>
        <v>3</v>
      </c>
      <c r="R54" s="129">
        <f>IFERROR(VALUE(LEFT(DONNEES_SOURCE!AE40,1)),"")</f>
        <v>2</v>
      </c>
      <c r="S54" s="129">
        <f>IFERROR(VALUE(LEFT(DONNEES_SOURCE!AF40,1)),"")</f>
        <v>3</v>
      </c>
      <c r="T54" s="129">
        <f>IFERROR(VALUE(LEFT(DONNEES_SOURCE!AG40,1)),"")</f>
        <v>3</v>
      </c>
      <c r="U54" s="129">
        <f>IFERROR(VALUE(LEFT(DONNEES_SOURCE!AH40,1)),"")</f>
        <v>4</v>
      </c>
      <c r="V54" s="130">
        <f>IFERROR(((DONNEES_SOURCE!AI40-1)*(4/6))+1,"")</f>
        <v>3</v>
      </c>
      <c r="W54" s="128">
        <f>IFERROR(VALUE(LEFT(DONNEES_SOURCE!AJ40,1)),"")</f>
        <v>4</v>
      </c>
      <c r="X54" s="128">
        <f>IFERROR(VALUE(LEFT(DONNEES_SOURCE!AK40,1)),"")</f>
        <v>6</v>
      </c>
      <c r="Y54" s="128">
        <f>IFERROR(8-DONNEES_SOURCE!AL40,"")</f>
        <v>2</v>
      </c>
      <c r="Z54" s="128">
        <f>IFERROR(VALUE(LEFT(DONNEES_SOURCE!AW40,1)),"")</f>
        <v>5</v>
      </c>
      <c r="AA54" s="128">
        <f>IFERROR(8-VALUE(LEFT(DONNEES_SOURCE!AZ40,1)),"")</f>
        <v>5</v>
      </c>
      <c r="AB54" s="128">
        <f>IFERROR(8-DONNEES_SOURCE!BC40,"")</f>
        <v>4</v>
      </c>
      <c r="AC54" s="128">
        <f>IFERROR(8-DONNEES_SOURCE!BD40,"")</f>
        <v>6</v>
      </c>
      <c r="AD54" s="131">
        <f t="shared" si="2"/>
        <v>71</v>
      </c>
      <c r="AE54" s="131">
        <f t="shared" si="3"/>
        <v>12</v>
      </c>
      <c r="AF54" s="131">
        <f>IFERROR(DONNEES_SOURCE!AM40+DONNEES_SOURCE!AN40+DONNEES_SOURCE!AO40+DONNEES_SOURCE!AP40,"")</f>
        <v>23</v>
      </c>
      <c r="AG54" s="131">
        <f>IFERROR(Z54+DONNEES_SOURCE!AX40+DONNEES_SOURCE!AY40,"")</f>
        <v>14</v>
      </c>
      <c r="AH54" s="131">
        <f>IFERROR(AA54+DONNEES_SOURCE!BA40+DONNEES_SOURCE!BB40+AB54+AC54,"")</f>
        <v>27</v>
      </c>
    </row>
    <row r="55" spans="1:34" x14ac:dyDescent="0.25">
      <c r="A55" s="132">
        <v>40</v>
      </c>
      <c r="B55" s="133">
        <f>IFERROR(VALUE(LEFT(DONNEES_SOURCE!O41,1)),"")</f>
        <v>2</v>
      </c>
      <c r="C55" s="133">
        <f>IFERROR(VALUE(LEFT(DONNEES_SOURCE!P41,1)),"")</f>
        <v>2</v>
      </c>
      <c r="D55" s="133">
        <f>IFERROR(VALUE(LEFT(DONNEES_SOURCE!Q41,1)),"")</f>
        <v>5</v>
      </c>
      <c r="E55" s="133">
        <f>IFERROR(VALUE(LEFT(DONNEES_SOURCE!R41,1)),"")</f>
        <v>4</v>
      </c>
      <c r="F55" s="133">
        <f>IFERROR(VALUE(LEFT(DONNEES_SOURCE!S41,1)),"")</f>
        <v>5</v>
      </c>
      <c r="G55" s="133">
        <f>IFERROR(VALUE(LEFT(DONNEES_SOURCE!T41,1)),"")</f>
        <v>3</v>
      </c>
      <c r="H55" s="133">
        <f>IFERROR(VALUE(LEFT(DONNEES_SOURCE!U41,1)),"")</f>
        <v>3</v>
      </c>
      <c r="I55" s="133">
        <f>IFERROR(VALUE(LEFT(DONNEES_SOURCE!V41,1)),"")</f>
        <v>3</v>
      </c>
      <c r="J55" s="133">
        <f>IFERROR(VALUE(LEFT(DONNEES_SOURCE!W41,1)),"")</f>
        <v>3</v>
      </c>
      <c r="K55" s="133">
        <f>IFERROR(VALUE(LEFT(DONNEES_SOURCE!X41,1)),"")</f>
        <v>4</v>
      </c>
      <c r="L55" s="133">
        <f>IFERROR(VALUE(LEFT(DONNEES_SOURCE!Y41,1)),"")</f>
        <v>1</v>
      </c>
      <c r="M55" s="133">
        <f>IFERROR(VALUE(LEFT(DONNEES_SOURCE!Z41,1)),"")</f>
        <v>1</v>
      </c>
      <c r="N55" s="133">
        <f>IFERROR(VALUE(LEFT(DONNEES_SOURCE!AA41,1)),"")</f>
        <v>5</v>
      </c>
      <c r="O55" s="133">
        <f>IFERROR(VALUE(LEFT(DONNEES_SOURCE!AB41,1)),"")</f>
        <v>5</v>
      </c>
      <c r="P55" s="133">
        <f>IFERROR(VALUE(LEFT(DONNEES_SOURCE!AC41,1)),"")</f>
        <v>5</v>
      </c>
      <c r="Q55" s="133">
        <f>IFERROR(VALUE(LEFT(DONNEES_SOURCE!AD41,1)),"")</f>
        <v>1</v>
      </c>
      <c r="R55" s="133">
        <f>IFERROR(VALUE(LEFT(DONNEES_SOURCE!AE41,1)),"")</f>
        <v>1</v>
      </c>
      <c r="S55" s="133">
        <f>IFERROR(VALUE(LEFT(DONNEES_SOURCE!AF41,1)),"")</f>
        <v>1</v>
      </c>
      <c r="T55" s="133">
        <f>IFERROR(VALUE(LEFT(DONNEES_SOURCE!AG41,1)),"")</f>
        <v>1</v>
      </c>
      <c r="U55" s="133">
        <f>IFERROR(VALUE(LEFT(DONNEES_SOURCE!AH41,1)),"")</f>
        <v>3</v>
      </c>
      <c r="V55" s="134">
        <f>IFERROR(((DONNEES_SOURCE!AI41-1)*(4/6))+1,"")</f>
        <v>3.6666666666666665</v>
      </c>
      <c r="W55" s="132">
        <f>IFERROR(VALUE(LEFT(DONNEES_SOURCE!AJ41,1)),"")</f>
        <v>5</v>
      </c>
      <c r="X55" s="132">
        <f>IFERROR(VALUE(LEFT(DONNEES_SOURCE!AK41,1)),"")</f>
        <v>5</v>
      </c>
      <c r="Y55" s="132">
        <f>IFERROR(8-DONNEES_SOURCE!AL41,"")</f>
        <v>1</v>
      </c>
      <c r="Z55" s="132">
        <f>IFERROR(VALUE(LEFT(DONNEES_SOURCE!AW41,1)),"")</f>
        <v>6</v>
      </c>
      <c r="AA55" s="132">
        <f>IFERROR(8-VALUE(LEFT(DONNEES_SOURCE!AZ41,1)),"")</f>
        <v>5</v>
      </c>
      <c r="AB55" s="132">
        <f>IFERROR(8-DONNEES_SOURCE!BC41,"")</f>
        <v>5</v>
      </c>
      <c r="AC55" s="132">
        <f>IFERROR(8-DONNEES_SOURCE!BD41,"")</f>
        <v>7</v>
      </c>
      <c r="AD55" s="135">
        <f t="shared" si="2"/>
        <v>61.666666666666664</v>
      </c>
      <c r="AE55" s="135">
        <f t="shared" si="3"/>
        <v>11</v>
      </c>
      <c r="AF55" s="135">
        <f>IFERROR(DONNEES_SOURCE!AM41+DONNEES_SOURCE!AN41+DONNEES_SOURCE!AO41+DONNEES_SOURCE!AP41,"")</f>
        <v>25</v>
      </c>
      <c r="AG55" s="135">
        <f>IFERROR(Z55+DONNEES_SOURCE!AX41+DONNEES_SOURCE!AY41,"")</f>
        <v>16</v>
      </c>
      <c r="AH55" s="135">
        <f>IFERROR(AA55+DONNEES_SOURCE!BA41+DONNEES_SOURCE!BB41+AB55+AC55,"")</f>
        <v>29</v>
      </c>
    </row>
    <row r="56" spans="1:34" x14ac:dyDescent="0.25">
      <c r="A56" s="128">
        <v>41</v>
      </c>
      <c r="B56" s="129">
        <f>IFERROR(VALUE(LEFT(DONNEES_SOURCE!O42,1)),"")</f>
        <v>5</v>
      </c>
      <c r="C56" s="129">
        <f>IFERROR(VALUE(LEFT(DONNEES_SOURCE!P42,1)),"")</f>
        <v>5</v>
      </c>
      <c r="D56" s="129">
        <f>IFERROR(VALUE(LEFT(DONNEES_SOURCE!Q42,1)),"")</f>
        <v>5</v>
      </c>
      <c r="E56" s="129">
        <f>IFERROR(VALUE(LEFT(DONNEES_SOURCE!R42,1)),"")</f>
        <v>5</v>
      </c>
      <c r="F56" s="129">
        <f>IFERROR(VALUE(LEFT(DONNEES_SOURCE!S42,1)),"")</f>
        <v>5</v>
      </c>
      <c r="G56" s="129">
        <f>IFERROR(VALUE(LEFT(DONNEES_SOURCE!T42,1)),"")</f>
        <v>3</v>
      </c>
      <c r="H56" s="129">
        <f>IFERROR(VALUE(LEFT(DONNEES_SOURCE!U42,1)),"")</f>
        <v>3</v>
      </c>
      <c r="I56" s="129">
        <f>IFERROR(VALUE(LEFT(DONNEES_SOURCE!V42,1)),"")</f>
        <v>3</v>
      </c>
      <c r="J56" s="129">
        <f>IFERROR(VALUE(LEFT(DONNEES_SOURCE!W42,1)),"")</f>
        <v>4</v>
      </c>
      <c r="K56" s="129">
        <f>IFERROR(VALUE(LEFT(DONNEES_SOURCE!X42,1)),"")</f>
        <v>5</v>
      </c>
      <c r="L56" s="129">
        <f>IFERROR(VALUE(LEFT(DONNEES_SOURCE!Y42,1)),"")</f>
        <v>5</v>
      </c>
      <c r="M56" s="129">
        <f>IFERROR(VALUE(LEFT(DONNEES_SOURCE!Z42,1)),"")</f>
        <v>5</v>
      </c>
      <c r="N56" s="129">
        <f>IFERROR(VALUE(LEFT(DONNEES_SOURCE!AA42,1)),"")</f>
        <v>5</v>
      </c>
      <c r="O56" s="129">
        <f>IFERROR(VALUE(LEFT(DONNEES_SOURCE!AB42,1)),"")</f>
        <v>5</v>
      </c>
      <c r="P56" s="129">
        <f>IFERROR(VALUE(LEFT(DONNEES_SOURCE!AC42,1)),"")</f>
        <v>5</v>
      </c>
      <c r="Q56" s="129">
        <f>IFERROR(VALUE(LEFT(DONNEES_SOURCE!AD42,1)),"")</f>
        <v>5</v>
      </c>
      <c r="R56" s="129">
        <f>IFERROR(VALUE(LEFT(DONNEES_SOURCE!AE42,1)),"")</f>
        <v>4</v>
      </c>
      <c r="S56" s="129">
        <f>IFERROR(VALUE(LEFT(DONNEES_SOURCE!AF42,1)),"")</f>
        <v>5</v>
      </c>
      <c r="T56" s="129">
        <f>IFERROR(VALUE(LEFT(DONNEES_SOURCE!AG42,1)),"")</f>
        <v>5</v>
      </c>
      <c r="U56" s="129">
        <f>IFERROR(VALUE(LEFT(DONNEES_SOURCE!AH42,1)),"")</f>
        <v>5</v>
      </c>
      <c r="V56" s="130">
        <f>IFERROR(((DONNEES_SOURCE!AI42-1)*(4/6))+1,"")</f>
        <v>5</v>
      </c>
      <c r="W56" s="128">
        <f>IFERROR(VALUE(LEFT(DONNEES_SOURCE!AJ42,1)),"")</f>
        <v>6</v>
      </c>
      <c r="X56" s="128">
        <f>IFERROR(VALUE(LEFT(DONNEES_SOURCE!AK42,1)),"")</f>
        <v>4</v>
      </c>
      <c r="Y56" s="128">
        <f>IFERROR(8-DONNEES_SOURCE!AL42,"")</f>
        <v>2</v>
      </c>
      <c r="Z56" s="128">
        <f>IFERROR(VALUE(LEFT(DONNEES_SOURCE!AW42,1)),"")</f>
        <v>5</v>
      </c>
      <c r="AA56" s="128">
        <f>IFERROR(8-VALUE(LEFT(DONNEES_SOURCE!AZ42,1)),"")</f>
        <v>2</v>
      </c>
      <c r="AB56" s="128">
        <f>IFERROR(8-DONNEES_SOURCE!BC42,"")</f>
        <v>1</v>
      </c>
      <c r="AC56" s="128">
        <f>IFERROR(8-DONNEES_SOURCE!BD42,"")</f>
        <v>3</v>
      </c>
      <c r="AD56" s="131">
        <f t="shared" si="2"/>
        <v>97</v>
      </c>
      <c r="AE56" s="131">
        <f t="shared" si="3"/>
        <v>12</v>
      </c>
      <c r="AF56" s="131">
        <f>IFERROR(DONNEES_SOURCE!AM42+DONNEES_SOURCE!AN42+DONNEES_SOURCE!AO42+DONNEES_SOURCE!AP42,"")</f>
        <v>18</v>
      </c>
      <c r="AG56" s="131">
        <f>IFERROR(Z56+DONNEES_SOURCE!AX42+DONNEES_SOURCE!AY42,"")</f>
        <v>18</v>
      </c>
      <c r="AH56" s="131">
        <f>IFERROR(AA56+DONNEES_SOURCE!BA42+DONNEES_SOURCE!BB42+AB56+AC56,"")</f>
        <v>19</v>
      </c>
    </row>
    <row r="57" spans="1:34" x14ac:dyDescent="0.25">
      <c r="A57" s="132">
        <v>42</v>
      </c>
      <c r="B57" s="133">
        <f>IFERROR(VALUE(LEFT(DONNEES_SOURCE!O43,1)),"")</f>
        <v>5</v>
      </c>
      <c r="C57" s="133">
        <f>IFERROR(VALUE(LEFT(DONNEES_SOURCE!P43,1)),"")</f>
        <v>5</v>
      </c>
      <c r="D57" s="133">
        <f>IFERROR(VALUE(LEFT(DONNEES_SOURCE!Q43,1)),"")</f>
        <v>5</v>
      </c>
      <c r="E57" s="133">
        <f>IFERROR(VALUE(LEFT(DONNEES_SOURCE!R43,1)),"")</f>
        <v>5</v>
      </c>
      <c r="F57" s="133">
        <f>IFERROR(VALUE(LEFT(DONNEES_SOURCE!S43,1)),"")</f>
        <v>3</v>
      </c>
      <c r="G57" s="133">
        <f>IFERROR(VALUE(LEFT(DONNEES_SOURCE!T43,1)),"")</f>
        <v>3</v>
      </c>
      <c r="H57" s="133">
        <f>IFERROR(VALUE(LEFT(DONNEES_SOURCE!U43,1)),"")</f>
        <v>3</v>
      </c>
      <c r="I57" s="133">
        <f>IFERROR(VALUE(LEFT(DONNEES_SOURCE!V43,1)),"")</f>
        <v>3</v>
      </c>
      <c r="J57" s="133">
        <f>IFERROR(VALUE(LEFT(DONNEES_SOURCE!W43,1)),"")</f>
        <v>3</v>
      </c>
      <c r="K57" s="133">
        <f>IFERROR(VALUE(LEFT(DONNEES_SOURCE!X43,1)),"")</f>
        <v>5</v>
      </c>
      <c r="L57" s="133">
        <f>IFERROR(VALUE(LEFT(DONNEES_SOURCE!Y43,1)),"")</f>
        <v>5</v>
      </c>
      <c r="M57" s="133">
        <f>IFERROR(VALUE(LEFT(DONNEES_SOURCE!Z43,1)),"")</f>
        <v>5</v>
      </c>
      <c r="N57" s="133">
        <f>IFERROR(VALUE(LEFT(DONNEES_SOURCE!AA43,1)),"")</f>
        <v>5</v>
      </c>
      <c r="O57" s="133">
        <f>IFERROR(VALUE(LEFT(DONNEES_SOURCE!AB43,1)),"")</f>
        <v>5</v>
      </c>
      <c r="P57" s="133">
        <f>IFERROR(VALUE(LEFT(DONNEES_SOURCE!AC43,1)),"")</f>
        <v>3</v>
      </c>
      <c r="Q57" s="133">
        <f>IFERROR(VALUE(LEFT(DONNEES_SOURCE!AD43,1)),"")</f>
        <v>3</v>
      </c>
      <c r="R57" s="133">
        <f>IFERROR(VALUE(LEFT(DONNEES_SOURCE!AE43,1)),"")</f>
        <v>3</v>
      </c>
      <c r="S57" s="133">
        <f>IFERROR(VALUE(LEFT(DONNEES_SOURCE!AF43,1)),"")</f>
        <v>3</v>
      </c>
      <c r="T57" s="133">
        <f>IFERROR(VALUE(LEFT(DONNEES_SOURCE!AG43,1)),"")</f>
        <v>3</v>
      </c>
      <c r="U57" s="133">
        <f>IFERROR(VALUE(LEFT(DONNEES_SOURCE!AH43,1)),"")</f>
        <v>5</v>
      </c>
      <c r="V57" s="134">
        <f>IFERROR(((DONNEES_SOURCE!AI43-1)*(4/6))+1,"")</f>
        <v>5</v>
      </c>
      <c r="W57" s="132">
        <f>IFERROR(VALUE(LEFT(DONNEES_SOURCE!AJ43,1)),"")</f>
        <v>5</v>
      </c>
      <c r="X57" s="132">
        <f>IFERROR(VALUE(LEFT(DONNEES_SOURCE!AK43,1)),"")</f>
        <v>6</v>
      </c>
      <c r="Y57" s="132">
        <f>IFERROR(8-DONNEES_SOURCE!AL43,"")</f>
        <v>4</v>
      </c>
      <c r="Z57" s="132">
        <f>IFERROR(VALUE(LEFT(DONNEES_SOURCE!AW43,1)),"")</f>
        <v>4</v>
      </c>
      <c r="AA57" s="132">
        <f>IFERROR(8-VALUE(LEFT(DONNEES_SOURCE!AZ43,1)),"")</f>
        <v>4</v>
      </c>
      <c r="AB57" s="132">
        <f>IFERROR(8-DONNEES_SOURCE!BC43,"")</f>
        <v>6</v>
      </c>
      <c r="AC57" s="132">
        <f>IFERROR(8-DONNEES_SOURCE!BD43,"")</f>
        <v>7</v>
      </c>
      <c r="AD57" s="135">
        <f t="shared" si="2"/>
        <v>85</v>
      </c>
      <c r="AE57" s="135">
        <f t="shared" si="3"/>
        <v>15</v>
      </c>
      <c r="AF57" s="135">
        <f>IFERROR(DONNEES_SOURCE!AM43+DONNEES_SOURCE!AN43+DONNEES_SOURCE!AO43+DONNEES_SOURCE!AP43,"")</f>
        <v>27</v>
      </c>
      <c r="AG57" s="135">
        <f>IFERROR(Z57+DONNEES_SOURCE!AX43+DONNEES_SOURCE!AY43,"")</f>
        <v>18</v>
      </c>
      <c r="AH57" s="135">
        <f>IFERROR(AA57+DONNEES_SOURCE!BA43+DONNEES_SOURCE!BB43+AB57+AC57,"")</f>
        <v>29</v>
      </c>
    </row>
    <row r="58" spans="1:34" x14ac:dyDescent="0.25">
      <c r="A58" s="128">
        <v>43</v>
      </c>
      <c r="B58" s="129">
        <f>IFERROR(VALUE(LEFT(DONNEES_SOURCE!O44,1)),"")</f>
        <v>4</v>
      </c>
      <c r="C58" s="129">
        <f>IFERROR(VALUE(LEFT(DONNEES_SOURCE!P44,1)),"")</f>
        <v>4</v>
      </c>
      <c r="D58" s="129">
        <f>IFERROR(VALUE(LEFT(DONNEES_SOURCE!Q44,1)),"")</f>
        <v>4</v>
      </c>
      <c r="E58" s="129">
        <f>IFERROR(VALUE(LEFT(DONNEES_SOURCE!R44,1)),"")</f>
        <v>4</v>
      </c>
      <c r="F58" s="129">
        <f>IFERROR(VALUE(LEFT(DONNEES_SOURCE!S44,1)),"")</f>
        <v>3</v>
      </c>
      <c r="G58" s="129">
        <f>IFERROR(VALUE(LEFT(DONNEES_SOURCE!T44,1)),"")</f>
        <v>3</v>
      </c>
      <c r="H58" s="129">
        <f>IFERROR(VALUE(LEFT(DONNEES_SOURCE!U44,1)),"")</f>
        <v>3</v>
      </c>
      <c r="I58" s="129">
        <f>IFERROR(VALUE(LEFT(DONNEES_SOURCE!V44,1)),"")</f>
        <v>3</v>
      </c>
      <c r="J58" s="129">
        <f>IFERROR(VALUE(LEFT(DONNEES_SOURCE!W44,1)),"")</f>
        <v>3</v>
      </c>
      <c r="K58" s="129">
        <f>IFERROR(VALUE(LEFT(DONNEES_SOURCE!X44,1)),"")</f>
        <v>4</v>
      </c>
      <c r="L58" s="129">
        <f>IFERROR(VALUE(LEFT(DONNEES_SOURCE!Y44,1)),"")</f>
        <v>4</v>
      </c>
      <c r="M58" s="129">
        <f>IFERROR(VALUE(LEFT(DONNEES_SOURCE!Z44,1)),"")</f>
        <v>4</v>
      </c>
      <c r="N58" s="129">
        <f>IFERROR(VALUE(LEFT(DONNEES_SOURCE!AA44,1)),"")</f>
        <v>4</v>
      </c>
      <c r="O58" s="129">
        <f>IFERROR(VALUE(LEFT(DONNEES_SOURCE!AB44,1)),"")</f>
        <v>4</v>
      </c>
      <c r="P58" s="129">
        <f>IFERROR(VALUE(LEFT(DONNEES_SOURCE!AC44,1)),"")</f>
        <v>3</v>
      </c>
      <c r="Q58" s="129">
        <f>IFERROR(VALUE(LEFT(DONNEES_SOURCE!AD44,1)),"")</f>
        <v>3</v>
      </c>
      <c r="R58" s="129">
        <f>IFERROR(VALUE(LEFT(DONNEES_SOURCE!AE44,1)),"")</f>
        <v>3</v>
      </c>
      <c r="S58" s="129">
        <f>IFERROR(VALUE(LEFT(DONNEES_SOURCE!AF44,1)),"")</f>
        <v>3</v>
      </c>
      <c r="T58" s="129">
        <f>IFERROR(VALUE(LEFT(DONNEES_SOURCE!AG44,1)),"")</f>
        <v>3</v>
      </c>
      <c r="U58" s="129">
        <f>IFERROR(VALUE(LEFT(DONNEES_SOURCE!AH44,1)),"")</f>
        <v>4</v>
      </c>
      <c r="V58" s="130">
        <f>IFERROR(((DONNEES_SOURCE!AI44-1)*(4/6))+1,"")</f>
        <v>4.333333333333333</v>
      </c>
      <c r="W58" s="128">
        <f>IFERROR(VALUE(LEFT(DONNEES_SOURCE!AJ44,1)),"")</f>
        <v>4</v>
      </c>
      <c r="X58" s="128">
        <f>IFERROR(VALUE(LEFT(DONNEES_SOURCE!AK44,1)),"")</f>
        <v>5</v>
      </c>
      <c r="Y58" s="128">
        <f>IFERROR(8-DONNEES_SOURCE!AL44,"")</f>
        <v>3</v>
      </c>
      <c r="Z58" s="128">
        <f>IFERROR(VALUE(LEFT(DONNEES_SOURCE!AW44,1)),"")</f>
        <v>4</v>
      </c>
      <c r="AA58" s="128">
        <f>IFERROR(8-VALUE(LEFT(DONNEES_SOURCE!AZ44,1)),"")</f>
        <v>5</v>
      </c>
      <c r="AB58" s="128">
        <f>IFERROR(8-DONNEES_SOURCE!BC44,"")</f>
        <v>5</v>
      </c>
      <c r="AC58" s="128">
        <f>IFERROR(8-DONNEES_SOURCE!BD44,"")</f>
        <v>7</v>
      </c>
      <c r="AD58" s="131">
        <f t="shared" si="2"/>
        <v>74.333333333333329</v>
      </c>
      <c r="AE58" s="131">
        <f t="shared" si="3"/>
        <v>12</v>
      </c>
      <c r="AF58" s="131">
        <f>IFERROR(DONNEES_SOURCE!AM44+DONNEES_SOURCE!AN44+DONNEES_SOURCE!AO44+DONNEES_SOURCE!AP44,"")</f>
        <v>23</v>
      </c>
      <c r="AG58" s="131">
        <f>IFERROR(Z58+DONNEES_SOURCE!AX44+DONNEES_SOURCE!AY44,"")</f>
        <v>13</v>
      </c>
      <c r="AH58" s="131">
        <f>IFERROR(AA58+DONNEES_SOURCE!BA44+DONNEES_SOURCE!BB44+AB58+AC58,"")</f>
        <v>27</v>
      </c>
    </row>
    <row r="59" spans="1:34" x14ac:dyDescent="0.25">
      <c r="A59" s="132">
        <v>44</v>
      </c>
      <c r="B59" s="133">
        <f>IFERROR(VALUE(LEFT(DONNEES_SOURCE!O45,1)),"")</f>
        <v>4</v>
      </c>
      <c r="C59" s="133">
        <f>IFERROR(VALUE(LEFT(DONNEES_SOURCE!P45,1)),"")</f>
        <v>4</v>
      </c>
      <c r="D59" s="133">
        <f>IFERROR(VALUE(LEFT(DONNEES_SOURCE!Q45,1)),"")</f>
        <v>4</v>
      </c>
      <c r="E59" s="133">
        <f>IFERROR(VALUE(LEFT(DONNEES_SOURCE!R45,1)),"")</f>
        <v>4</v>
      </c>
      <c r="F59" s="133">
        <f>IFERROR(VALUE(LEFT(DONNEES_SOURCE!S45,1)),"")</f>
        <v>2</v>
      </c>
      <c r="G59" s="133">
        <f>IFERROR(VALUE(LEFT(DONNEES_SOURCE!T45,1)),"")</f>
        <v>2</v>
      </c>
      <c r="H59" s="133">
        <f>IFERROR(VALUE(LEFT(DONNEES_SOURCE!U45,1)),"")</f>
        <v>2</v>
      </c>
      <c r="I59" s="133">
        <f>IFERROR(VALUE(LEFT(DONNEES_SOURCE!V45,1)),"")</f>
        <v>2</v>
      </c>
      <c r="J59" s="133">
        <f>IFERROR(VALUE(LEFT(DONNEES_SOURCE!W45,1)),"")</f>
        <v>1</v>
      </c>
      <c r="K59" s="133">
        <f>IFERROR(VALUE(LEFT(DONNEES_SOURCE!X45,1)),"")</f>
        <v>4</v>
      </c>
      <c r="L59" s="133">
        <f>IFERROR(VALUE(LEFT(DONNEES_SOURCE!Y45,1)),"")</f>
        <v>3</v>
      </c>
      <c r="M59" s="133">
        <f>IFERROR(VALUE(LEFT(DONNEES_SOURCE!Z45,1)),"")</f>
        <v>4</v>
      </c>
      <c r="N59" s="133">
        <f>IFERROR(VALUE(LEFT(DONNEES_SOURCE!AA45,1)),"")</f>
        <v>4</v>
      </c>
      <c r="O59" s="133">
        <f>IFERROR(VALUE(LEFT(DONNEES_SOURCE!AB45,1)),"")</f>
        <v>4</v>
      </c>
      <c r="P59" s="133">
        <f>IFERROR(VALUE(LEFT(DONNEES_SOURCE!AC45,1)),"")</f>
        <v>3</v>
      </c>
      <c r="Q59" s="133">
        <f>IFERROR(VALUE(LEFT(DONNEES_SOURCE!AD45,1)),"")</f>
        <v>3</v>
      </c>
      <c r="R59" s="133">
        <f>IFERROR(VALUE(LEFT(DONNEES_SOURCE!AE45,1)),"")</f>
        <v>2</v>
      </c>
      <c r="S59" s="133">
        <f>IFERROR(VALUE(LEFT(DONNEES_SOURCE!AF45,1)),"")</f>
        <v>3</v>
      </c>
      <c r="T59" s="133">
        <f>IFERROR(VALUE(LEFT(DONNEES_SOURCE!AG45,1)),"")</f>
        <v>2</v>
      </c>
      <c r="U59" s="133">
        <f>IFERROR(VALUE(LEFT(DONNEES_SOURCE!AH45,1)),"")</f>
        <v>5</v>
      </c>
      <c r="V59" s="134">
        <f>IFERROR(((DONNEES_SOURCE!AI45-1)*(4/6))+1,"")</f>
        <v>2.333333333333333</v>
      </c>
      <c r="W59" s="132">
        <f>IFERROR(VALUE(LEFT(DONNEES_SOURCE!AJ45,1)),"")</f>
        <v>5</v>
      </c>
      <c r="X59" s="132">
        <f>IFERROR(VALUE(LEFT(DONNEES_SOURCE!AK45,1)),"")</f>
        <v>5</v>
      </c>
      <c r="Y59" s="132">
        <f>IFERROR(8-DONNEES_SOURCE!AL45,"")</f>
        <v>2</v>
      </c>
      <c r="Z59" s="132">
        <f>IFERROR(VALUE(LEFT(DONNEES_SOURCE!AW45,1)),"")</f>
        <v>2</v>
      </c>
      <c r="AA59" s="132">
        <f>IFERROR(8-VALUE(LEFT(DONNEES_SOURCE!AZ45,1)),"")</f>
        <v>4</v>
      </c>
      <c r="AB59" s="132">
        <f>IFERROR(8-DONNEES_SOURCE!BC45,"")</f>
        <v>4</v>
      </c>
      <c r="AC59" s="132">
        <f>IFERROR(8-DONNEES_SOURCE!BD45,"")</f>
        <v>4</v>
      </c>
      <c r="AD59" s="135">
        <f t="shared" si="2"/>
        <v>64.333333333333329</v>
      </c>
      <c r="AE59" s="135">
        <f t="shared" si="3"/>
        <v>12</v>
      </c>
      <c r="AF59" s="135">
        <f>IFERROR(DONNEES_SOURCE!AM45+DONNEES_SOURCE!AN45+DONNEES_SOURCE!AO45+DONNEES_SOURCE!AP45,"")</f>
        <v>21</v>
      </c>
      <c r="AG59" s="135">
        <f>IFERROR(Z59+DONNEES_SOURCE!AX45+DONNEES_SOURCE!AY45,"")</f>
        <v>12</v>
      </c>
      <c r="AH59" s="135">
        <f>IFERROR(AA59+DONNEES_SOURCE!BA45+DONNEES_SOURCE!BB45+AB59+AC59,"")</f>
        <v>22</v>
      </c>
    </row>
    <row r="60" spans="1:34" x14ac:dyDescent="0.25">
      <c r="A60" s="128">
        <v>45</v>
      </c>
      <c r="B60" s="129">
        <f>IFERROR(VALUE(LEFT(DONNEES_SOURCE!O46,1)),"")</f>
        <v>4</v>
      </c>
      <c r="C60" s="129">
        <f>IFERROR(VALUE(LEFT(DONNEES_SOURCE!P46,1)),"")</f>
        <v>4</v>
      </c>
      <c r="D60" s="129">
        <f>IFERROR(VALUE(LEFT(DONNEES_SOURCE!Q46,1)),"")</f>
        <v>4</v>
      </c>
      <c r="E60" s="129">
        <f>IFERROR(VALUE(LEFT(DONNEES_SOURCE!R46,1)),"")</f>
        <v>1</v>
      </c>
      <c r="F60" s="129">
        <f>IFERROR(VALUE(LEFT(DONNEES_SOURCE!S46,1)),"")</f>
        <v>5</v>
      </c>
      <c r="G60" s="129">
        <f>IFERROR(VALUE(LEFT(DONNEES_SOURCE!T46,1)),"")</f>
        <v>4</v>
      </c>
      <c r="H60" s="129">
        <f>IFERROR(VALUE(LEFT(DONNEES_SOURCE!U46,1)),"")</f>
        <v>1</v>
      </c>
      <c r="I60" s="129">
        <f>IFERROR(VALUE(LEFT(DONNEES_SOURCE!V46,1)),"")</f>
        <v>1</v>
      </c>
      <c r="J60" s="129">
        <f>IFERROR(VALUE(LEFT(DONNEES_SOURCE!W46,1)),"")</f>
        <v>2</v>
      </c>
      <c r="K60" s="129">
        <f>IFERROR(VALUE(LEFT(DONNEES_SOURCE!X46,1)),"")</f>
        <v>4</v>
      </c>
      <c r="L60" s="129">
        <f>IFERROR(VALUE(LEFT(DONNEES_SOURCE!Y46,1)),"")</f>
        <v>4</v>
      </c>
      <c r="M60" s="129">
        <f>IFERROR(VALUE(LEFT(DONNEES_SOURCE!Z46,1)),"")</f>
        <v>4</v>
      </c>
      <c r="N60" s="129">
        <f>IFERROR(VALUE(LEFT(DONNEES_SOURCE!AA46,1)),"")</f>
        <v>5</v>
      </c>
      <c r="O60" s="129">
        <f>IFERROR(VALUE(LEFT(DONNEES_SOURCE!AB46,1)),"")</f>
        <v>1</v>
      </c>
      <c r="P60" s="129">
        <f>IFERROR(VALUE(LEFT(DONNEES_SOURCE!AC46,1)),"")</f>
        <v>2</v>
      </c>
      <c r="Q60" s="129">
        <f>IFERROR(VALUE(LEFT(DONNEES_SOURCE!AD46,1)),"")</f>
        <v>3</v>
      </c>
      <c r="R60" s="129">
        <f>IFERROR(VALUE(LEFT(DONNEES_SOURCE!AE46,1)),"")</f>
        <v>1</v>
      </c>
      <c r="S60" s="129">
        <f>IFERROR(VALUE(LEFT(DONNEES_SOURCE!AF46,1)),"")</f>
        <v>1</v>
      </c>
      <c r="T60" s="129">
        <f>IFERROR(VALUE(LEFT(DONNEES_SOURCE!AG46,1)),"")</f>
        <v>2</v>
      </c>
      <c r="U60" s="129">
        <f>IFERROR(VALUE(LEFT(DONNEES_SOURCE!AH46,1)),"")</f>
        <v>3</v>
      </c>
      <c r="V60" s="130">
        <f>IFERROR(((DONNEES_SOURCE!AI46-1)*(4/6))+1,"")</f>
        <v>4.333333333333333</v>
      </c>
      <c r="W60" s="128">
        <f>IFERROR(VALUE(LEFT(DONNEES_SOURCE!AJ46,1)),"")</f>
        <v>4</v>
      </c>
      <c r="X60" s="128">
        <f>IFERROR(VALUE(LEFT(DONNEES_SOURCE!AK46,1)),"")</f>
        <v>6</v>
      </c>
      <c r="Y60" s="128">
        <f>IFERROR(8-DONNEES_SOURCE!AL46,"")</f>
        <v>4</v>
      </c>
      <c r="Z60" s="128">
        <f>IFERROR(VALUE(LEFT(DONNEES_SOURCE!AW46,1)),"")</f>
        <v>5</v>
      </c>
      <c r="AA60" s="128">
        <f>IFERROR(8-VALUE(LEFT(DONNEES_SOURCE!AZ46,1)),"")</f>
        <v>7</v>
      </c>
      <c r="AB60" s="128">
        <f>IFERROR(8-DONNEES_SOURCE!BC46,"")</f>
        <v>5</v>
      </c>
      <c r="AC60" s="128">
        <f>IFERROR(8-DONNEES_SOURCE!BD46,"")</f>
        <v>6</v>
      </c>
      <c r="AD60" s="131">
        <f t="shared" si="2"/>
        <v>60.333333333333336</v>
      </c>
      <c r="AE60" s="131">
        <f t="shared" si="3"/>
        <v>14</v>
      </c>
      <c r="AF60" s="131">
        <f>IFERROR(DONNEES_SOURCE!AM46+DONNEES_SOURCE!AN46+DONNEES_SOURCE!AO46+DONNEES_SOURCE!AP46,"")</f>
        <v>22</v>
      </c>
      <c r="AG60" s="131">
        <f>IFERROR(Z60+DONNEES_SOURCE!AX46+DONNEES_SOURCE!AY46,"")</f>
        <v>19</v>
      </c>
      <c r="AH60" s="131">
        <f>IFERROR(AA60+DONNEES_SOURCE!BA46+DONNEES_SOURCE!BB46+AB60+AC60,"")</f>
        <v>32</v>
      </c>
    </row>
    <row r="61" spans="1:34" x14ac:dyDescent="0.25">
      <c r="A61" s="132">
        <v>46</v>
      </c>
      <c r="B61" s="133">
        <f>IFERROR(VALUE(LEFT(DONNEES_SOURCE!O47,1)),"")</f>
        <v>4</v>
      </c>
      <c r="C61" s="133">
        <f>IFERROR(VALUE(LEFT(DONNEES_SOURCE!P47,1)),"")</f>
        <v>5</v>
      </c>
      <c r="D61" s="133">
        <f>IFERROR(VALUE(LEFT(DONNEES_SOURCE!Q47,1)),"")</f>
        <v>5</v>
      </c>
      <c r="E61" s="133">
        <f>IFERROR(VALUE(LEFT(DONNEES_SOURCE!R47,1)),"")</f>
        <v>5</v>
      </c>
      <c r="F61" s="133">
        <f>IFERROR(VALUE(LEFT(DONNEES_SOURCE!S47,1)),"")</f>
        <v>4</v>
      </c>
      <c r="G61" s="133">
        <f>IFERROR(VALUE(LEFT(DONNEES_SOURCE!T47,1)),"")</f>
        <v>4</v>
      </c>
      <c r="H61" s="133">
        <f>IFERROR(VALUE(LEFT(DONNEES_SOURCE!U47,1)),"")</f>
        <v>5</v>
      </c>
      <c r="I61" s="133">
        <f>IFERROR(VALUE(LEFT(DONNEES_SOURCE!V47,1)),"")</f>
        <v>4</v>
      </c>
      <c r="J61" s="133">
        <f>IFERROR(VALUE(LEFT(DONNEES_SOURCE!W47,1)),"")</f>
        <v>3</v>
      </c>
      <c r="K61" s="133">
        <f>IFERROR(VALUE(LEFT(DONNEES_SOURCE!X47,1)),"")</f>
        <v>4</v>
      </c>
      <c r="L61" s="133">
        <f>IFERROR(VALUE(LEFT(DONNEES_SOURCE!Y47,1)),"")</f>
        <v>5</v>
      </c>
      <c r="M61" s="133">
        <f>IFERROR(VALUE(LEFT(DONNEES_SOURCE!Z47,1)),"")</f>
        <v>4</v>
      </c>
      <c r="N61" s="133">
        <f>IFERROR(VALUE(LEFT(DONNEES_SOURCE!AA47,1)),"")</f>
        <v>5</v>
      </c>
      <c r="O61" s="133">
        <f>IFERROR(VALUE(LEFT(DONNEES_SOURCE!AB47,1)),"")</f>
        <v>5</v>
      </c>
      <c r="P61" s="133">
        <f>IFERROR(VALUE(LEFT(DONNEES_SOURCE!AC47,1)),"")</f>
        <v>4</v>
      </c>
      <c r="Q61" s="133">
        <f>IFERROR(VALUE(LEFT(DONNEES_SOURCE!AD47,1)),"")</f>
        <v>4</v>
      </c>
      <c r="R61" s="133">
        <f>IFERROR(VALUE(LEFT(DONNEES_SOURCE!AE47,1)),"")</f>
        <v>4</v>
      </c>
      <c r="S61" s="133">
        <f>IFERROR(VALUE(LEFT(DONNEES_SOURCE!AF47,1)),"")</f>
        <v>4</v>
      </c>
      <c r="T61" s="133">
        <f>IFERROR(VALUE(LEFT(DONNEES_SOURCE!AG47,1)),"")</f>
        <v>3</v>
      </c>
      <c r="U61" s="133">
        <f>IFERROR(VALUE(LEFT(DONNEES_SOURCE!AH47,1)),"")</f>
        <v>5</v>
      </c>
      <c r="V61" s="134">
        <f>IFERROR(((DONNEES_SOURCE!AI47-1)*(4/6))+1,"")</f>
        <v>4.333333333333333</v>
      </c>
      <c r="W61" s="132">
        <f>IFERROR(VALUE(LEFT(DONNEES_SOURCE!AJ47,1)),"")</f>
        <v>6</v>
      </c>
      <c r="X61" s="132">
        <f>IFERROR(VALUE(LEFT(DONNEES_SOURCE!AK47,1)),"")</f>
        <v>6</v>
      </c>
      <c r="Y61" s="132">
        <f>IFERROR(8-DONNEES_SOURCE!AL47,"")</f>
        <v>4</v>
      </c>
      <c r="Z61" s="132">
        <f>IFERROR(VALUE(LEFT(DONNEES_SOURCE!AW47,1)),"")</f>
        <v>2</v>
      </c>
      <c r="AA61" s="132">
        <f>IFERROR(8-VALUE(LEFT(DONNEES_SOURCE!AZ47,1)),"")</f>
        <v>3</v>
      </c>
      <c r="AB61" s="132">
        <f>IFERROR(8-DONNEES_SOURCE!BC47,"")</f>
        <v>3</v>
      </c>
      <c r="AC61" s="132">
        <f>IFERROR(8-DONNEES_SOURCE!BD47,"")</f>
        <v>5</v>
      </c>
      <c r="AD61" s="135">
        <f t="shared" si="2"/>
        <v>90.333333333333329</v>
      </c>
      <c r="AE61" s="135">
        <f t="shared" si="3"/>
        <v>16</v>
      </c>
      <c r="AF61" s="135">
        <f>IFERROR(DONNEES_SOURCE!AM47+DONNEES_SOURCE!AN47+DONNEES_SOURCE!AO47+DONNEES_SOURCE!AP47,"")</f>
        <v>22</v>
      </c>
      <c r="AG61" s="135">
        <f>IFERROR(Z61+DONNEES_SOURCE!AX47+DONNEES_SOURCE!AY47,"")</f>
        <v>13</v>
      </c>
      <c r="AH61" s="135">
        <f>IFERROR(AA61+DONNEES_SOURCE!BA47+DONNEES_SOURCE!BB47+AB61+AC61,"")</f>
        <v>18</v>
      </c>
    </row>
    <row r="62" spans="1:34" x14ac:dyDescent="0.25">
      <c r="A62" s="128">
        <v>47</v>
      </c>
      <c r="B62" s="129">
        <f>IFERROR(VALUE(LEFT(DONNEES_SOURCE!O48,1)),"")</f>
        <v>4</v>
      </c>
      <c r="C62" s="129">
        <f>IFERROR(VALUE(LEFT(DONNEES_SOURCE!P48,1)),"")</f>
        <v>5</v>
      </c>
      <c r="D62" s="129">
        <f>IFERROR(VALUE(LEFT(DONNEES_SOURCE!Q48,1)),"")</f>
        <v>4</v>
      </c>
      <c r="E62" s="129">
        <f>IFERROR(VALUE(LEFT(DONNEES_SOURCE!R48,1)),"")</f>
        <v>4</v>
      </c>
      <c r="F62" s="129">
        <f>IFERROR(VALUE(LEFT(DONNEES_SOURCE!S48,1)),"")</f>
        <v>4</v>
      </c>
      <c r="G62" s="129">
        <f>IFERROR(VALUE(LEFT(DONNEES_SOURCE!T48,1)),"")</f>
        <v>3</v>
      </c>
      <c r="H62" s="129">
        <f>IFERROR(VALUE(LEFT(DONNEES_SOURCE!U48,1)),"")</f>
        <v>3</v>
      </c>
      <c r="I62" s="129">
        <f>IFERROR(VALUE(LEFT(DONNEES_SOURCE!V48,1)),"")</f>
        <v>3</v>
      </c>
      <c r="J62" s="129">
        <f>IFERROR(VALUE(LEFT(DONNEES_SOURCE!W48,1)),"")</f>
        <v>4</v>
      </c>
      <c r="K62" s="129">
        <f>IFERROR(VALUE(LEFT(DONNEES_SOURCE!X48,1)),"")</f>
        <v>5</v>
      </c>
      <c r="L62" s="129">
        <f>IFERROR(VALUE(LEFT(DONNEES_SOURCE!Y48,1)),"")</f>
        <v>5</v>
      </c>
      <c r="M62" s="129">
        <f>IFERROR(VALUE(LEFT(DONNEES_SOURCE!Z48,1)),"")</f>
        <v>5</v>
      </c>
      <c r="N62" s="129">
        <f>IFERROR(VALUE(LEFT(DONNEES_SOURCE!AA48,1)),"")</f>
        <v>5</v>
      </c>
      <c r="O62" s="129">
        <f>IFERROR(VALUE(LEFT(DONNEES_SOURCE!AB48,1)),"")</f>
        <v>5</v>
      </c>
      <c r="P62" s="129">
        <f>IFERROR(VALUE(LEFT(DONNEES_SOURCE!AC48,1)),"")</f>
        <v>3</v>
      </c>
      <c r="Q62" s="129">
        <f>IFERROR(VALUE(LEFT(DONNEES_SOURCE!AD48,1)),"")</f>
        <v>4</v>
      </c>
      <c r="R62" s="129">
        <f>IFERROR(VALUE(LEFT(DONNEES_SOURCE!AE48,1)),"")</f>
        <v>3</v>
      </c>
      <c r="S62" s="129">
        <f>IFERROR(VALUE(LEFT(DONNEES_SOURCE!AF48,1)),"")</f>
        <v>3</v>
      </c>
      <c r="T62" s="129">
        <f>IFERROR(VALUE(LEFT(DONNEES_SOURCE!AG48,1)),"")</f>
        <v>4</v>
      </c>
      <c r="U62" s="129">
        <f>IFERROR(VALUE(LEFT(DONNEES_SOURCE!AH48,1)),"")</f>
        <v>4</v>
      </c>
      <c r="V62" s="130">
        <f>IFERROR(((DONNEES_SOURCE!AI48-1)*(4/6))+1,"")</f>
        <v>4.333333333333333</v>
      </c>
      <c r="W62" s="128">
        <f>IFERROR(VALUE(LEFT(DONNEES_SOURCE!AJ48,1)),"")</f>
        <v>7</v>
      </c>
      <c r="X62" s="128">
        <f>IFERROR(VALUE(LEFT(DONNEES_SOURCE!AK48,1)),"")</f>
        <v>7</v>
      </c>
      <c r="Y62" s="128">
        <f>IFERROR(8-DONNEES_SOURCE!AL48,"")</f>
        <v>3</v>
      </c>
      <c r="Z62" s="128">
        <f>IFERROR(VALUE(LEFT(DONNEES_SOURCE!AW48,1)),"")</f>
        <v>1</v>
      </c>
      <c r="AA62" s="128">
        <f>IFERROR(8-VALUE(LEFT(DONNEES_SOURCE!AZ48,1)),"")</f>
        <v>6</v>
      </c>
      <c r="AB62" s="128">
        <f>IFERROR(8-DONNEES_SOURCE!BC48,"")</f>
        <v>4</v>
      </c>
      <c r="AC62" s="128">
        <f>IFERROR(8-DONNEES_SOURCE!BD48,"")</f>
        <v>5</v>
      </c>
      <c r="AD62" s="131">
        <f t="shared" si="2"/>
        <v>84.333333333333329</v>
      </c>
      <c r="AE62" s="131">
        <f t="shared" si="3"/>
        <v>17</v>
      </c>
      <c r="AF62" s="131">
        <f>IFERROR(DONNEES_SOURCE!AM48+DONNEES_SOURCE!AN48+DONNEES_SOURCE!AO48+DONNEES_SOURCE!AP48,"")</f>
        <v>24</v>
      </c>
      <c r="AG62" s="131">
        <f>IFERROR(Z62+DONNEES_SOURCE!AX48+DONNEES_SOURCE!AY48,"")</f>
        <v>10</v>
      </c>
      <c r="AH62" s="131">
        <f>IFERROR(AA62+DONNEES_SOURCE!BA48+DONNEES_SOURCE!BB48+AB62+AC62,"")</f>
        <v>28</v>
      </c>
    </row>
    <row r="63" spans="1:34" x14ac:dyDescent="0.25">
      <c r="A63" s="132">
        <v>48</v>
      </c>
      <c r="B63" s="133">
        <f>IFERROR(VALUE(LEFT(DONNEES_SOURCE!O49,1)),"")</f>
        <v>4</v>
      </c>
      <c r="C63" s="133">
        <f>IFERROR(VALUE(LEFT(DONNEES_SOURCE!P49,1)),"")</f>
        <v>4</v>
      </c>
      <c r="D63" s="133">
        <f>IFERROR(VALUE(LEFT(DONNEES_SOURCE!Q49,1)),"")</f>
        <v>4</v>
      </c>
      <c r="E63" s="133">
        <f>IFERROR(VALUE(LEFT(DONNEES_SOURCE!R49,1)),"")</f>
        <v>4</v>
      </c>
      <c r="F63" s="133">
        <f>IFERROR(VALUE(LEFT(DONNEES_SOURCE!S49,1)),"")</f>
        <v>3</v>
      </c>
      <c r="G63" s="133">
        <f>IFERROR(VALUE(LEFT(DONNEES_SOURCE!T49,1)),"")</f>
        <v>3</v>
      </c>
      <c r="H63" s="133">
        <f>IFERROR(VALUE(LEFT(DONNEES_SOURCE!U49,1)),"")</f>
        <v>1</v>
      </c>
      <c r="I63" s="133">
        <f>IFERROR(VALUE(LEFT(DONNEES_SOURCE!V49,1)),"")</f>
        <v>1</v>
      </c>
      <c r="J63" s="133">
        <f>IFERROR(VALUE(LEFT(DONNEES_SOURCE!W49,1)),"")</f>
        <v>1</v>
      </c>
      <c r="K63" s="133">
        <f>IFERROR(VALUE(LEFT(DONNEES_SOURCE!X49,1)),"")</f>
        <v>4</v>
      </c>
      <c r="L63" s="133">
        <f>IFERROR(VALUE(LEFT(DONNEES_SOURCE!Y49,1)),"")</f>
        <v>4</v>
      </c>
      <c r="M63" s="133">
        <f>IFERROR(VALUE(LEFT(DONNEES_SOURCE!Z49,1)),"")</f>
        <v>4</v>
      </c>
      <c r="N63" s="133">
        <f>IFERROR(VALUE(LEFT(DONNEES_SOURCE!AA49,1)),"")</f>
        <v>4</v>
      </c>
      <c r="O63" s="133">
        <f>IFERROR(VALUE(LEFT(DONNEES_SOURCE!AB49,1)),"")</f>
        <v>4</v>
      </c>
      <c r="P63" s="133">
        <f>IFERROR(VALUE(LEFT(DONNEES_SOURCE!AC49,1)),"")</f>
        <v>3</v>
      </c>
      <c r="Q63" s="133">
        <f>IFERROR(VALUE(LEFT(DONNEES_SOURCE!AD49,1)),"")</f>
        <v>3</v>
      </c>
      <c r="R63" s="133">
        <f>IFERROR(VALUE(LEFT(DONNEES_SOURCE!AE49,1)),"")</f>
        <v>1</v>
      </c>
      <c r="S63" s="133">
        <f>IFERROR(VALUE(LEFT(DONNEES_SOURCE!AF49,1)),"")</f>
        <v>1</v>
      </c>
      <c r="T63" s="133">
        <f>IFERROR(VALUE(LEFT(DONNEES_SOURCE!AG49,1)),"")</f>
        <v>1</v>
      </c>
      <c r="U63" s="133">
        <f>IFERROR(VALUE(LEFT(DONNEES_SOURCE!AH49,1)),"")</f>
        <v>4</v>
      </c>
      <c r="V63" s="134">
        <f>IFERROR(((DONNEES_SOURCE!AI49-1)*(4/6))+1,"")</f>
        <v>3.6666666666666665</v>
      </c>
      <c r="W63" s="132">
        <f>IFERROR(VALUE(LEFT(DONNEES_SOURCE!AJ49,1)),"")</f>
        <v>4</v>
      </c>
      <c r="X63" s="132">
        <f>IFERROR(VALUE(LEFT(DONNEES_SOURCE!AK49,1)),"")</f>
        <v>5</v>
      </c>
      <c r="Y63" s="132">
        <f>IFERROR(8-DONNEES_SOURCE!AL49,"")</f>
        <v>4</v>
      </c>
      <c r="Z63" s="132">
        <f>IFERROR(VALUE(LEFT(DONNEES_SOURCE!AW49,1)),"")</f>
        <v>4</v>
      </c>
      <c r="AA63" s="132">
        <f>IFERROR(8-VALUE(LEFT(DONNEES_SOURCE!AZ49,1)),"")</f>
        <v>6</v>
      </c>
      <c r="AB63" s="132">
        <f>IFERROR(8-DONNEES_SOURCE!BC49,"")</f>
        <v>5</v>
      </c>
      <c r="AC63" s="132">
        <f>IFERROR(8-DONNEES_SOURCE!BD49,"")</f>
        <v>7</v>
      </c>
      <c r="AD63" s="135">
        <f t="shared" si="2"/>
        <v>61.666666666666664</v>
      </c>
      <c r="AE63" s="135">
        <f t="shared" si="3"/>
        <v>13</v>
      </c>
      <c r="AF63" s="135">
        <f>IFERROR(DONNEES_SOURCE!AM49+DONNEES_SOURCE!AN49+DONNEES_SOURCE!AO49+DONNEES_SOURCE!AP49,"")</f>
        <v>21</v>
      </c>
      <c r="AG63" s="135">
        <f>IFERROR(Z63+DONNEES_SOURCE!AX49+DONNEES_SOURCE!AY49,"")</f>
        <v>16</v>
      </c>
      <c r="AH63" s="135">
        <f>IFERROR(AA63+DONNEES_SOURCE!BA49+DONNEES_SOURCE!BB49+AB63+AC63,"")</f>
        <v>31</v>
      </c>
    </row>
    <row r="64" spans="1:34" x14ac:dyDescent="0.25">
      <c r="A64" s="128">
        <v>49</v>
      </c>
      <c r="B64" s="129">
        <f>IFERROR(VALUE(LEFT(DONNEES_SOURCE!O50,1)),"")</f>
        <v>3</v>
      </c>
      <c r="C64" s="129">
        <f>IFERROR(VALUE(LEFT(DONNEES_SOURCE!P50,1)),"")</f>
        <v>5</v>
      </c>
      <c r="D64" s="129">
        <f>IFERROR(VALUE(LEFT(DONNEES_SOURCE!Q50,1)),"")</f>
        <v>5</v>
      </c>
      <c r="E64" s="129">
        <f>IFERROR(VALUE(LEFT(DONNEES_SOURCE!R50,1)),"")</f>
        <v>3</v>
      </c>
      <c r="F64" s="129">
        <f>IFERROR(VALUE(LEFT(DONNEES_SOURCE!S50,1)),"")</f>
        <v>4</v>
      </c>
      <c r="G64" s="129">
        <f>IFERROR(VALUE(LEFT(DONNEES_SOURCE!T50,1)),"")</f>
        <v>2</v>
      </c>
      <c r="H64" s="129">
        <f>IFERROR(VALUE(LEFT(DONNEES_SOURCE!U50,1)),"")</f>
        <v>1</v>
      </c>
      <c r="I64" s="129">
        <f>IFERROR(VALUE(LEFT(DONNEES_SOURCE!V50,1)),"")</f>
        <v>1</v>
      </c>
      <c r="J64" s="129">
        <f>IFERROR(VALUE(LEFT(DONNEES_SOURCE!W50,1)),"")</f>
        <v>3</v>
      </c>
      <c r="K64" s="129">
        <f>IFERROR(VALUE(LEFT(DONNEES_SOURCE!X50,1)),"")</f>
        <v>5</v>
      </c>
      <c r="L64" s="129">
        <f>IFERROR(VALUE(LEFT(DONNEES_SOURCE!Y50,1)),"")</f>
        <v>4</v>
      </c>
      <c r="M64" s="129">
        <f>IFERROR(VALUE(LEFT(DONNEES_SOURCE!Z50,1)),"")</f>
        <v>4</v>
      </c>
      <c r="N64" s="129">
        <f>IFERROR(VALUE(LEFT(DONNEES_SOURCE!AA50,1)),"")</f>
        <v>5</v>
      </c>
      <c r="O64" s="129">
        <f>IFERROR(VALUE(LEFT(DONNEES_SOURCE!AB50,1)),"")</f>
        <v>4</v>
      </c>
      <c r="P64" s="129">
        <f>IFERROR(VALUE(LEFT(DONNEES_SOURCE!AC50,1)),"")</f>
        <v>4</v>
      </c>
      <c r="Q64" s="129">
        <f>IFERROR(VALUE(LEFT(DONNEES_SOURCE!AD50,1)),"")</f>
        <v>2</v>
      </c>
      <c r="R64" s="129">
        <f>IFERROR(VALUE(LEFT(DONNEES_SOURCE!AE50,1)),"")</f>
        <v>1</v>
      </c>
      <c r="S64" s="129">
        <f>IFERROR(VALUE(LEFT(DONNEES_SOURCE!AF50,1)),"")</f>
        <v>1</v>
      </c>
      <c r="T64" s="129">
        <f>IFERROR(VALUE(LEFT(DONNEES_SOURCE!AG50,1)),"")</f>
        <v>4</v>
      </c>
      <c r="U64" s="129">
        <f>IFERROR(VALUE(LEFT(DONNEES_SOURCE!AH50,1)),"")</f>
        <v>4</v>
      </c>
      <c r="V64" s="130">
        <f>IFERROR(((DONNEES_SOURCE!AI50-1)*(4/6))+1,"")</f>
        <v>3.6666666666666665</v>
      </c>
      <c r="W64" s="128">
        <f>IFERROR(VALUE(LEFT(DONNEES_SOURCE!AJ50,1)),"")</f>
        <v>5</v>
      </c>
      <c r="X64" s="128">
        <f>IFERROR(VALUE(LEFT(DONNEES_SOURCE!AK50,1)),"")</f>
        <v>5</v>
      </c>
      <c r="Y64" s="128">
        <f>IFERROR(8-DONNEES_SOURCE!AL50,"")</f>
        <v>3</v>
      </c>
      <c r="Z64" s="128">
        <f>IFERROR(VALUE(LEFT(DONNEES_SOURCE!AW50,1)),"")</f>
        <v>5</v>
      </c>
      <c r="AA64" s="128">
        <f>IFERROR(8-VALUE(LEFT(DONNEES_SOURCE!AZ50,1)),"")</f>
        <v>7</v>
      </c>
      <c r="AB64" s="128">
        <f>IFERROR(8-DONNEES_SOURCE!BC50,"")</f>
        <v>3</v>
      </c>
      <c r="AC64" s="128">
        <f>IFERROR(8-DONNEES_SOURCE!BD50,"")</f>
        <v>6</v>
      </c>
      <c r="AD64" s="131">
        <f t="shared" si="2"/>
        <v>68.666666666666671</v>
      </c>
      <c r="AE64" s="131">
        <f t="shared" si="3"/>
        <v>13</v>
      </c>
      <c r="AF64" s="131">
        <f>IFERROR(DONNEES_SOURCE!AM50+DONNEES_SOURCE!AN50+DONNEES_SOURCE!AO50+DONNEES_SOURCE!AP50,"")</f>
        <v>17</v>
      </c>
      <c r="AG64" s="131">
        <f>IFERROR(Z64+DONNEES_SOURCE!AX50+DONNEES_SOURCE!AY50,"")</f>
        <v>15</v>
      </c>
      <c r="AH64" s="131">
        <f>IFERROR(AA64+DONNEES_SOURCE!BA50+DONNEES_SOURCE!BB50+AB64+AC64,"")</f>
        <v>25</v>
      </c>
    </row>
    <row r="65" spans="1:34" x14ac:dyDescent="0.25">
      <c r="A65" s="132">
        <v>50</v>
      </c>
      <c r="B65" s="133">
        <f>IFERROR(VALUE(LEFT(DONNEES_SOURCE!O51,1)),"")</f>
        <v>4</v>
      </c>
      <c r="C65" s="133">
        <f>IFERROR(VALUE(LEFT(DONNEES_SOURCE!P51,1)),"")</f>
        <v>5</v>
      </c>
      <c r="D65" s="133">
        <f>IFERROR(VALUE(LEFT(DONNEES_SOURCE!Q51,1)),"")</f>
        <v>5</v>
      </c>
      <c r="E65" s="133">
        <f>IFERROR(VALUE(LEFT(DONNEES_SOURCE!R51,1)),"")</f>
        <v>5</v>
      </c>
      <c r="F65" s="133">
        <f>IFERROR(VALUE(LEFT(DONNEES_SOURCE!S51,1)),"")</f>
        <v>5</v>
      </c>
      <c r="G65" s="133">
        <f>IFERROR(VALUE(LEFT(DONNEES_SOURCE!T51,1)),"")</f>
        <v>3</v>
      </c>
      <c r="H65" s="133">
        <f>IFERROR(VALUE(LEFT(DONNEES_SOURCE!U51,1)),"")</f>
        <v>3</v>
      </c>
      <c r="I65" s="133">
        <f>IFERROR(VALUE(LEFT(DONNEES_SOURCE!V51,1)),"")</f>
        <v>4</v>
      </c>
      <c r="J65" s="133">
        <f>IFERROR(VALUE(LEFT(DONNEES_SOURCE!W51,1)),"")</f>
        <v>2</v>
      </c>
      <c r="K65" s="133">
        <f>IFERROR(VALUE(LEFT(DONNEES_SOURCE!X51,1)),"")</f>
        <v>5</v>
      </c>
      <c r="L65" s="133">
        <f>IFERROR(VALUE(LEFT(DONNEES_SOURCE!Y51,1)),"")</f>
        <v>3</v>
      </c>
      <c r="M65" s="133">
        <f>IFERROR(VALUE(LEFT(DONNEES_SOURCE!Z51,1)),"")</f>
        <v>4</v>
      </c>
      <c r="N65" s="133">
        <f>IFERROR(VALUE(LEFT(DONNEES_SOURCE!AA51,1)),"")</f>
        <v>4</v>
      </c>
      <c r="O65" s="133">
        <f>IFERROR(VALUE(LEFT(DONNEES_SOURCE!AB51,1)),"")</f>
        <v>3</v>
      </c>
      <c r="P65" s="133">
        <f>IFERROR(VALUE(LEFT(DONNEES_SOURCE!AC51,1)),"")</f>
        <v>5</v>
      </c>
      <c r="Q65" s="133">
        <f>IFERROR(VALUE(LEFT(DONNEES_SOURCE!AD51,1)),"")</f>
        <v>2</v>
      </c>
      <c r="R65" s="133">
        <f>IFERROR(VALUE(LEFT(DONNEES_SOURCE!AE51,1)),"")</f>
        <v>2</v>
      </c>
      <c r="S65" s="133">
        <f>IFERROR(VALUE(LEFT(DONNEES_SOURCE!AF51,1)),"")</f>
        <v>3</v>
      </c>
      <c r="T65" s="133">
        <f>IFERROR(VALUE(LEFT(DONNEES_SOURCE!AG51,1)),"")</f>
        <v>2</v>
      </c>
      <c r="U65" s="133">
        <f>IFERROR(VALUE(LEFT(DONNEES_SOURCE!AH51,1)),"")</f>
        <v>3</v>
      </c>
      <c r="V65" s="134">
        <f>IFERROR(((DONNEES_SOURCE!AI51-1)*(4/6))+1,"")</f>
        <v>4.333333333333333</v>
      </c>
      <c r="W65" s="132">
        <f>IFERROR(VALUE(LEFT(DONNEES_SOURCE!AJ51,1)),"")</f>
        <v>6</v>
      </c>
      <c r="X65" s="132">
        <f>IFERROR(VALUE(LEFT(DONNEES_SOURCE!AK51,1)),"")</f>
        <v>5</v>
      </c>
      <c r="Y65" s="132">
        <f>IFERROR(8-DONNEES_SOURCE!AL51,"")</f>
        <v>2</v>
      </c>
      <c r="Z65" s="132">
        <f>IFERROR(VALUE(LEFT(DONNEES_SOURCE!AW51,1)),"")</f>
        <v>4</v>
      </c>
      <c r="AA65" s="132">
        <f>IFERROR(8-VALUE(LEFT(DONNEES_SOURCE!AZ51,1)),"")</f>
        <v>4</v>
      </c>
      <c r="AB65" s="132">
        <f>IFERROR(8-DONNEES_SOURCE!BC51,"")</f>
        <v>5</v>
      </c>
      <c r="AC65" s="132">
        <f>IFERROR(8-DONNEES_SOURCE!BD51,"")</f>
        <v>4</v>
      </c>
      <c r="AD65" s="135">
        <f t="shared" si="2"/>
        <v>76.333333333333329</v>
      </c>
      <c r="AE65" s="135">
        <f t="shared" si="3"/>
        <v>13</v>
      </c>
      <c r="AF65" s="135">
        <f>IFERROR(DONNEES_SOURCE!AM51+DONNEES_SOURCE!AN51+DONNEES_SOURCE!AO51+DONNEES_SOURCE!AP51,"")</f>
        <v>22</v>
      </c>
      <c r="AG65" s="135">
        <f>IFERROR(Z65+DONNEES_SOURCE!AX51+DONNEES_SOURCE!AY51,"")</f>
        <v>14</v>
      </c>
      <c r="AH65" s="135">
        <f>IFERROR(AA65+DONNEES_SOURCE!BA51+DONNEES_SOURCE!BB51+AB65+AC65,"")</f>
        <v>21</v>
      </c>
    </row>
    <row r="66" spans="1:34" x14ac:dyDescent="0.25">
      <c r="A66" s="128">
        <v>51</v>
      </c>
      <c r="B66" s="129">
        <f>IFERROR(VALUE(LEFT(DONNEES_SOURCE!O52,1)),"")</f>
        <v>4</v>
      </c>
      <c r="C66" s="129">
        <f>IFERROR(VALUE(LEFT(DONNEES_SOURCE!P52,1)),"")</f>
        <v>5</v>
      </c>
      <c r="D66" s="129">
        <f>IFERROR(VALUE(LEFT(DONNEES_SOURCE!Q52,1)),"")</f>
        <v>5</v>
      </c>
      <c r="E66" s="129">
        <f>IFERROR(VALUE(LEFT(DONNEES_SOURCE!R52,1)),"")</f>
        <v>4</v>
      </c>
      <c r="F66" s="129">
        <f>IFERROR(VALUE(LEFT(DONNEES_SOURCE!S52,1)),"")</f>
        <v>4</v>
      </c>
      <c r="G66" s="129">
        <f>IFERROR(VALUE(LEFT(DONNEES_SOURCE!T52,1)),"")</f>
        <v>2</v>
      </c>
      <c r="H66" s="129">
        <f>IFERROR(VALUE(LEFT(DONNEES_SOURCE!U52,1)),"")</f>
        <v>1</v>
      </c>
      <c r="I66" s="129">
        <f>IFERROR(VALUE(LEFT(DONNEES_SOURCE!V52,1)),"")</f>
        <v>1</v>
      </c>
      <c r="J66" s="129">
        <f>IFERROR(VALUE(LEFT(DONNEES_SOURCE!W52,1)),"")</f>
        <v>1</v>
      </c>
      <c r="K66" s="129">
        <f>IFERROR(VALUE(LEFT(DONNEES_SOURCE!X52,1)),"")</f>
        <v>4</v>
      </c>
      <c r="L66" s="129">
        <f>IFERROR(VALUE(LEFT(DONNEES_SOURCE!Y52,1)),"")</f>
        <v>4</v>
      </c>
      <c r="M66" s="129">
        <f>IFERROR(VALUE(LEFT(DONNEES_SOURCE!Z52,1)),"")</f>
        <v>4</v>
      </c>
      <c r="N66" s="129">
        <f>IFERROR(VALUE(LEFT(DONNEES_SOURCE!AA52,1)),"")</f>
        <v>4</v>
      </c>
      <c r="O66" s="129">
        <f>IFERROR(VALUE(LEFT(DONNEES_SOURCE!AB52,1)),"")</f>
        <v>4</v>
      </c>
      <c r="P66" s="129">
        <f>IFERROR(VALUE(LEFT(DONNEES_SOURCE!AC52,1)),"")</f>
        <v>4</v>
      </c>
      <c r="Q66" s="129">
        <f>IFERROR(VALUE(LEFT(DONNEES_SOURCE!AD52,1)),"")</f>
        <v>2</v>
      </c>
      <c r="R66" s="129">
        <f>IFERROR(VALUE(LEFT(DONNEES_SOURCE!AE52,1)),"")</f>
        <v>2</v>
      </c>
      <c r="S66" s="129">
        <f>IFERROR(VALUE(LEFT(DONNEES_SOURCE!AF52,1)),"")</f>
        <v>1</v>
      </c>
      <c r="T66" s="129">
        <f>IFERROR(VALUE(LEFT(DONNEES_SOURCE!AG52,1)),"")</f>
        <v>1</v>
      </c>
      <c r="U66" s="129">
        <f>IFERROR(VALUE(LEFT(DONNEES_SOURCE!AH52,1)),"")</f>
        <v>2</v>
      </c>
      <c r="V66" s="130">
        <f>IFERROR(((DONNEES_SOURCE!AI52-1)*(4/6))+1,"")</f>
        <v>4.333333333333333</v>
      </c>
      <c r="W66" s="128">
        <f>IFERROR(VALUE(LEFT(DONNEES_SOURCE!AJ52,1)),"")</f>
        <v>6</v>
      </c>
      <c r="X66" s="128">
        <f>IFERROR(VALUE(LEFT(DONNEES_SOURCE!AK52,1)),"")</f>
        <v>5</v>
      </c>
      <c r="Y66" s="128">
        <f>IFERROR(8-DONNEES_SOURCE!AL52,"")</f>
        <v>6</v>
      </c>
      <c r="Z66" s="128">
        <f>IFERROR(VALUE(LEFT(DONNEES_SOURCE!AW52,1)),"")</f>
        <v>3</v>
      </c>
      <c r="AA66" s="128">
        <f>IFERROR(8-VALUE(LEFT(DONNEES_SOURCE!AZ52,1)),"")</f>
        <v>4</v>
      </c>
      <c r="AB66" s="128">
        <f>IFERROR(8-DONNEES_SOURCE!BC52,"")</f>
        <v>1</v>
      </c>
      <c r="AC66" s="128">
        <f>IFERROR(8-DONNEES_SOURCE!BD52,"")</f>
        <v>4</v>
      </c>
      <c r="AD66" s="131">
        <f t="shared" si="2"/>
        <v>63.333333333333336</v>
      </c>
      <c r="AE66" s="131">
        <f t="shared" si="3"/>
        <v>17</v>
      </c>
      <c r="AF66" s="131">
        <f>IFERROR(DONNEES_SOURCE!AM52+DONNEES_SOURCE!AN52+DONNEES_SOURCE!AO52+DONNEES_SOURCE!AP52,"")</f>
        <v>25</v>
      </c>
      <c r="AG66" s="131">
        <f>IFERROR(Z66+DONNEES_SOURCE!AX52+DONNEES_SOURCE!AY52,"")</f>
        <v>13</v>
      </c>
      <c r="AH66" s="131">
        <f>IFERROR(AA66+DONNEES_SOURCE!BA52+DONNEES_SOURCE!BB52+AB66+AC66,"")</f>
        <v>21</v>
      </c>
    </row>
    <row r="67" spans="1:34" x14ac:dyDescent="0.25">
      <c r="A67" s="132">
        <v>52</v>
      </c>
      <c r="B67" s="133">
        <f>IFERROR(VALUE(LEFT(DONNEES_SOURCE!O53,1)),"")</f>
        <v>3</v>
      </c>
      <c r="C67" s="133">
        <f>IFERROR(VALUE(LEFT(DONNEES_SOURCE!P53,1)),"")</f>
        <v>5</v>
      </c>
      <c r="D67" s="133">
        <f>IFERROR(VALUE(LEFT(DONNEES_SOURCE!Q53,1)),"")</f>
        <v>4</v>
      </c>
      <c r="E67" s="133">
        <f>IFERROR(VALUE(LEFT(DONNEES_SOURCE!R53,1)),"")</f>
        <v>3</v>
      </c>
      <c r="F67" s="133">
        <f>IFERROR(VALUE(LEFT(DONNEES_SOURCE!S53,1)),"")</f>
        <v>5</v>
      </c>
      <c r="G67" s="133">
        <f>IFERROR(VALUE(LEFT(DONNEES_SOURCE!T53,1)),"")</f>
        <v>3</v>
      </c>
      <c r="H67" s="133">
        <f>IFERROR(VALUE(LEFT(DONNEES_SOURCE!U53,1)),"")</f>
        <v>4</v>
      </c>
      <c r="I67" s="133">
        <f>IFERROR(VALUE(LEFT(DONNEES_SOURCE!V53,1)),"")</f>
        <v>4</v>
      </c>
      <c r="J67" s="133">
        <f>IFERROR(VALUE(LEFT(DONNEES_SOURCE!W53,1)),"")</f>
        <v>4</v>
      </c>
      <c r="K67" s="133">
        <f>IFERROR(VALUE(LEFT(DONNEES_SOURCE!X53,1)),"")</f>
        <v>5</v>
      </c>
      <c r="L67" s="133">
        <f>IFERROR(VALUE(LEFT(DONNEES_SOURCE!Y53,1)),"")</f>
        <v>3</v>
      </c>
      <c r="M67" s="133">
        <f>IFERROR(VALUE(LEFT(DONNEES_SOURCE!Z53,1)),"")</f>
        <v>4</v>
      </c>
      <c r="N67" s="133">
        <f>IFERROR(VALUE(LEFT(DONNEES_SOURCE!AA53,1)),"")</f>
        <v>4</v>
      </c>
      <c r="O67" s="133">
        <f>IFERROR(VALUE(LEFT(DONNEES_SOURCE!AB53,1)),"")</f>
        <v>3</v>
      </c>
      <c r="P67" s="133">
        <f>IFERROR(VALUE(LEFT(DONNEES_SOURCE!AC53,1)),"")</f>
        <v>5</v>
      </c>
      <c r="Q67" s="133">
        <f>IFERROR(VALUE(LEFT(DONNEES_SOURCE!AD53,1)),"")</f>
        <v>3</v>
      </c>
      <c r="R67" s="133">
        <f>IFERROR(VALUE(LEFT(DONNEES_SOURCE!AE53,1)),"")</f>
        <v>3</v>
      </c>
      <c r="S67" s="133">
        <f>IFERROR(VALUE(LEFT(DONNEES_SOURCE!AF53,1)),"")</f>
        <v>3</v>
      </c>
      <c r="T67" s="133">
        <f>IFERROR(VALUE(LEFT(DONNEES_SOURCE!AG53,1)),"")</f>
        <v>3</v>
      </c>
      <c r="U67" s="133">
        <f>IFERROR(VALUE(LEFT(DONNEES_SOURCE!AH53,1)),"")</f>
        <v>4</v>
      </c>
      <c r="V67" s="134">
        <f>IFERROR(((DONNEES_SOURCE!AI53-1)*(4/6))+1,"")</f>
        <v>4.333333333333333</v>
      </c>
      <c r="W67" s="132">
        <f>IFERROR(VALUE(LEFT(DONNEES_SOURCE!AJ53,1)),"")</f>
        <v>7</v>
      </c>
      <c r="X67" s="132">
        <f>IFERROR(VALUE(LEFT(DONNEES_SOURCE!AK53,1)),"")</f>
        <v>7</v>
      </c>
      <c r="Y67" s="132">
        <f>IFERROR(8-DONNEES_SOURCE!AL53,"")</f>
        <v>6</v>
      </c>
      <c r="Z67" s="132">
        <f>IFERROR(VALUE(LEFT(DONNEES_SOURCE!AW53,1)),"")</f>
        <v>3</v>
      </c>
      <c r="AA67" s="132">
        <f>IFERROR(8-VALUE(LEFT(DONNEES_SOURCE!AZ53,1)),"")</f>
        <v>7</v>
      </c>
      <c r="AB67" s="132">
        <f>IFERROR(8-DONNEES_SOURCE!BC53,"")</f>
        <v>4</v>
      </c>
      <c r="AC67" s="132">
        <f>IFERROR(8-DONNEES_SOURCE!BD53,"")</f>
        <v>7</v>
      </c>
      <c r="AD67" s="135">
        <f t="shared" si="2"/>
        <v>79.333333333333329</v>
      </c>
      <c r="AE67" s="135">
        <f t="shared" si="3"/>
        <v>20</v>
      </c>
      <c r="AF67" s="135">
        <f>IFERROR(DONNEES_SOURCE!AM53+DONNEES_SOURCE!AN53+DONNEES_SOURCE!AO53+DONNEES_SOURCE!AP53,"")</f>
        <v>22</v>
      </c>
      <c r="AG67" s="135">
        <f>IFERROR(Z67+DONNEES_SOURCE!AX53+DONNEES_SOURCE!AY53,"")</f>
        <v>14</v>
      </c>
      <c r="AH67" s="135">
        <f>IFERROR(AA67+DONNEES_SOURCE!BA53+DONNEES_SOURCE!BB53+AB67+AC67,"")</f>
        <v>31</v>
      </c>
    </row>
    <row r="68" spans="1:34" x14ac:dyDescent="0.25">
      <c r="A68" s="128">
        <v>53</v>
      </c>
      <c r="B68" s="129">
        <f>IFERROR(VALUE(LEFT(DONNEES_SOURCE!O54,1)),"")</f>
        <v>4</v>
      </c>
      <c r="C68" s="129">
        <f>IFERROR(VALUE(LEFT(DONNEES_SOURCE!P54,1)),"")</f>
        <v>4</v>
      </c>
      <c r="D68" s="129">
        <f>IFERROR(VALUE(LEFT(DONNEES_SOURCE!Q54,1)),"")</f>
        <v>4</v>
      </c>
      <c r="E68" s="129">
        <f>IFERROR(VALUE(LEFT(DONNEES_SOURCE!R54,1)),"")</f>
        <v>4</v>
      </c>
      <c r="F68" s="129">
        <f>IFERROR(VALUE(LEFT(DONNEES_SOURCE!S54,1)),"")</f>
        <v>3</v>
      </c>
      <c r="G68" s="129">
        <f>IFERROR(VALUE(LEFT(DONNEES_SOURCE!T54,1)),"")</f>
        <v>3</v>
      </c>
      <c r="H68" s="129">
        <f>IFERROR(VALUE(LEFT(DONNEES_SOURCE!U54,1)),"")</f>
        <v>2</v>
      </c>
      <c r="I68" s="129">
        <f>IFERROR(VALUE(LEFT(DONNEES_SOURCE!V54,1)),"")</f>
        <v>2</v>
      </c>
      <c r="J68" s="129">
        <f>IFERROR(VALUE(LEFT(DONNEES_SOURCE!W54,1)),"")</f>
        <v>2</v>
      </c>
      <c r="K68" s="129">
        <f>IFERROR(VALUE(LEFT(DONNEES_SOURCE!X54,1)),"")</f>
        <v>3</v>
      </c>
      <c r="L68" s="129">
        <f>IFERROR(VALUE(LEFT(DONNEES_SOURCE!Y54,1)),"")</f>
        <v>4</v>
      </c>
      <c r="M68" s="129">
        <f>IFERROR(VALUE(LEFT(DONNEES_SOURCE!Z54,1)),"")</f>
        <v>4</v>
      </c>
      <c r="N68" s="129">
        <f>IFERROR(VALUE(LEFT(DONNEES_SOURCE!AA54,1)),"")</f>
        <v>4</v>
      </c>
      <c r="O68" s="129">
        <f>IFERROR(VALUE(LEFT(DONNEES_SOURCE!AB54,1)),"")</f>
        <v>3</v>
      </c>
      <c r="P68" s="129">
        <f>IFERROR(VALUE(LEFT(DONNEES_SOURCE!AC54,1)),"")</f>
        <v>3</v>
      </c>
      <c r="Q68" s="129">
        <f>IFERROR(VALUE(LEFT(DONNEES_SOURCE!AD54,1)),"")</f>
        <v>3</v>
      </c>
      <c r="R68" s="129">
        <f>IFERROR(VALUE(LEFT(DONNEES_SOURCE!AE54,1)),"")</f>
        <v>3</v>
      </c>
      <c r="S68" s="129">
        <f>IFERROR(VALUE(LEFT(DONNEES_SOURCE!AF54,1)),"")</f>
        <v>3</v>
      </c>
      <c r="T68" s="129">
        <f>IFERROR(VALUE(LEFT(DONNEES_SOURCE!AG54,1)),"")</f>
        <v>3</v>
      </c>
      <c r="U68" s="129">
        <f>IFERROR(VALUE(LEFT(DONNEES_SOURCE!AH54,1)),"")</f>
        <v>3</v>
      </c>
      <c r="V68" s="130">
        <f>IFERROR(((DONNEES_SOURCE!AI54-1)*(4/6))+1,"")</f>
        <v>5</v>
      </c>
      <c r="W68" s="128">
        <f>IFERROR(VALUE(LEFT(DONNEES_SOURCE!AJ54,1)),"")</f>
        <v>5</v>
      </c>
      <c r="X68" s="128">
        <f>IFERROR(VALUE(LEFT(DONNEES_SOURCE!AK54,1)),"")</f>
        <v>6</v>
      </c>
      <c r="Y68" s="128">
        <f>IFERROR(8-DONNEES_SOURCE!AL54,"")</f>
        <v>2</v>
      </c>
      <c r="Z68" s="128">
        <f>IFERROR(VALUE(LEFT(DONNEES_SOURCE!AW54,1)),"")</f>
        <v>4</v>
      </c>
      <c r="AA68" s="128">
        <f>IFERROR(8-VALUE(LEFT(DONNEES_SOURCE!AZ54,1)),"")</f>
        <v>5</v>
      </c>
      <c r="AB68" s="128">
        <f>IFERROR(8-DONNEES_SOURCE!BC54,"")</f>
        <v>3</v>
      </c>
      <c r="AC68" s="128">
        <f>IFERROR(8-DONNEES_SOURCE!BD54,"")</f>
        <v>6</v>
      </c>
      <c r="AD68" s="131">
        <f t="shared" si="2"/>
        <v>69</v>
      </c>
      <c r="AE68" s="131">
        <f t="shared" si="3"/>
        <v>13</v>
      </c>
      <c r="AF68" s="131">
        <f>IFERROR(DONNEES_SOURCE!AM54+DONNEES_SOURCE!AN54+DONNEES_SOURCE!AO54+DONNEES_SOURCE!AP54,"")</f>
        <v>19</v>
      </c>
      <c r="AG68" s="131">
        <f>IFERROR(Z68+DONNEES_SOURCE!AX54+DONNEES_SOURCE!AY54,"")</f>
        <v>14</v>
      </c>
      <c r="AH68" s="131">
        <f>IFERROR(AA68+DONNEES_SOURCE!BA54+DONNEES_SOURCE!BB54+AB68+AC68,"")</f>
        <v>26</v>
      </c>
    </row>
    <row r="69" spans="1:34" x14ac:dyDescent="0.25">
      <c r="A69" s="132">
        <v>54</v>
      </c>
      <c r="B69" s="133">
        <f>IFERROR(VALUE(LEFT(DONNEES_SOURCE!O55,1)),"")</f>
        <v>5</v>
      </c>
      <c r="C69" s="133">
        <f>IFERROR(VALUE(LEFT(DONNEES_SOURCE!P55,1)),"")</f>
        <v>5</v>
      </c>
      <c r="D69" s="133">
        <f>IFERROR(VALUE(LEFT(DONNEES_SOURCE!Q55,1)),"")</f>
        <v>5</v>
      </c>
      <c r="E69" s="133">
        <f>IFERROR(VALUE(LEFT(DONNEES_SOURCE!R55,1)),"")</f>
        <v>5</v>
      </c>
      <c r="F69" s="133">
        <f>IFERROR(VALUE(LEFT(DONNEES_SOURCE!S55,1)),"")</f>
        <v>3</v>
      </c>
      <c r="G69" s="133">
        <f>IFERROR(VALUE(LEFT(DONNEES_SOURCE!T55,1)),"")</f>
        <v>2</v>
      </c>
      <c r="H69" s="133">
        <f>IFERROR(VALUE(LEFT(DONNEES_SOURCE!U55,1)),"")</f>
        <v>2</v>
      </c>
      <c r="I69" s="133">
        <f>IFERROR(VALUE(LEFT(DONNEES_SOURCE!V55,1)),"")</f>
        <v>2</v>
      </c>
      <c r="J69" s="133">
        <f>IFERROR(VALUE(LEFT(DONNEES_SOURCE!W55,1)),"")</f>
        <v>4</v>
      </c>
      <c r="K69" s="133">
        <f>IFERROR(VALUE(LEFT(DONNEES_SOURCE!X55,1)),"")</f>
        <v>4</v>
      </c>
      <c r="L69" s="133">
        <f>IFERROR(VALUE(LEFT(DONNEES_SOURCE!Y55,1)),"")</f>
        <v>5</v>
      </c>
      <c r="M69" s="133">
        <f>IFERROR(VALUE(LEFT(DONNEES_SOURCE!Z55,1)),"")</f>
        <v>5</v>
      </c>
      <c r="N69" s="133">
        <f>IFERROR(VALUE(LEFT(DONNEES_SOURCE!AA55,1)),"")</f>
        <v>5</v>
      </c>
      <c r="O69" s="133">
        <f>IFERROR(VALUE(LEFT(DONNEES_SOURCE!AB55,1)),"")</f>
        <v>4</v>
      </c>
      <c r="P69" s="133">
        <f>IFERROR(VALUE(LEFT(DONNEES_SOURCE!AC55,1)),"")</f>
        <v>3</v>
      </c>
      <c r="Q69" s="133">
        <f>IFERROR(VALUE(LEFT(DONNEES_SOURCE!AD55,1)),"")</f>
        <v>3</v>
      </c>
      <c r="R69" s="133">
        <f>IFERROR(VALUE(LEFT(DONNEES_SOURCE!AE55,1)),"")</f>
        <v>2</v>
      </c>
      <c r="S69" s="133">
        <f>IFERROR(VALUE(LEFT(DONNEES_SOURCE!AF55,1)),"")</f>
        <v>2</v>
      </c>
      <c r="T69" s="133">
        <f>IFERROR(VALUE(LEFT(DONNEES_SOURCE!AG55,1)),"")</f>
        <v>4</v>
      </c>
      <c r="U69" s="133">
        <f>IFERROR(VALUE(LEFT(DONNEES_SOURCE!AH55,1)),"")</f>
        <v>4</v>
      </c>
      <c r="V69" s="134">
        <f>IFERROR(((DONNEES_SOURCE!AI55-1)*(4/6))+1,"")</f>
        <v>5</v>
      </c>
      <c r="W69" s="132">
        <f>IFERROR(VALUE(LEFT(DONNEES_SOURCE!AJ55,1)),"")</f>
        <v>7</v>
      </c>
      <c r="X69" s="132">
        <f>IFERROR(VALUE(LEFT(DONNEES_SOURCE!AK55,1)),"")</f>
        <v>6</v>
      </c>
      <c r="Y69" s="132">
        <f>IFERROR(8-DONNEES_SOURCE!AL55,"")</f>
        <v>6</v>
      </c>
      <c r="Z69" s="132">
        <f>IFERROR(VALUE(LEFT(DONNEES_SOURCE!AW55,1)),"")</f>
        <v>5</v>
      </c>
      <c r="AA69" s="132">
        <f>IFERROR(8-VALUE(LEFT(DONNEES_SOURCE!AZ55,1)),"")</f>
        <v>7</v>
      </c>
      <c r="AB69" s="132">
        <f>IFERROR(8-DONNEES_SOURCE!BC55,"")</f>
        <v>3</v>
      </c>
      <c r="AC69" s="132">
        <f>IFERROR(8-DONNEES_SOURCE!BD55,"")</f>
        <v>7</v>
      </c>
      <c r="AD69" s="135">
        <f t="shared" si="2"/>
        <v>79</v>
      </c>
      <c r="AE69" s="135">
        <f t="shared" si="3"/>
        <v>19</v>
      </c>
      <c r="AF69" s="135">
        <f>IFERROR(DONNEES_SOURCE!AM55+DONNEES_SOURCE!AN55+DONNEES_SOURCE!AO55+DONNEES_SOURCE!AP55,"")</f>
        <v>18</v>
      </c>
      <c r="AG69" s="135">
        <f>IFERROR(Z69+DONNEES_SOURCE!AX55+DONNEES_SOURCE!AY55,"")</f>
        <v>18</v>
      </c>
      <c r="AH69" s="135">
        <f>IFERROR(AA69+DONNEES_SOURCE!BA55+DONNEES_SOURCE!BB55+AB69+AC69,"")</f>
        <v>31</v>
      </c>
    </row>
    <row r="70" spans="1:34" x14ac:dyDescent="0.25">
      <c r="A70" s="128">
        <v>55</v>
      </c>
      <c r="B70" s="129">
        <f>IFERROR(VALUE(LEFT(DONNEES_SOURCE!O56,1)),"")</f>
        <v>4</v>
      </c>
      <c r="C70" s="129">
        <f>IFERROR(VALUE(LEFT(DONNEES_SOURCE!P56,1)),"")</f>
        <v>5</v>
      </c>
      <c r="D70" s="129">
        <f>IFERROR(VALUE(LEFT(DONNEES_SOURCE!Q56,1)),"")</f>
        <v>5</v>
      </c>
      <c r="E70" s="129">
        <f>IFERROR(VALUE(LEFT(DONNEES_SOURCE!R56,1)),"")</f>
        <v>4</v>
      </c>
      <c r="F70" s="129">
        <f>IFERROR(VALUE(LEFT(DONNEES_SOURCE!S56,1)),"")</f>
        <v>4</v>
      </c>
      <c r="G70" s="129">
        <f>IFERROR(VALUE(LEFT(DONNEES_SOURCE!T56,1)),"")</f>
        <v>3</v>
      </c>
      <c r="H70" s="129">
        <f>IFERROR(VALUE(LEFT(DONNEES_SOURCE!U56,1)),"")</f>
        <v>3</v>
      </c>
      <c r="I70" s="129">
        <f>IFERROR(VALUE(LEFT(DONNEES_SOURCE!V56,1)),"")</f>
        <v>2</v>
      </c>
      <c r="J70" s="129">
        <f>IFERROR(VALUE(LEFT(DONNEES_SOURCE!W56,1)),"")</f>
        <v>3</v>
      </c>
      <c r="K70" s="129">
        <f>IFERROR(VALUE(LEFT(DONNEES_SOURCE!X56,1)),"")</f>
        <v>4</v>
      </c>
      <c r="L70" s="129">
        <f>IFERROR(VALUE(LEFT(DONNEES_SOURCE!Y56,1)),"")</f>
        <v>5</v>
      </c>
      <c r="M70" s="129">
        <f>IFERROR(VALUE(LEFT(DONNEES_SOURCE!Z56,1)),"")</f>
        <v>5</v>
      </c>
      <c r="N70" s="129">
        <f>IFERROR(VALUE(LEFT(DONNEES_SOURCE!AA56,1)),"")</f>
        <v>5</v>
      </c>
      <c r="O70" s="129">
        <f>IFERROR(VALUE(LEFT(DONNEES_SOURCE!AB56,1)),"")</f>
        <v>4</v>
      </c>
      <c r="P70" s="129">
        <f>IFERROR(VALUE(LEFT(DONNEES_SOURCE!AC56,1)),"")</f>
        <v>4</v>
      </c>
      <c r="Q70" s="129">
        <f>IFERROR(VALUE(LEFT(DONNEES_SOURCE!AD56,1)),"")</f>
        <v>3</v>
      </c>
      <c r="R70" s="129">
        <f>IFERROR(VALUE(LEFT(DONNEES_SOURCE!AE56,1)),"")</f>
        <v>3</v>
      </c>
      <c r="S70" s="129">
        <f>IFERROR(VALUE(LEFT(DONNEES_SOURCE!AF56,1)),"")</f>
        <v>3</v>
      </c>
      <c r="T70" s="129">
        <f>IFERROR(VALUE(LEFT(DONNEES_SOURCE!AG56,1)),"")</f>
        <v>3</v>
      </c>
      <c r="U70" s="129">
        <f>IFERROR(VALUE(LEFT(DONNEES_SOURCE!AH56,1)),"")</f>
        <v>4</v>
      </c>
      <c r="V70" s="130">
        <f>IFERROR(((DONNEES_SOURCE!AI56-1)*(4/6))+1,"")</f>
        <v>3.6666666666666665</v>
      </c>
      <c r="W70" s="128">
        <f>IFERROR(VALUE(LEFT(DONNEES_SOURCE!AJ56,1)),"")</f>
        <v>6</v>
      </c>
      <c r="X70" s="128">
        <f>IFERROR(VALUE(LEFT(DONNEES_SOURCE!AK56,1)),"")</f>
        <v>6</v>
      </c>
      <c r="Y70" s="128">
        <f>IFERROR(8-DONNEES_SOURCE!AL56,"")</f>
        <v>2</v>
      </c>
      <c r="Z70" s="128">
        <f>IFERROR(VALUE(LEFT(DONNEES_SOURCE!AW56,1)),"")</f>
        <v>5</v>
      </c>
      <c r="AA70" s="128">
        <f>IFERROR(8-VALUE(LEFT(DONNEES_SOURCE!AZ56,1)),"")</f>
        <v>5</v>
      </c>
      <c r="AB70" s="128">
        <f>IFERROR(8-DONNEES_SOURCE!BC56,"")</f>
        <v>3</v>
      </c>
      <c r="AC70" s="128">
        <f>IFERROR(8-DONNEES_SOURCE!BD56,"")</f>
        <v>6</v>
      </c>
      <c r="AD70" s="131">
        <f t="shared" si="2"/>
        <v>79.666666666666671</v>
      </c>
      <c r="AE70" s="131">
        <f t="shared" si="3"/>
        <v>14</v>
      </c>
      <c r="AF70" s="131">
        <f>IFERROR(DONNEES_SOURCE!AM56+DONNEES_SOURCE!AN56+DONNEES_SOURCE!AO56+DONNEES_SOURCE!AP56,"")</f>
        <v>17</v>
      </c>
      <c r="AG70" s="131">
        <f>IFERROR(Z70+DONNEES_SOURCE!AX56+DONNEES_SOURCE!AY56,"")</f>
        <v>15</v>
      </c>
      <c r="AH70" s="131">
        <f>IFERROR(AA70+DONNEES_SOURCE!BA56+DONNEES_SOURCE!BB56+AB70+AC70,"")</f>
        <v>25</v>
      </c>
    </row>
    <row r="71" spans="1:34" x14ac:dyDescent="0.25">
      <c r="A71" s="132">
        <v>56</v>
      </c>
      <c r="B71" s="133">
        <f>IFERROR(VALUE(LEFT(DONNEES_SOURCE!O57,1)),"")</f>
        <v>4</v>
      </c>
      <c r="C71" s="133">
        <f>IFERROR(VALUE(LEFT(DONNEES_SOURCE!P57,1)),"")</f>
        <v>4</v>
      </c>
      <c r="D71" s="133">
        <f>IFERROR(VALUE(LEFT(DONNEES_SOURCE!Q57,1)),"")</f>
        <v>4</v>
      </c>
      <c r="E71" s="133">
        <f>IFERROR(VALUE(LEFT(DONNEES_SOURCE!R57,1)),"")</f>
        <v>4</v>
      </c>
      <c r="F71" s="133">
        <f>IFERROR(VALUE(LEFT(DONNEES_SOURCE!S57,1)),"")</f>
        <v>5</v>
      </c>
      <c r="G71" s="133">
        <f>IFERROR(VALUE(LEFT(DONNEES_SOURCE!T57,1)),"")</f>
        <v>3</v>
      </c>
      <c r="H71" s="133">
        <f>IFERROR(VALUE(LEFT(DONNEES_SOURCE!U57,1)),"")</f>
        <v>3</v>
      </c>
      <c r="I71" s="133">
        <f>IFERROR(VALUE(LEFT(DONNEES_SOURCE!V57,1)),"")</f>
        <v>3</v>
      </c>
      <c r="J71" s="133">
        <f>IFERROR(VALUE(LEFT(DONNEES_SOURCE!W57,1)),"")</f>
        <v>3</v>
      </c>
      <c r="K71" s="133">
        <f>IFERROR(VALUE(LEFT(DONNEES_SOURCE!X57,1)),"")</f>
        <v>4</v>
      </c>
      <c r="L71" s="133">
        <f>IFERROR(VALUE(LEFT(DONNEES_SOURCE!Y57,1)),"")</f>
        <v>5</v>
      </c>
      <c r="M71" s="133">
        <f>IFERROR(VALUE(LEFT(DONNEES_SOURCE!Z57,1)),"")</f>
        <v>5</v>
      </c>
      <c r="N71" s="133">
        <f>IFERROR(VALUE(LEFT(DONNEES_SOURCE!AA57,1)),"")</f>
        <v>4</v>
      </c>
      <c r="O71" s="133">
        <f>IFERROR(VALUE(LEFT(DONNEES_SOURCE!AB57,1)),"")</f>
        <v>4</v>
      </c>
      <c r="P71" s="133">
        <f>IFERROR(VALUE(LEFT(DONNEES_SOURCE!AC57,1)),"")</f>
        <v>5</v>
      </c>
      <c r="Q71" s="133">
        <f>IFERROR(VALUE(LEFT(DONNEES_SOURCE!AD57,1)),"")</f>
        <v>3</v>
      </c>
      <c r="R71" s="133">
        <f>IFERROR(VALUE(LEFT(DONNEES_SOURCE!AE57,1)),"")</f>
        <v>3</v>
      </c>
      <c r="S71" s="133">
        <f>IFERROR(VALUE(LEFT(DONNEES_SOURCE!AF57,1)),"")</f>
        <v>3</v>
      </c>
      <c r="T71" s="133">
        <f>IFERROR(VALUE(LEFT(DONNEES_SOURCE!AG57,1)),"")</f>
        <v>3</v>
      </c>
      <c r="U71" s="133">
        <f>IFERROR(VALUE(LEFT(DONNEES_SOURCE!AH57,1)),"")</f>
        <v>5</v>
      </c>
      <c r="V71" s="134">
        <f>IFERROR(((DONNEES_SOURCE!AI57-1)*(4/6))+1,"")</f>
        <v>4.333333333333333</v>
      </c>
      <c r="W71" s="132">
        <f>IFERROR(VALUE(LEFT(DONNEES_SOURCE!AJ57,1)),"")</f>
        <v>5</v>
      </c>
      <c r="X71" s="132">
        <f>IFERROR(VALUE(LEFT(DONNEES_SOURCE!AK57,1)),"")</f>
        <v>5</v>
      </c>
      <c r="Y71" s="132">
        <f>IFERROR(8-DONNEES_SOURCE!AL57,"")</f>
        <v>4</v>
      </c>
      <c r="Z71" s="132">
        <f>IFERROR(VALUE(LEFT(DONNEES_SOURCE!AW57,1)),"")</f>
        <v>4</v>
      </c>
      <c r="AA71" s="132">
        <f>IFERROR(8-VALUE(LEFT(DONNEES_SOURCE!AZ57,1)),"")</f>
        <v>6</v>
      </c>
      <c r="AB71" s="132">
        <f>IFERROR(8-DONNEES_SOURCE!BC57,"")</f>
        <v>7</v>
      </c>
      <c r="AC71" s="132">
        <f>IFERROR(8-DONNEES_SOURCE!BD57,"")</f>
        <v>7</v>
      </c>
      <c r="AD71" s="135">
        <f t="shared" si="2"/>
        <v>81.333333333333329</v>
      </c>
      <c r="AE71" s="135">
        <f t="shared" si="3"/>
        <v>14</v>
      </c>
      <c r="AF71" s="135">
        <f>IFERROR(DONNEES_SOURCE!AM57+DONNEES_SOURCE!AN57+DONNEES_SOURCE!AO57+DONNEES_SOURCE!AP57,"")</f>
        <v>23</v>
      </c>
      <c r="AG71" s="135">
        <f>IFERROR(Z71+DONNEES_SOURCE!AX57+DONNEES_SOURCE!AY57,"")</f>
        <v>14</v>
      </c>
      <c r="AH71" s="135">
        <f>IFERROR(AA71+DONNEES_SOURCE!BA57+DONNEES_SOURCE!BB57+AB71+AC71,"")</f>
        <v>31</v>
      </c>
    </row>
    <row r="72" spans="1:34" x14ac:dyDescent="0.25">
      <c r="A72" s="128">
        <v>57</v>
      </c>
      <c r="B72" s="129">
        <f>IFERROR(VALUE(LEFT(DONNEES_SOURCE!O58,1)),"")</f>
        <v>3</v>
      </c>
      <c r="C72" s="129">
        <f>IFERROR(VALUE(LEFT(DONNEES_SOURCE!P58,1)),"")</f>
        <v>3</v>
      </c>
      <c r="D72" s="129">
        <f>IFERROR(VALUE(LEFT(DONNEES_SOURCE!Q58,1)),"")</f>
        <v>3</v>
      </c>
      <c r="E72" s="129">
        <f>IFERROR(VALUE(LEFT(DONNEES_SOURCE!R58,1)),"")</f>
        <v>3</v>
      </c>
      <c r="F72" s="129">
        <f>IFERROR(VALUE(LEFT(DONNEES_SOURCE!S58,1)),"")</f>
        <v>3</v>
      </c>
      <c r="G72" s="129">
        <f>IFERROR(VALUE(LEFT(DONNEES_SOURCE!T58,1)),"")</f>
        <v>3</v>
      </c>
      <c r="H72" s="129">
        <f>IFERROR(VALUE(LEFT(DONNEES_SOURCE!U58,1)),"")</f>
        <v>3</v>
      </c>
      <c r="I72" s="129">
        <f>IFERROR(VALUE(LEFT(DONNEES_SOURCE!V58,1)),"")</f>
        <v>3</v>
      </c>
      <c r="J72" s="129">
        <f>IFERROR(VALUE(LEFT(DONNEES_SOURCE!W58,1)),"")</f>
        <v>3</v>
      </c>
      <c r="K72" s="129">
        <f>IFERROR(VALUE(LEFT(DONNEES_SOURCE!X58,1)),"")</f>
        <v>5</v>
      </c>
      <c r="L72" s="129">
        <f>IFERROR(VALUE(LEFT(DONNEES_SOURCE!Y58,1)),"")</f>
        <v>3</v>
      </c>
      <c r="M72" s="129">
        <f>IFERROR(VALUE(LEFT(DONNEES_SOURCE!Z58,1)),"")</f>
        <v>3</v>
      </c>
      <c r="N72" s="129">
        <f>IFERROR(VALUE(LEFT(DONNEES_SOURCE!AA58,1)),"")</f>
        <v>3</v>
      </c>
      <c r="O72" s="129">
        <f>IFERROR(VALUE(LEFT(DONNEES_SOURCE!AB58,1)),"")</f>
        <v>3</v>
      </c>
      <c r="P72" s="129">
        <f>IFERROR(VALUE(LEFT(DONNEES_SOURCE!AC58,1)),"")</f>
        <v>3</v>
      </c>
      <c r="Q72" s="129">
        <f>IFERROR(VALUE(LEFT(DONNEES_SOURCE!AD58,1)),"")</f>
        <v>3</v>
      </c>
      <c r="R72" s="129">
        <f>IFERROR(VALUE(LEFT(DONNEES_SOURCE!AE58,1)),"")</f>
        <v>3</v>
      </c>
      <c r="S72" s="129">
        <f>IFERROR(VALUE(LEFT(DONNEES_SOURCE!AF58,1)),"")</f>
        <v>3</v>
      </c>
      <c r="T72" s="129">
        <f>IFERROR(VALUE(LEFT(DONNEES_SOURCE!AG58,1)),"")</f>
        <v>3</v>
      </c>
      <c r="U72" s="129">
        <f>IFERROR(VALUE(LEFT(DONNEES_SOURCE!AH58,1)),"")</f>
        <v>5</v>
      </c>
      <c r="V72" s="130">
        <f>IFERROR(((DONNEES_SOURCE!AI58-1)*(4/6))+1,"")</f>
        <v>3.6666666666666665</v>
      </c>
      <c r="W72" s="128">
        <f>IFERROR(VALUE(LEFT(DONNEES_SOURCE!AJ58,1)),"")</f>
        <v>5</v>
      </c>
      <c r="X72" s="128">
        <f>IFERROR(VALUE(LEFT(DONNEES_SOURCE!AK58,1)),"")</f>
        <v>5</v>
      </c>
      <c r="Y72" s="128">
        <f>IFERROR(8-DONNEES_SOURCE!AL58,"")</f>
        <v>3</v>
      </c>
      <c r="Z72" s="128">
        <f>IFERROR(VALUE(LEFT(DONNEES_SOURCE!AW58,1)),"")</f>
        <v>3</v>
      </c>
      <c r="AA72" s="128">
        <f>IFERROR(8-VALUE(LEFT(DONNEES_SOURCE!AZ58,1)),"")</f>
        <v>6</v>
      </c>
      <c r="AB72" s="128">
        <f>IFERROR(8-DONNEES_SOURCE!BC58,"")</f>
        <v>4</v>
      </c>
      <c r="AC72" s="128">
        <f>IFERROR(8-DONNEES_SOURCE!BD58,"")</f>
        <v>3</v>
      </c>
      <c r="AD72" s="131">
        <f t="shared" si="2"/>
        <v>67.666666666666671</v>
      </c>
      <c r="AE72" s="131">
        <f t="shared" si="3"/>
        <v>13</v>
      </c>
      <c r="AF72" s="131">
        <f>IFERROR(DONNEES_SOURCE!AM58+DONNEES_SOURCE!AN58+DONNEES_SOURCE!AO58+DONNEES_SOURCE!AP58,"")</f>
        <v>26</v>
      </c>
      <c r="AG72" s="131">
        <f>IFERROR(Z72+DONNEES_SOURCE!AX58+DONNEES_SOURCE!AY58,"")</f>
        <v>14</v>
      </c>
      <c r="AH72" s="131">
        <f>IFERROR(AA72+DONNEES_SOURCE!BA58+DONNEES_SOURCE!BB58+AB72+AC72,"")</f>
        <v>26</v>
      </c>
    </row>
    <row r="73" spans="1:34" x14ac:dyDescent="0.25">
      <c r="A73" s="132">
        <v>58</v>
      </c>
      <c r="B73" s="133">
        <f>IFERROR(VALUE(LEFT(DONNEES_SOURCE!O59,1)),"")</f>
        <v>4</v>
      </c>
      <c r="C73" s="133">
        <f>IFERROR(VALUE(LEFT(DONNEES_SOURCE!P59,1)),"")</f>
        <v>4</v>
      </c>
      <c r="D73" s="133">
        <f>IFERROR(VALUE(LEFT(DONNEES_SOURCE!Q59,1)),"")</f>
        <v>3</v>
      </c>
      <c r="E73" s="133">
        <f>IFERROR(VALUE(LEFT(DONNEES_SOURCE!R59,1)),"")</f>
        <v>4</v>
      </c>
      <c r="F73" s="133">
        <f>IFERROR(VALUE(LEFT(DONNEES_SOURCE!S59,1)),"")</f>
        <v>3</v>
      </c>
      <c r="G73" s="133">
        <f>IFERROR(VALUE(LEFT(DONNEES_SOURCE!T59,1)),"")</f>
        <v>3</v>
      </c>
      <c r="H73" s="133">
        <f>IFERROR(VALUE(LEFT(DONNEES_SOURCE!U59,1)),"")</f>
        <v>3</v>
      </c>
      <c r="I73" s="133">
        <f>IFERROR(VALUE(LEFT(DONNEES_SOURCE!V59,1)),"")</f>
        <v>3</v>
      </c>
      <c r="J73" s="133">
        <f>IFERROR(VALUE(LEFT(DONNEES_SOURCE!W59,1)),"")</f>
        <v>4</v>
      </c>
      <c r="K73" s="133">
        <f>IFERROR(VALUE(LEFT(DONNEES_SOURCE!X59,1)),"")</f>
        <v>4</v>
      </c>
      <c r="L73" s="133">
        <f>IFERROR(VALUE(LEFT(DONNEES_SOURCE!Y59,1)),"")</f>
        <v>4</v>
      </c>
      <c r="M73" s="133">
        <f>IFERROR(VALUE(LEFT(DONNEES_SOURCE!Z59,1)),"")</f>
        <v>4</v>
      </c>
      <c r="N73" s="133">
        <f>IFERROR(VALUE(LEFT(DONNEES_SOURCE!AA59,1)),"")</f>
        <v>4</v>
      </c>
      <c r="O73" s="133">
        <f>IFERROR(VALUE(LEFT(DONNEES_SOURCE!AB59,1)),"")</f>
        <v>4</v>
      </c>
      <c r="P73" s="133">
        <f>IFERROR(VALUE(LEFT(DONNEES_SOURCE!AC59,1)),"")</f>
        <v>3</v>
      </c>
      <c r="Q73" s="133">
        <f>IFERROR(VALUE(LEFT(DONNEES_SOURCE!AD59,1)),"")</f>
        <v>3</v>
      </c>
      <c r="R73" s="133">
        <f>IFERROR(VALUE(LEFT(DONNEES_SOURCE!AE59,1)),"")</f>
        <v>3</v>
      </c>
      <c r="S73" s="133">
        <f>IFERROR(VALUE(LEFT(DONNEES_SOURCE!AF59,1)),"")</f>
        <v>4</v>
      </c>
      <c r="T73" s="133">
        <f>IFERROR(VALUE(LEFT(DONNEES_SOURCE!AG59,1)),"")</f>
        <v>4</v>
      </c>
      <c r="U73" s="133">
        <f>IFERROR(VALUE(LEFT(DONNEES_SOURCE!AH59,1)),"")</f>
        <v>3</v>
      </c>
      <c r="V73" s="134">
        <f>IFERROR(((DONNEES_SOURCE!AI59-1)*(4/6))+1,"")</f>
        <v>4.333333333333333</v>
      </c>
      <c r="W73" s="132">
        <f>IFERROR(VALUE(LEFT(DONNEES_SOURCE!AJ59,1)),"")</f>
        <v>4</v>
      </c>
      <c r="X73" s="132">
        <f>IFERROR(VALUE(LEFT(DONNEES_SOURCE!AK59,1)),"")</f>
        <v>5</v>
      </c>
      <c r="Y73" s="132">
        <f>IFERROR(8-DONNEES_SOURCE!AL59,"")</f>
        <v>4</v>
      </c>
      <c r="Z73" s="132">
        <f>IFERROR(VALUE(LEFT(DONNEES_SOURCE!AW59,1)),"")</f>
        <v>2</v>
      </c>
      <c r="AA73" s="132">
        <f>IFERROR(8-VALUE(LEFT(DONNEES_SOURCE!AZ59,1)),"")</f>
        <v>7</v>
      </c>
      <c r="AB73" s="132">
        <f>IFERROR(8-DONNEES_SOURCE!BC59,"")</f>
        <v>3</v>
      </c>
      <c r="AC73" s="132">
        <f>IFERROR(8-DONNEES_SOURCE!BD59,"")</f>
        <v>4</v>
      </c>
      <c r="AD73" s="135">
        <f t="shared" si="2"/>
        <v>75.333333333333329</v>
      </c>
      <c r="AE73" s="135">
        <f t="shared" si="3"/>
        <v>13</v>
      </c>
      <c r="AF73" s="135">
        <f>IFERROR(DONNEES_SOURCE!AM59+DONNEES_SOURCE!AN59+DONNEES_SOURCE!AO59+DONNEES_SOURCE!AP59,"")</f>
        <v>26</v>
      </c>
      <c r="AG73" s="135">
        <f>IFERROR(Z73+DONNEES_SOURCE!AX59+DONNEES_SOURCE!AY59,"")</f>
        <v>12</v>
      </c>
      <c r="AH73" s="135">
        <f>IFERROR(AA73+DONNEES_SOURCE!BA59+DONNEES_SOURCE!BB59+AB73+AC73,"")</f>
        <v>27</v>
      </c>
    </row>
    <row r="74" spans="1:34" x14ac:dyDescent="0.25">
      <c r="A74" s="128">
        <v>59</v>
      </c>
      <c r="B74" s="129">
        <f>IFERROR(VALUE(LEFT(DONNEES_SOURCE!O60,1)),"")</f>
        <v>3</v>
      </c>
      <c r="C74" s="129">
        <f>IFERROR(VALUE(LEFT(DONNEES_SOURCE!P60,1)),"")</f>
        <v>3</v>
      </c>
      <c r="D74" s="129">
        <f>IFERROR(VALUE(LEFT(DONNEES_SOURCE!Q60,1)),"")</f>
        <v>5</v>
      </c>
      <c r="E74" s="129">
        <f>IFERROR(VALUE(LEFT(DONNEES_SOURCE!R60,1)),"")</f>
        <v>3</v>
      </c>
      <c r="F74" s="129">
        <f>IFERROR(VALUE(LEFT(DONNEES_SOURCE!S60,1)),"")</f>
        <v>3</v>
      </c>
      <c r="G74" s="129">
        <f>IFERROR(VALUE(LEFT(DONNEES_SOURCE!T60,1)),"")</f>
        <v>3</v>
      </c>
      <c r="H74" s="129">
        <f>IFERROR(VALUE(LEFT(DONNEES_SOURCE!U60,1)),"")</f>
        <v>3</v>
      </c>
      <c r="I74" s="129">
        <f>IFERROR(VALUE(LEFT(DONNEES_SOURCE!V60,1)),"")</f>
        <v>3</v>
      </c>
      <c r="J74" s="129">
        <f>IFERROR(VALUE(LEFT(DONNEES_SOURCE!W60,1)),"")</f>
        <v>1</v>
      </c>
      <c r="K74" s="129">
        <f>IFERROR(VALUE(LEFT(DONNEES_SOURCE!X60,1)),"")</f>
        <v>3</v>
      </c>
      <c r="L74" s="129">
        <f>IFERROR(VALUE(LEFT(DONNEES_SOURCE!Y60,1)),"")</f>
        <v>3</v>
      </c>
      <c r="M74" s="129">
        <f>IFERROR(VALUE(LEFT(DONNEES_SOURCE!Z60,1)),"")</f>
        <v>3</v>
      </c>
      <c r="N74" s="129">
        <f>IFERROR(VALUE(LEFT(DONNEES_SOURCE!AA60,1)),"")</f>
        <v>5</v>
      </c>
      <c r="O74" s="129">
        <f>IFERROR(VALUE(LEFT(DONNEES_SOURCE!AB60,1)),"")</f>
        <v>3</v>
      </c>
      <c r="P74" s="129">
        <f>IFERROR(VALUE(LEFT(DONNEES_SOURCE!AC60,1)),"")</f>
        <v>3</v>
      </c>
      <c r="Q74" s="129">
        <f>IFERROR(VALUE(LEFT(DONNEES_SOURCE!AD60,1)),"")</f>
        <v>3</v>
      </c>
      <c r="R74" s="129">
        <f>IFERROR(VALUE(LEFT(DONNEES_SOURCE!AE60,1)),"")</f>
        <v>3</v>
      </c>
      <c r="S74" s="129">
        <f>IFERROR(VALUE(LEFT(DONNEES_SOURCE!AF60,1)),"")</f>
        <v>3</v>
      </c>
      <c r="T74" s="129">
        <f>IFERROR(VALUE(LEFT(DONNEES_SOURCE!AG60,1)),"")</f>
        <v>1</v>
      </c>
      <c r="U74" s="129">
        <f>IFERROR(VALUE(LEFT(DONNEES_SOURCE!AH60,1)),"")</f>
        <v>3</v>
      </c>
      <c r="V74" s="130">
        <f>IFERROR(((DONNEES_SOURCE!AI60-1)*(4/6))+1,"")</f>
        <v>3.6666666666666665</v>
      </c>
      <c r="W74" s="128">
        <f>IFERROR(VALUE(LEFT(DONNEES_SOURCE!AJ60,1)),"")</f>
        <v>7</v>
      </c>
      <c r="X74" s="128">
        <f>IFERROR(VALUE(LEFT(DONNEES_SOURCE!AK60,1)),"")</f>
        <v>7</v>
      </c>
      <c r="Y74" s="128">
        <f>IFERROR(8-DONNEES_SOURCE!AL60,"")</f>
        <v>3</v>
      </c>
      <c r="Z74" s="128">
        <f>IFERROR(VALUE(LEFT(DONNEES_SOURCE!AW60,1)),"")</f>
        <v>7</v>
      </c>
      <c r="AA74" s="128">
        <f>IFERROR(8-VALUE(LEFT(DONNEES_SOURCE!AZ60,1)),"")</f>
        <v>7</v>
      </c>
      <c r="AB74" s="128">
        <f>IFERROR(8-DONNEES_SOURCE!BC60,"")</f>
        <v>7</v>
      </c>
      <c r="AC74" s="128">
        <f>IFERROR(8-DONNEES_SOURCE!BD60,"")</f>
        <v>7</v>
      </c>
      <c r="AD74" s="131">
        <f t="shared" si="2"/>
        <v>63.666666666666664</v>
      </c>
      <c r="AE74" s="131">
        <f t="shared" si="3"/>
        <v>17</v>
      </c>
      <c r="AF74" s="131">
        <f>IFERROR(DONNEES_SOURCE!AM60+DONNEES_SOURCE!AN60+DONNEES_SOURCE!AO60+DONNEES_SOURCE!AP60,"")</f>
        <v>19</v>
      </c>
      <c r="AG74" s="131">
        <f>IFERROR(Z74+DONNEES_SOURCE!AX60+DONNEES_SOURCE!AY60,"")</f>
        <v>21</v>
      </c>
      <c r="AH74" s="131">
        <f>IFERROR(AA74+DONNEES_SOURCE!BA60+DONNEES_SOURCE!BB60+AB74+AC74,"")</f>
        <v>35</v>
      </c>
    </row>
    <row r="75" spans="1:34" x14ac:dyDescent="0.25">
      <c r="A75" s="132">
        <v>60</v>
      </c>
      <c r="B75" s="133">
        <f>IFERROR(VALUE(LEFT(DONNEES_SOURCE!O61,1)),"")</f>
        <v>3</v>
      </c>
      <c r="C75" s="133">
        <f>IFERROR(VALUE(LEFT(DONNEES_SOURCE!P61,1)),"")</f>
        <v>4</v>
      </c>
      <c r="D75" s="133">
        <f>IFERROR(VALUE(LEFT(DONNEES_SOURCE!Q61,1)),"")</f>
        <v>5</v>
      </c>
      <c r="E75" s="133">
        <f>IFERROR(VALUE(LEFT(DONNEES_SOURCE!R61,1)),"")</f>
        <v>4</v>
      </c>
      <c r="F75" s="133">
        <f>IFERROR(VALUE(LEFT(DONNEES_SOURCE!S61,1)),"")</f>
        <v>3</v>
      </c>
      <c r="G75" s="133">
        <f>IFERROR(VALUE(LEFT(DONNEES_SOURCE!T61,1)),"")</f>
        <v>3</v>
      </c>
      <c r="H75" s="133">
        <f>IFERROR(VALUE(LEFT(DONNEES_SOURCE!U61,1)),"")</f>
        <v>3</v>
      </c>
      <c r="I75" s="133">
        <f>IFERROR(VALUE(LEFT(DONNEES_SOURCE!V61,1)),"")</f>
        <v>3</v>
      </c>
      <c r="J75" s="133">
        <f>IFERROR(VALUE(LEFT(DONNEES_SOURCE!W61,1)),"")</f>
        <v>4</v>
      </c>
      <c r="K75" s="133">
        <f>IFERROR(VALUE(LEFT(DONNEES_SOURCE!X61,1)),"")</f>
        <v>3</v>
      </c>
      <c r="L75" s="133">
        <f>IFERROR(VALUE(LEFT(DONNEES_SOURCE!Y61,1)),"")</f>
        <v>4</v>
      </c>
      <c r="M75" s="133">
        <f>IFERROR(VALUE(LEFT(DONNEES_SOURCE!Z61,1)),"")</f>
        <v>4</v>
      </c>
      <c r="N75" s="133">
        <f>IFERROR(VALUE(LEFT(DONNEES_SOURCE!AA61,1)),"")</f>
        <v>5</v>
      </c>
      <c r="O75" s="133">
        <f>IFERROR(VALUE(LEFT(DONNEES_SOURCE!AB61,1)),"")</f>
        <v>4</v>
      </c>
      <c r="P75" s="133">
        <f>IFERROR(VALUE(LEFT(DONNEES_SOURCE!AC61,1)),"")</f>
        <v>3</v>
      </c>
      <c r="Q75" s="133">
        <f>IFERROR(VALUE(LEFT(DONNEES_SOURCE!AD61,1)),"")</f>
        <v>3</v>
      </c>
      <c r="R75" s="133">
        <f>IFERROR(VALUE(LEFT(DONNEES_SOURCE!AE61,1)),"")</f>
        <v>3</v>
      </c>
      <c r="S75" s="133">
        <f>IFERROR(VALUE(LEFT(DONNEES_SOURCE!AF61,1)),"")</f>
        <v>3</v>
      </c>
      <c r="T75" s="133">
        <f>IFERROR(VALUE(LEFT(DONNEES_SOURCE!AG61,1)),"")</f>
        <v>4</v>
      </c>
      <c r="U75" s="133">
        <f>IFERROR(VALUE(LEFT(DONNEES_SOURCE!AH61,1)),"")</f>
        <v>4</v>
      </c>
      <c r="V75" s="134">
        <f>IFERROR(((DONNEES_SOURCE!AI61-1)*(4/6))+1,"")</f>
        <v>3.6666666666666665</v>
      </c>
      <c r="W75" s="132">
        <f>IFERROR(VALUE(LEFT(DONNEES_SOURCE!AJ61,1)),"")</f>
        <v>3</v>
      </c>
      <c r="X75" s="132">
        <f>IFERROR(VALUE(LEFT(DONNEES_SOURCE!AK61,1)),"")</f>
        <v>5</v>
      </c>
      <c r="Y75" s="132">
        <f>IFERROR(8-DONNEES_SOURCE!AL61,"")</f>
        <v>1</v>
      </c>
      <c r="Z75" s="132">
        <f>IFERROR(VALUE(LEFT(DONNEES_SOURCE!AW61,1)),"")</f>
        <v>3</v>
      </c>
      <c r="AA75" s="132">
        <f>IFERROR(8-VALUE(LEFT(DONNEES_SOURCE!AZ61,1)),"")</f>
        <v>5</v>
      </c>
      <c r="AB75" s="132">
        <f>IFERROR(8-DONNEES_SOURCE!BC61,"")</f>
        <v>2</v>
      </c>
      <c r="AC75" s="132">
        <f>IFERROR(8-DONNEES_SOURCE!BD61,"")</f>
        <v>5</v>
      </c>
      <c r="AD75" s="135">
        <f t="shared" si="2"/>
        <v>75.666666666666671</v>
      </c>
      <c r="AE75" s="135">
        <f t="shared" si="3"/>
        <v>9</v>
      </c>
      <c r="AF75" s="135">
        <f>IFERROR(DONNEES_SOURCE!AM61+DONNEES_SOURCE!AN61+DONNEES_SOURCE!AO61+DONNEES_SOURCE!AP61,"")</f>
        <v>23</v>
      </c>
      <c r="AG75" s="135">
        <f>IFERROR(Z75+DONNEES_SOURCE!AX61+DONNEES_SOURCE!AY61,"")</f>
        <v>14</v>
      </c>
      <c r="AH75" s="135">
        <f>IFERROR(AA75+DONNEES_SOURCE!BA61+DONNEES_SOURCE!BB61+AB75+AC75,"")</f>
        <v>22</v>
      </c>
    </row>
    <row r="76" spans="1:34" x14ac:dyDescent="0.25">
      <c r="A76" s="128">
        <v>61</v>
      </c>
      <c r="B76" s="129">
        <f>IFERROR(VALUE(LEFT(DONNEES_SOURCE!O62,1)),"")</f>
        <v>4</v>
      </c>
      <c r="C76" s="129">
        <f>IFERROR(VALUE(LEFT(DONNEES_SOURCE!P62,1)),"")</f>
        <v>5</v>
      </c>
      <c r="D76" s="129">
        <f>IFERROR(VALUE(LEFT(DONNEES_SOURCE!Q62,1)),"")</f>
        <v>4</v>
      </c>
      <c r="E76" s="129">
        <f>IFERROR(VALUE(LEFT(DONNEES_SOURCE!R62,1)),"")</f>
        <v>5</v>
      </c>
      <c r="F76" s="129">
        <f>IFERROR(VALUE(LEFT(DONNEES_SOURCE!S62,1)),"")</f>
        <v>4</v>
      </c>
      <c r="G76" s="129">
        <f>IFERROR(VALUE(LEFT(DONNEES_SOURCE!T62,1)),"")</f>
        <v>4</v>
      </c>
      <c r="H76" s="129">
        <f>IFERROR(VALUE(LEFT(DONNEES_SOURCE!U62,1)),"")</f>
        <v>3</v>
      </c>
      <c r="I76" s="129">
        <f>IFERROR(VALUE(LEFT(DONNEES_SOURCE!V62,1)),"")</f>
        <v>5</v>
      </c>
      <c r="J76" s="129">
        <f>IFERROR(VALUE(LEFT(DONNEES_SOURCE!W62,1)),"")</f>
        <v>4</v>
      </c>
      <c r="K76" s="129">
        <f>IFERROR(VALUE(LEFT(DONNEES_SOURCE!X62,1)),"")</f>
        <v>5</v>
      </c>
      <c r="L76" s="129">
        <f>IFERROR(VALUE(LEFT(DONNEES_SOURCE!Y62,1)),"")</f>
        <v>5</v>
      </c>
      <c r="M76" s="129">
        <f>IFERROR(VALUE(LEFT(DONNEES_SOURCE!Z62,1)),"")</f>
        <v>5</v>
      </c>
      <c r="N76" s="129">
        <f>IFERROR(VALUE(LEFT(DONNEES_SOURCE!AA62,1)),"")</f>
        <v>4</v>
      </c>
      <c r="O76" s="129">
        <f>IFERROR(VALUE(LEFT(DONNEES_SOURCE!AB62,1)),"")</f>
        <v>5</v>
      </c>
      <c r="P76" s="129">
        <f>IFERROR(VALUE(LEFT(DONNEES_SOURCE!AC62,1)),"")</f>
        <v>4</v>
      </c>
      <c r="Q76" s="129">
        <f>IFERROR(VALUE(LEFT(DONNEES_SOURCE!AD62,1)),"")</f>
        <v>4</v>
      </c>
      <c r="R76" s="129">
        <f>IFERROR(VALUE(LEFT(DONNEES_SOURCE!AE62,1)),"")</f>
        <v>3</v>
      </c>
      <c r="S76" s="129">
        <f>IFERROR(VALUE(LEFT(DONNEES_SOURCE!AF62,1)),"")</f>
        <v>4</v>
      </c>
      <c r="T76" s="129">
        <f>IFERROR(VALUE(LEFT(DONNEES_SOURCE!AG62,1)),"")</f>
        <v>3</v>
      </c>
      <c r="U76" s="129">
        <f>IFERROR(VALUE(LEFT(DONNEES_SOURCE!AH62,1)),"")</f>
        <v>4</v>
      </c>
      <c r="V76" s="130">
        <f>IFERROR(((DONNEES_SOURCE!AI62-1)*(4/6))+1,"")</f>
        <v>3.6666666666666665</v>
      </c>
      <c r="W76" s="128">
        <f>IFERROR(VALUE(LEFT(DONNEES_SOURCE!AJ62,1)),"")</f>
        <v>6</v>
      </c>
      <c r="X76" s="128">
        <f>IFERROR(VALUE(LEFT(DONNEES_SOURCE!AK62,1)),"")</f>
        <v>6</v>
      </c>
      <c r="Y76" s="128">
        <f>IFERROR(8-DONNEES_SOURCE!AL62,"")</f>
        <v>4</v>
      </c>
      <c r="Z76" s="128">
        <f>IFERROR(VALUE(LEFT(DONNEES_SOURCE!AW62,1)),"")</f>
        <v>4</v>
      </c>
      <c r="AA76" s="128">
        <f>IFERROR(8-VALUE(LEFT(DONNEES_SOURCE!AZ62,1)),"")</f>
        <v>6</v>
      </c>
      <c r="AB76" s="128">
        <f>IFERROR(8-DONNEES_SOURCE!BC62,"")</f>
        <v>3</v>
      </c>
      <c r="AC76" s="128">
        <f>IFERROR(8-DONNEES_SOURCE!BD62,"")</f>
        <v>6</v>
      </c>
      <c r="AD76" s="131">
        <f t="shared" si="2"/>
        <v>87.666666666666671</v>
      </c>
      <c r="AE76" s="131">
        <f t="shared" si="3"/>
        <v>16</v>
      </c>
      <c r="AF76" s="131">
        <f>IFERROR(DONNEES_SOURCE!AM62+DONNEES_SOURCE!AN62+DONNEES_SOURCE!AO62+DONNEES_SOURCE!AP62,"")</f>
        <v>21</v>
      </c>
      <c r="AG76" s="131">
        <f>IFERROR(Z76+DONNEES_SOURCE!AX62+DONNEES_SOURCE!AY62,"")</f>
        <v>16</v>
      </c>
      <c r="AH76" s="131">
        <f>IFERROR(AA76+DONNEES_SOURCE!BA62+DONNEES_SOURCE!BB62+AB76+AC76,"")</f>
        <v>26</v>
      </c>
    </row>
    <row r="77" spans="1:34" x14ac:dyDescent="0.25">
      <c r="A77" s="132">
        <v>62</v>
      </c>
      <c r="B77" s="133">
        <f>IFERROR(VALUE(LEFT(DONNEES_SOURCE!O63,1)),"")</f>
        <v>1</v>
      </c>
      <c r="C77" s="133">
        <f>IFERROR(VALUE(LEFT(DONNEES_SOURCE!P63,1)),"")</f>
        <v>4</v>
      </c>
      <c r="D77" s="133">
        <f>IFERROR(VALUE(LEFT(DONNEES_SOURCE!Q63,1)),"")</f>
        <v>3</v>
      </c>
      <c r="E77" s="133">
        <f>IFERROR(VALUE(LEFT(DONNEES_SOURCE!R63,1)),"")</f>
        <v>3</v>
      </c>
      <c r="F77" s="133">
        <f>IFERROR(VALUE(LEFT(DONNEES_SOURCE!S63,1)),"")</f>
        <v>3</v>
      </c>
      <c r="G77" s="133">
        <f>IFERROR(VALUE(LEFT(DONNEES_SOURCE!T63,1)),"")</f>
        <v>3</v>
      </c>
      <c r="H77" s="133">
        <f>IFERROR(VALUE(LEFT(DONNEES_SOURCE!U63,1)),"")</f>
        <v>3</v>
      </c>
      <c r="I77" s="133">
        <f>IFERROR(VALUE(LEFT(DONNEES_SOURCE!V63,1)),"")</f>
        <v>3</v>
      </c>
      <c r="J77" s="133">
        <f>IFERROR(VALUE(LEFT(DONNEES_SOURCE!W63,1)),"")</f>
        <v>3</v>
      </c>
      <c r="K77" s="133">
        <f>IFERROR(VALUE(LEFT(DONNEES_SOURCE!X63,1)),"")</f>
        <v>4</v>
      </c>
      <c r="L77" s="133">
        <f>IFERROR(VALUE(LEFT(DONNEES_SOURCE!Y63,1)),"")</f>
        <v>1</v>
      </c>
      <c r="M77" s="133">
        <f>IFERROR(VALUE(LEFT(DONNEES_SOURCE!Z63,1)),"")</f>
        <v>4</v>
      </c>
      <c r="N77" s="133">
        <f>IFERROR(VALUE(LEFT(DONNEES_SOURCE!AA63,1)),"")</f>
        <v>4</v>
      </c>
      <c r="O77" s="133">
        <f>IFERROR(VALUE(LEFT(DONNEES_SOURCE!AB63,1)),"")</f>
        <v>3</v>
      </c>
      <c r="P77" s="133">
        <f>IFERROR(VALUE(LEFT(DONNEES_SOURCE!AC63,1)),"")</f>
        <v>3</v>
      </c>
      <c r="Q77" s="133">
        <f>IFERROR(VALUE(LEFT(DONNEES_SOURCE!AD63,1)),"")</f>
        <v>3</v>
      </c>
      <c r="R77" s="133">
        <f>IFERROR(VALUE(LEFT(DONNEES_SOURCE!AE63,1)),"")</f>
        <v>3</v>
      </c>
      <c r="S77" s="133">
        <f>IFERROR(VALUE(LEFT(DONNEES_SOURCE!AF63,1)),"")</f>
        <v>3</v>
      </c>
      <c r="T77" s="133">
        <f>IFERROR(VALUE(LEFT(DONNEES_SOURCE!AG63,1)),"")</f>
        <v>3</v>
      </c>
      <c r="U77" s="133">
        <f>IFERROR(VALUE(LEFT(DONNEES_SOURCE!AH63,1)),"")</f>
        <v>3</v>
      </c>
      <c r="V77" s="134">
        <f>IFERROR(((DONNEES_SOURCE!AI63-1)*(4/6))+1,"")</f>
        <v>2.333333333333333</v>
      </c>
      <c r="W77" s="132">
        <f>IFERROR(VALUE(LEFT(DONNEES_SOURCE!AJ63,1)),"")</f>
        <v>4</v>
      </c>
      <c r="X77" s="132">
        <f>IFERROR(VALUE(LEFT(DONNEES_SOURCE!AK63,1)),"")</f>
        <v>3</v>
      </c>
      <c r="Y77" s="132">
        <f>IFERROR(8-DONNEES_SOURCE!AL63,"")</f>
        <v>1</v>
      </c>
      <c r="Z77" s="132">
        <f>IFERROR(VALUE(LEFT(DONNEES_SOURCE!AW63,1)),"")</f>
        <v>3</v>
      </c>
      <c r="AA77" s="132">
        <f>IFERROR(8-VALUE(LEFT(DONNEES_SOURCE!AZ63,1)),"")</f>
        <v>7</v>
      </c>
      <c r="AB77" s="132">
        <f>IFERROR(8-DONNEES_SOURCE!BC63,"")</f>
        <v>4</v>
      </c>
      <c r="AC77" s="132">
        <f>IFERROR(8-DONNEES_SOURCE!BD63,"")</f>
        <v>7</v>
      </c>
      <c r="AD77" s="135">
        <f t="shared" si="2"/>
        <v>62.333333333333336</v>
      </c>
      <c r="AE77" s="135">
        <f t="shared" si="3"/>
        <v>8</v>
      </c>
      <c r="AF77" s="135">
        <f>IFERROR(DONNEES_SOURCE!AM63+DONNEES_SOURCE!AN63+DONNEES_SOURCE!AO63+DONNEES_SOURCE!AP63,"")</f>
        <v>28</v>
      </c>
      <c r="AG77" s="135">
        <f>IFERROR(Z77+DONNEES_SOURCE!AX63+DONNEES_SOURCE!AY63,"")</f>
        <v>7</v>
      </c>
      <c r="AH77" s="135">
        <f>IFERROR(AA77+DONNEES_SOURCE!BA63+DONNEES_SOURCE!BB63+AB77+AC77,"")</f>
        <v>32</v>
      </c>
    </row>
    <row r="78" spans="1:34" x14ac:dyDescent="0.25">
      <c r="A78" s="128">
        <v>63</v>
      </c>
      <c r="B78" s="129">
        <f>IFERROR(VALUE(LEFT(DONNEES_SOURCE!O64,1)),"")</f>
        <v>5</v>
      </c>
      <c r="C78" s="129">
        <f>IFERROR(VALUE(LEFT(DONNEES_SOURCE!P64,1)),"")</f>
        <v>5</v>
      </c>
      <c r="D78" s="129">
        <f>IFERROR(VALUE(LEFT(DONNEES_SOURCE!Q64,1)),"")</f>
        <v>5</v>
      </c>
      <c r="E78" s="129">
        <f>IFERROR(VALUE(LEFT(DONNEES_SOURCE!R64,1)),"")</f>
        <v>5</v>
      </c>
      <c r="F78" s="129">
        <f>IFERROR(VALUE(LEFT(DONNEES_SOURCE!S64,1)),"")</f>
        <v>2</v>
      </c>
      <c r="G78" s="129">
        <f>IFERROR(VALUE(LEFT(DONNEES_SOURCE!T64,1)),"")</f>
        <v>4</v>
      </c>
      <c r="H78" s="129">
        <f>IFERROR(VALUE(LEFT(DONNEES_SOURCE!U64,1)),"")</f>
        <v>3</v>
      </c>
      <c r="I78" s="129">
        <f>IFERROR(VALUE(LEFT(DONNEES_SOURCE!V64,1)),"")</f>
        <v>3</v>
      </c>
      <c r="J78" s="129">
        <f>IFERROR(VALUE(LEFT(DONNEES_SOURCE!W64,1)),"")</f>
        <v>3</v>
      </c>
      <c r="K78" s="129">
        <f>IFERROR(VALUE(LEFT(DONNEES_SOURCE!X64,1)),"")</f>
        <v>5</v>
      </c>
      <c r="L78" s="129">
        <f>IFERROR(VALUE(LEFT(DONNEES_SOURCE!Y64,1)),"")</f>
        <v>5</v>
      </c>
      <c r="M78" s="129">
        <f>IFERROR(VALUE(LEFT(DONNEES_SOURCE!Z64,1)),"")</f>
        <v>5</v>
      </c>
      <c r="N78" s="129">
        <f>IFERROR(VALUE(LEFT(DONNEES_SOURCE!AA64,1)),"")</f>
        <v>4</v>
      </c>
      <c r="O78" s="129">
        <f>IFERROR(VALUE(LEFT(DONNEES_SOURCE!AB64,1)),"")</f>
        <v>4</v>
      </c>
      <c r="P78" s="129">
        <f>IFERROR(VALUE(LEFT(DONNEES_SOURCE!AC64,1)),"")</f>
        <v>4</v>
      </c>
      <c r="Q78" s="129">
        <f>IFERROR(VALUE(LEFT(DONNEES_SOURCE!AD64,1)),"")</f>
        <v>4</v>
      </c>
      <c r="R78" s="129">
        <f>IFERROR(VALUE(LEFT(DONNEES_SOURCE!AE64,1)),"")</f>
        <v>4</v>
      </c>
      <c r="S78" s="129">
        <f>IFERROR(VALUE(LEFT(DONNEES_SOURCE!AF64,1)),"")</f>
        <v>3</v>
      </c>
      <c r="T78" s="129">
        <f>IFERROR(VALUE(LEFT(DONNEES_SOURCE!AG64,1)),"")</f>
        <v>3</v>
      </c>
      <c r="U78" s="129">
        <f>IFERROR(VALUE(LEFT(DONNEES_SOURCE!AH64,1)),"")</f>
        <v>5</v>
      </c>
      <c r="V78" s="130">
        <f>IFERROR(((DONNEES_SOURCE!AI64-1)*(4/6))+1,"")</f>
        <v>3.6666666666666665</v>
      </c>
      <c r="W78" s="128">
        <f>IFERROR(VALUE(LEFT(DONNEES_SOURCE!AJ64,1)),"")</f>
        <v>5</v>
      </c>
      <c r="X78" s="128">
        <f>IFERROR(VALUE(LEFT(DONNEES_SOURCE!AK64,1)),"")</f>
        <v>5</v>
      </c>
      <c r="Y78" s="128">
        <f>IFERROR(8-DONNEES_SOURCE!AL64,"")</f>
        <v>2</v>
      </c>
      <c r="Z78" s="128">
        <f>IFERROR(VALUE(LEFT(DONNEES_SOURCE!AW64,1)),"")</f>
        <v>4</v>
      </c>
      <c r="AA78" s="128">
        <f>IFERROR(8-VALUE(LEFT(DONNEES_SOURCE!AZ64,1)),"")</f>
        <v>7</v>
      </c>
      <c r="AB78" s="128">
        <f>IFERROR(8-DONNEES_SOURCE!BC64,"")</f>
        <v>3</v>
      </c>
      <c r="AC78" s="128">
        <f>IFERROR(8-DONNEES_SOURCE!BD64,"")</f>
        <v>3</v>
      </c>
      <c r="AD78" s="131">
        <f t="shared" si="2"/>
        <v>84.666666666666671</v>
      </c>
      <c r="AE78" s="131">
        <f t="shared" si="3"/>
        <v>12</v>
      </c>
      <c r="AF78" s="131">
        <f>IFERROR(DONNEES_SOURCE!AM64+DONNEES_SOURCE!AN64+DONNEES_SOURCE!AO64+DONNEES_SOURCE!AP64,"")</f>
        <v>26</v>
      </c>
      <c r="AG78" s="131">
        <f>IFERROR(Z78+DONNEES_SOURCE!AX64+DONNEES_SOURCE!AY64,"")</f>
        <v>14</v>
      </c>
      <c r="AH78" s="131">
        <f>IFERROR(AA78+DONNEES_SOURCE!BA64+DONNEES_SOURCE!BB64+AB78+AC78,"")</f>
        <v>26</v>
      </c>
    </row>
    <row r="79" spans="1:34" x14ac:dyDescent="0.25">
      <c r="A79" s="132">
        <v>64</v>
      </c>
      <c r="B79" s="133">
        <f>IFERROR(VALUE(LEFT(DONNEES_SOURCE!O65,1)),"")</f>
        <v>5</v>
      </c>
      <c r="C79" s="133">
        <f>IFERROR(VALUE(LEFT(DONNEES_SOURCE!P65,1)),"")</f>
        <v>4</v>
      </c>
      <c r="D79" s="133">
        <f>IFERROR(VALUE(LEFT(DONNEES_SOURCE!Q65,1)),"")</f>
        <v>2</v>
      </c>
      <c r="E79" s="133">
        <f>IFERROR(VALUE(LEFT(DONNEES_SOURCE!R65,1)),"")</f>
        <v>2</v>
      </c>
      <c r="F79" s="133">
        <f>IFERROR(VALUE(LEFT(DONNEES_SOURCE!S65,1)),"")</f>
        <v>5</v>
      </c>
      <c r="G79" s="133">
        <f>IFERROR(VALUE(LEFT(DONNEES_SOURCE!T65,1)),"")</f>
        <v>1</v>
      </c>
      <c r="H79" s="133">
        <f>IFERROR(VALUE(LEFT(DONNEES_SOURCE!U65,1)),"")</f>
        <v>2</v>
      </c>
      <c r="I79" s="133">
        <f>IFERROR(VALUE(LEFT(DONNEES_SOURCE!V65,1)),"")</f>
        <v>3</v>
      </c>
      <c r="J79" s="133">
        <f>IFERROR(VALUE(LEFT(DONNEES_SOURCE!W65,1)),"")</f>
        <v>3</v>
      </c>
      <c r="K79" s="133">
        <f>IFERROR(VALUE(LEFT(DONNEES_SOURCE!X65,1)),"")</f>
        <v>5</v>
      </c>
      <c r="L79" s="133">
        <f>IFERROR(VALUE(LEFT(DONNEES_SOURCE!Y65,1)),"")</f>
        <v>5</v>
      </c>
      <c r="M79" s="133">
        <f>IFERROR(VALUE(LEFT(DONNEES_SOURCE!Z65,1)),"")</f>
        <v>5</v>
      </c>
      <c r="N79" s="133">
        <f>IFERROR(VALUE(LEFT(DONNEES_SOURCE!AA65,1)),"")</f>
        <v>4</v>
      </c>
      <c r="O79" s="133">
        <f>IFERROR(VALUE(LEFT(DONNEES_SOURCE!AB65,1)),"")</f>
        <v>3</v>
      </c>
      <c r="P79" s="133">
        <f>IFERROR(VALUE(LEFT(DONNEES_SOURCE!AC65,1)),"")</f>
        <v>5</v>
      </c>
      <c r="Q79" s="133">
        <f>IFERROR(VALUE(LEFT(DONNEES_SOURCE!AD65,1)),"")</f>
        <v>3</v>
      </c>
      <c r="R79" s="133">
        <f>IFERROR(VALUE(LEFT(DONNEES_SOURCE!AE65,1)),"")</f>
        <v>3</v>
      </c>
      <c r="S79" s="133">
        <f>IFERROR(VALUE(LEFT(DONNEES_SOURCE!AF65,1)),"")</f>
        <v>2</v>
      </c>
      <c r="T79" s="133">
        <f>IFERROR(VALUE(LEFT(DONNEES_SOURCE!AG65,1)),"")</f>
        <v>2</v>
      </c>
      <c r="U79" s="133">
        <f>IFERROR(VALUE(LEFT(DONNEES_SOURCE!AH65,1)),"")</f>
        <v>5</v>
      </c>
      <c r="V79" s="134">
        <f>IFERROR(((DONNEES_SOURCE!AI65-1)*(4/6))+1,"")</f>
        <v>4.333333333333333</v>
      </c>
      <c r="W79" s="132">
        <f>IFERROR(VALUE(LEFT(DONNEES_SOURCE!AJ65,1)),"")</f>
        <v>5</v>
      </c>
      <c r="X79" s="132">
        <f>IFERROR(VALUE(LEFT(DONNEES_SOURCE!AK65,1)),"")</f>
        <v>6</v>
      </c>
      <c r="Y79" s="132">
        <f>IFERROR(8-DONNEES_SOURCE!AL65,"")</f>
        <v>3</v>
      </c>
      <c r="Z79" s="132">
        <f>IFERROR(VALUE(LEFT(DONNEES_SOURCE!AW65,1)),"")</f>
        <v>1</v>
      </c>
      <c r="AA79" s="132">
        <f>IFERROR(8-VALUE(LEFT(DONNEES_SOURCE!AZ65,1)),"")</f>
        <v>6</v>
      </c>
      <c r="AB79" s="132">
        <f>IFERROR(8-DONNEES_SOURCE!BC65,"")</f>
        <v>3</v>
      </c>
      <c r="AC79" s="132">
        <f>IFERROR(8-DONNEES_SOURCE!BD65,"")</f>
        <v>2</v>
      </c>
      <c r="AD79" s="135">
        <f t="shared" si="2"/>
        <v>73.333333333333329</v>
      </c>
      <c r="AE79" s="135">
        <f t="shared" si="3"/>
        <v>14</v>
      </c>
      <c r="AF79" s="135">
        <f>IFERROR(DONNEES_SOURCE!AM65+DONNEES_SOURCE!AN65+DONNEES_SOURCE!AO65+DONNEES_SOURCE!AP65,"")</f>
        <v>21</v>
      </c>
      <c r="AG79" s="135">
        <f>IFERROR(Z79+DONNEES_SOURCE!AX65+DONNEES_SOURCE!AY65,"")</f>
        <v>13</v>
      </c>
      <c r="AH79" s="135">
        <f>IFERROR(AA79+DONNEES_SOURCE!BA65+DONNEES_SOURCE!BB65+AB79+AC79,"")</f>
        <v>24</v>
      </c>
    </row>
    <row r="80" spans="1:34" x14ac:dyDescent="0.25">
      <c r="A80" s="128">
        <v>65</v>
      </c>
      <c r="B80" s="129">
        <f>IFERROR(VALUE(LEFT(DONNEES_SOURCE!O66,1)),"")</f>
        <v>5</v>
      </c>
      <c r="C80" s="129">
        <f>IFERROR(VALUE(LEFT(DONNEES_SOURCE!P66,1)),"")</f>
        <v>5</v>
      </c>
      <c r="D80" s="129">
        <f>IFERROR(VALUE(LEFT(DONNEES_SOURCE!Q66,1)),"")</f>
        <v>5</v>
      </c>
      <c r="E80" s="129">
        <f>IFERROR(VALUE(LEFT(DONNEES_SOURCE!R66,1)),"")</f>
        <v>3</v>
      </c>
      <c r="F80" s="129">
        <f>IFERROR(VALUE(LEFT(DONNEES_SOURCE!S66,1)),"")</f>
        <v>3</v>
      </c>
      <c r="G80" s="129">
        <f>IFERROR(VALUE(LEFT(DONNEES_SOURCE!T66,1)),"")</f>
        <v>3</v>
      </c>
      <c r="H80" s="129">
        <f>IFERROR(VALUE(LEFT(DONNEES_SOURCE!U66,1)),"")</f>
        <v>3</v>
      </c>
      <c r="I80" s="129">
        <f>IFERROR(VALUE(LEFT(DONNEES_SOURCE!V66,1)),"")</f>
        <v>3</v>
      </c>
      <c r="J80" s="129">
        <f>IFERROR(VALUE(LEFT(DONNEES_SOURCE!W66,1)),"")</f>
        <v>4</v>
      </c>
      <c r="K80" s="129">
        <f>IFERROR(VALUE(LEFT(DONNEES_SOURCE!X66,1)),"")</f>
        <v>5</v>
      </c>
      <c r="L80" s="129">
        <f>IFERROR(VALUE(LEFT(DONNEES_SOURCE!Y66,1)),"")</f>
        <v>4</v>
      </c>
      <c r="M80" s="129">
        <f>IFERROR(VALUE(LEFT(DONNEES_SOURCE!Z66,1)),"")</f>
        <v>4</v>
      </c>
      <c r="N80" s="129">
        <f>IFERROR(VALUE(LEFT(DONNEES_SOURCE!AA66,1)),"")</f>
        <v>4</v>
      </c>
      <c r="O80" s="129">
        <f>IFERROR(VALUE(LEFT(DONNEES_SOURCE!AB66,1)),"")</f>
        <v>3</v>
      </c>
      <c r="P80" s="129">
        <f>IFERROR(VALUE(LEFT(DONNEES_SOURCE!AC66,1)),"")</f>
        <v>3</v>
      </c>
      <c r="Q80" s="129">
        <f>IFERROR(VALUE(LEFT(DONNEES_SOURCE!AD66,1)),"")</f>
        <v>3</v>
      </c>
      <c r="R80" s="129">
        <f>IFERROR(VALUE(LEFT(DONNEES_SOURCE!AE66,1)),"")</f>
        <v>3</v>
      </c>
      <c r="S80" s="129">
        <f>IFERROR(VALUE(LEFT(DONNEES_SOURCE!AF66,1)),"")</f>
        <v>3</v>
      </c>
      <c r="T80" s="129">
        <f>IFERROR(VALUE(LEFT(DONNEES_SOURCE!AG66,1)),"")</f>
        <v>3</v>
      </c>
      <c r="U80" s="129">
        <f>IFERROR(VALUE(LEFT(DONNEES_SOURCE!AH66,1)),"")</f>
        <v>4</v>
      </c>
      <c r="V80" s="130">
        <f>IFERROR(((DONNEES_SOURCE!AI66-1)*(4/6))+1,"")</f>
        <v>3.6666666666666665</v>
      </c>
      <c r="W80" s="128">
        <f>IFERROR(VALUE(LEFT(DONNEES_SOURCE!AJ66,1)),"")</f>
        <v>6</v>
      </c>
      <c r="X80" s="128">
        <f>IFERROR(VALUE(LEFT(DONNEES_SOURCE!AK66,1)),"")</f>
        <v>6</v>
      </c>
      <c r="Y80" s="128">
        <f>IFERROR(8-DONNEES_SOURCE!AL66,"")</f>
        <v>2</v>
      </c>
      <c r="Z80" s="128">
        <f>IFERROR(VALUE(LEFT(DONNEES_SOURCE!AW66,1)),"")</f>
        <v>4</v>
      </c>
      <c r="AA80" s="128">
        <f>IFERROR(8-VALUE(LEFT(DONNEES_SOURCE!AZ66,1)),"")</f>
        <v>6</v>
      </c>
      <c r="AB80" s="128">
        <f>IFERROR(8-DONNEES_SOURCE!BC66,"")</f>
        <v>4</v>
      </c>
      <c r="AC80" s="128">
        <f>IFERROR(8-DONNEES_SOURCE!BD66,"")</f>
        <v>4</v>
      </c>
      <c r="AD80" s="131">
        <f t="shared" si="2"/>
        <v>76.666666666666671</v>
      </c>
      <c r="AE80" s="131">
        <f t="shared" si="3"/>
        <v>14</v>
      </c>
      <c r="AF80" s="131">
        <f>IFERROR(DONNEES_SOURCE!AM66+DONNEES_SOURCE!AN66+DONNEES_SOURCE!AO66+DONNEES_SOURCE!AP66,"")</f>
        <v>24</v>
      </c>
      <c r="AG80" s="131">
        <f>IFERROR(Z80+DONNEES_SOURCE!AX66+DONNEES_SOURCE!AY66,"")</f>
        <v>12</v>
      </c>
      <c r="AH80" s="131">
        <f>IFERROR(AA80+DONNEES_SOURCE!BA66+DONNEES_SOURCE!BB66+AB80+AC80,"")</f>
        <v>21</v>
      </c>
    </row>
    <row r="81" spans="1:34" x14ac:dyDescent="0.25">
      <c r="A81" s="132">
        <v>66</v>
      </c>
      <c r="B81" s="133">
        <f>IFERROR(VALUE(LEFT(DONNEES_SOURCE!O67,1)),"")</f>
        <v>5</v>
      </c>
      <c r="C81" s="133">
        <f>IFERROR(VALUE(LEFT(DONNEES_SOURCE!P67,1)),"")</f>
        <v>4</v>
      </c>
      <c r="D81" s="133">
        <f>IFERROR(VALUE(LEFT(DONNEES_SOURCE!Q67,1)),"")</f>
        <v>4</v>
      </c>
      <c r="E81" s="133">
        <f>IFERROR(VALUE(LEFT(DONNEES_SOURCE!R67,1)),"")</f>
        <v>5</v>
      </c>
      <c r="F81" s="133">
        <f>IFERROR(VALUE(LEFT(DONNEES_SOURCE!S67,1)),"")</f>
        <v>3</v>
      </c>
      <c r="G81" s="133">
        <f>IFERROR(VALUE(LEFT(DONNEES_SOURCE!T67,1)),"")</f>
        <v>3</v>
      </c>
      <c r="H81" s="133">
        <f>IFERROR(VALUE(LEFT(DONNEES_SOURCE!U67,1)),"")</f>
        <v>2</v>
      </c>
      <c r="I81" s="133">
        <f>IFERROR(VALUE(LEFT(DONNEES_SOURCE!V67,1)),"")</f>
        <v>2</v>
      </c>
      <c r="J81" s="133">
        <f>IFERROR(VALUE(LEFT(DONNEES_SOURCE!W67,1)),"")</f>
        <v>2</v>
      </c>
      <c r="K81" s="133">
        <f>IFERROR(VALUE(LEFT(DONNEES_SOURCE!X67,1)),"")</f>
        <v>5</v>
      </c>
      <c r="L81" s="133">
        <f>IFERROR(VALUE(LEFT(DONNEES_SOURCE!Y67,1)),"")</f>
        <v>4</v>
      </c>
      <c r="M81" s="133">
        <f>IFERROR(VALUE(LEFT(DONNEES_SOURCE!Z67,1)),"")</f>
        <v>3</v>
      </c>
      <c r="N81" s="133">
        <f>IFERROR(VALUE(LEFT(DONNEES_SOURCE!AA67,1)),"")</f>
        <v>3</v>
      </c>
      <c r="O81" s="133">
        <f>IFERROR(VALUE(LEFT(DONNEES_SOURCE!AB67,1)),"")</f>
        <v>4</v>
      </c>
      <c r="P81" s="133">
        <f>IFERROR(VALUE(LEFT(DONNEES_SOURCE!AC67,1)),"")</f>
        <v>3</v>
      </c>
      <c r="Q81" s="133">
        <f>IFERROR(VALUE(LEFT(DONNEES_SOURCE!AD67,1)),"")</f>
        <v>3</v>
      </c>
      <c r="R81" s="133">
        <f>IFERROR(VALUE(LEFT(DONNEES_SOURCE!AE67,1)),"")</f>
        <v>2</v>
      </c>
      <c r="S81" s="133">
        <f>IFERROR(VALUE(LEFT(DONNEES_SOURCE!AF67,1)),"")</f>
        <v>2</v>
      </c>
      <c r="T81" s="133">
        <f>IFERROR(VALUE(LEFT(DONNEES_SOURCE!AG67,1)),"")</f>
        <v>3</v>
      </c>
      <c r="U81" s="133">
        <f>IFERROR(VALUE(LEFT(DONNEES_SOURCE!AH67,1)),"")</f>
        <v>4</v>
      </c>
      <c r="V81" s="134">
        <f>IFERROR(((DONNEES_SOURCE!AI67-1)*(4/6))+1,"")</f>
        <v>3.6666666666666665</v>
      </c>
      <c r="W81" s="132">
        <f>IFERROR(VALUE(LEFT(DONNEES_SOURCE!AJ67,1)),"")</f>
        <v>4</v>
      </c>
      <c r="X81" s="132">
        <f>IFERROR(VALUE(LEFT(DONNEES_SOURCE!AK67,1)),"")</f>
        <v>5</v>
      </c>
      <c r="Y81" s="132">
        <f>IFERROR(8-DONNEES_SOURCE!AL67,"")</f>
        <v>3</v>
      </c>
      <c r="Z81" s="132">
        <f>IFERROR(VALUE(LEFT(DONNEES_SOURCE!AW67,1)),"")</f>
        <v>2</v>
      </c>
      <c r="AA81" s="132">
        <f>IFERROR(8-VALUE(LEFT(DONNEES_SOURCE!AZ67,1)),"")</f>
        <v>6</v>
      </c>
      <c r="AB81" s="132">
        <f>IFERROR(8-DONNEES_SOURCE!BC67,"")</f>
        <v>4</v>
      </c>
      <c r="AC81" s="132">
        <f>IFERROR(8-DONNEES_SOURCE!BD67,"")</f>
        <v>6</v>
      </c>
      <c r="AD81" s="135">
        <f t="shared" si="2"/>
        <v>69.666666666666671</v>
      </c>
      <c r="AE81" s="135">
        <f t="shared" si="3"/>
        <v>12</v>
      </c>
      <c r="AF81" s="135">
        <f>IFERROR(DONNEES_SOURCE!AM67+DONNEES_SOURCE!AN67+DONNEES_SOURCE!AO67+DONNEES_SOURCE!AP67,"")</f>
        <v>22</v>
      </c>
      <c r="AG81" s="135">
        <f>IFERROR(Z81+DONNEES_SOURCE!AX67+DONNEES_SOURCE!AY67,"")</f>
        <v>11</v>
      </c>
      <c r="AH81" s="135">
        <f>IFERROR(AA81+DONNEES_SOURCE!BA67+DONNEES_SOURCE!BB67+AB81+AC81,"")</f>
        <v>26</v>
      </c>
    </row>
    <row r="82" spans="1:34" x14ac:dyDescent="0.25">
      <c r="A82" s="128">
        <v>67</v>
      </c>
      <c r="B82" s="129">
        <f>IFERROR(VALUE(LEFT(DONNEES_SOURCE!O68,1)),"")</f>
        <v>2</v>
      </c>
      <c r="C82" s="129">
        <f>IFERROR(VALUE(LEFT(DONNEES_SOURCE!P68,1)),"")</f>
        <v>2</v>
      </c>
      <c r="D82" s="129">
        <f>IFERROR(VALUE(LEFT(DONNEES_SOURCE!Q68,1)),"")</f>
        <v>5</v>
      </c>
      <c r="E82" s="129">
        <f>IFERROR(VALUE(LEFT(DONNEES_SOURCE!R68,1)),"")</f>
        <v>4</v>
      </c>
      <c r="F82" s="129">
        <f>IFERROR(VALUE(LEFT(DONNEES_SOURCE!S68,1)),"")</f>
        <v>3</v>
      </c>
      <c r="G82" s="129">
        <f>IFERROR(VALUE(LEFT(DONNEES_SOURCE!T68,1)),"")</f>
        <v>3</v>
      </c>
      <c r="H82" s="129">
        <f>IFERROR(VALUE(LEFT(DONNEES_SOURCE!U68,1)),"")</f>
        <v>3</v>
      </c>
      <c r="I82" s="129">
        <f>IFERROR(VALUE(LEFT(DONNEES_SOURCE!V68,1)),"")</f>
        <v>3</v>
      </c>
      <c r="J82" s="129">
        <f>IFERROR(VALUE(LEFT(DONNEES_SOURCE!W68,1)),"")</f>
        <v>3</v>
      </c>
      <c r="K82" s="129">
        <f>IFERROR(VALUE(LEFT(DONNEES_SOURCE!X68,1)),"")</f>
        <v>3</v>
      </c>
      <c r="L82" s="129">
        <f>IFERROR(VALUE(LEFT(DONNEES_SOURCE!Y68,1)),"")</f>
        <v>3</v>
      </c>
      <c r="M82" s="129">
        <f>IFERROR(VALUE(LEFT(DONNEES_SOURCE!Z68,1)),"")</f>
        <v>3</v>
      </c>
      <c r="N82" s="129">
        <f>IFERROR(VALUE(LEFT(DONNEES_SOURCE!AA68,1)),"")</f>
        <v>5</v>
      </c>
      <c r="O82" s="129">
        <f>IFERROR(VALUE(LEFT(DONNEES_SOURCE!AB68,1)),"")</f>
        <v>5</v>
      </c>
      <c r="P82" s="129">
        <f>IFERROR(VALUE(LEFT(DONNEES_SOURCE!AC68,1)),"")</f>
        <v>3</v>
      </c>
      <c r="Q82" s="129">
        <f>IFERROR(VALUE(LEFT(DONNEES_SOURCE!AD68,1)),"")</f>
        <v>3</v>
      </c>
      <c r="R82" s="129">
        <f>IFERROR(VALUE(LEFT(DONNEES_SOURCE!AE68,1)),"")</f>
        <v>3</v>
      </c>
      <c r="S82" s="129">
        <f>IFERROR(VALUE(LEFT(DONNEES_SOURCE!AF68,1)),"")</f>
        <v>3</v>
      </c>
      <c r="T82" s="129">
        <f>IFERROR(VALUE(LEFT(DONNEES_SOURCE!AG68,1)),"")</f>
        <v>4</v>
      </c>
      <c r="U82" s="129">
        <f>IFERROR(VALUE(LEFT(DONNEES_SOURCE!AH68,1)),"")</f>
        <v>3</v>
      </c>
      <c r="V82" s="130">
        <f>IFERROR(((DONNEES_SOURCE!AI68-1)*(4/6))+1,"")</f>
        <v>5</v>
      </c>
      <c r="W82" s="128">
        <f>IFERROR(VALUE(LEFT(DONNEES_SOURCE!AJ68,1)),"")</f>
        <v>7</v>
      </c>
      <c r="X82" s="128">
        <f>IFERROR(VALUE(LEFT(DONNEES_SOURCE!AK68,1)),"")</f>
        <v>6</v>
      </c>
      <c r="Y82" s="128">
        <f>IFERROR(8-DONNEES_SOURCE!AL68,"")</f>
        <v>5</v>
      </c>
      <c r="Z82" s="128">
        <f>IFERROR(VALUE(LEFT(DONNEES_SOURCE!AW68,1)),"")</f>
        <v>2</v>
      </c>
      <c r="AA82" s="128">
        <f>IFERROR(8-VALUE(LEFT(DONNEES_SOURCE!AZ68,1)),"")</f>
        <v>6</v>
      </c>
      <c r="AB82" s="128">
        <f>IFERROR(8-DONNEES_SOURCE!BC68,"")</f>
        <v>1</v>
      </c>
      <c r="AC82" s="128">
        <f>IFERROR(8-DONNEES_SOURCE!BD68,"")</f>
        <v>7</v>
      </c>
      <c r="AD82" s="131">
        <f t="shared" si="2"/>
        <v>71</v>
      </c>
      <c r="AE82" s="131">
        <f t="shared" si="3"/>
        <v>18</v>
      </c>
      <c r="AF82" s="131">
        <f>IFERROR(DONNEES_SOURCE!AM68+DONNEES_SOURCE!AN68+DONNEES_SOURCE!AO68+DONNEES_SOURCE!AP68,"")</f>
        <v>25</v>
      </c>
      <c r="AG82" s="131">
        <f>IFERROR(Z82+DONNEES_SOURCE!AX68+DONNEES_SOURCE!AY68,"")</f>
        <v>16</v>
      </c>
      <c r="AH82" s="131">
        <f>IFERROR(AA82+DONNEES_SOURCE!BA68+DONNEES_SOURCE!BB68+AB82+AC82,"")</f>
        <v>25</v>
      </c>
    </row>
    <row r="83" spans="1:34" x14ac:dyDescent="0.25">
      <c r="A83" s="132">
        <v>68</v>
      </c>
      <c r="B83" s="133"/>
      <c r="C83" s="133"/>
      <c r="D83" s="133"/>
      <c r="E83" s="133"/>
      <c r="F83" s="133"/>
      <c r="G83" s="133"/>
      <c r="H83" s="133"/>
      <c r="I83" s="133"/>
      <c r="J83" s="133"/>
      <c r="K83" s="133"/>
      <c r="L83" s="133"/>
      <c r="M83" s="133"/>
      <c r="N83" s="133"/>
      <c r="O83" s="133"/>
      <c r="P83" s="133"/>
      <c r="Q83" s="133"/>
      <c r="R83" s="133"/>
      <c r="S83" s="133"/>
      <c r="T83" s="133"/>
      <c r="U83" s="133"/>
      <c r="V83" s="134"/>
      <c r="W83" s="132"/>
      <c r="X83" s="132"/>
      <c r="Y83" s="132"/>
      <c r="Z83" s="132"/>
      <c r="AA83" s="132"/>
      <c r="AB83" s="132"/>
      <c r="AC83" s="132"/>
      <c r="AD83" s="135"/>
      <c r="AE83" s="135"/>
      <c r="AF83" s="135"/>
      <c r="AG83" s="135"/>
      <c r="AH83" s="135"/>
    </row>
    <row r="84" spans="1:34" x14ac:dyDescent="0.25">
      <c r="A84" s="128">
        <v>69</v>
      </c>
      <c r="B84" s="129"/>
      <c r="C84" s="129"/>
      <c r="D84" s="129"/>
      <c r="E84" s="129"/>
      <c r="F84" s="129"/>
      <c r="G84" s="129"/>
      <c r="H84" s="129"/>
      <c r="I84" s="129"/>
      <c r="J84" s="129"/>
      <c r="K84" s="129"/>
      <c r="L84" s="129"/>
      <c r="M84" s="129"/>
      <c r="N84" s="129"/>
      <c r="O84" s="129"/>
      <c r="P84" s="129"/>
      <c r="Q84" s="129"/>
      <c r="R84" s="129"/>
      <c r="S84" s="129"/>
      <c r="T84" s="129"/>
      <c r="U84" s="129"/>
      <c r="V84" s="130"/>
      <c r="W84" s="128"/>
      <c r="X84" s="128"/>
      <c r="Y84" s="128"/>
      <c r="Z84" s="128"/>
      <c r="AA84" s="128"/>
      <c r="AB84" s="128"/>
      <c r="AC84" s="128"/>
      <c r="AD84" s="131"/>
      <c r="AE84" s="131"/>
      <c r="AF84" s="131"/>
      <c r="AG84" s="131"/>
      <c r="AH84" s="131"/>
    </row>
    <row r="85" spans="1:34" x14ac:dyDescent="0.25">
      <c r="A85" s="132">
        <v>70</v>
      </c>
      <c r="B85" s="133"/>
      <c r="C85" s="133"/>
      <c r="D85" s="133"/>
      <c r="E85" s="133"/>
      <c r="F85" s="133"/>
      <c r="G85" s="133"/>
      <c r="H85" s="133"/>
      <c r="I85" s="133"/>
      <c r="J85" s="133"/>
      <c r="K85" s="133"/>
      <c r="L85" s="133"/>
      <c r="M85" s="133"/>
      <c r="N85" s="133"/>
      <c r="O85" s="133"/>
      <c r="P85" s="133"/>
      <c r="Q85" s="133"/>
      <c r="R85" s="133"/>
      <c r="S85" s="133"/>
      <c r="T85" s="133"/>
      <c r="U85" s="133"/>
      <c r="V85" s="134"/>
      <c r="W85" s="132"/>
      <c r="X85" s="132"/>
      <c r="Y85" s="132"/>
      <c r="Z85" s="132"/>
      <c r="AA85" s="132"/>
      <c r="AB85" s="132"/>
      <c r="AC85" s="132"/>
      <c r="AD85" s="135"/>
      <c r="AE85" s="135"/>
      <c r="AF85" s="135"/>
      <c r="AG85" s="135"/>
      <c r="AH85" s="135"/>
    </row>
    <row r="86" spans="1:34" x14ac:dyDescent="0.25">
      <c r="A86" s="128">
        <v>71</v>
      </c>
      <c r="B86" s="129"/>
      <c r="C86" s="129"/>
      <c r="D86" s="129"/>
      <c r="E86" s="129"/>
      <c r="F86" s="129"/>
      <c r="G86" s="129"/>
      <c r="H86" s="129"/>
      <c r="I86" s="129"/>
      <c r="J86" s="129"/>
      <c r="K86" s="129"/>
      <c r="L86" s="129"/>
      <c r="M86" s="129"/>
      <c r="N86" s="129"/>
      <c r="O86" s="129"/>
      <c r="P86" s="129"/>
      <c r="Q86" s="129"/>
      <c r="R86" s="129"/>
      <c r="S86" s="129"/>
      <c r="T86" s="129"/>
      <c r="U86" s="129"/>
      <c r="V86" s="130"/>
      <c r="W86" s="128"/>
      <c r="X86" s="128"/>
      <c r="Y86" s="128"/>
      <c r="Z86" s="128"/>
      <c r="AA86" s="128"/>
      <c r="AB86" s="128"/>
      <c r="AC86" s="128"/>
      <c r="AD86" s="131"/>
      <c r="AE86" s="131"/>
      <c r="AF86" s="131"/>
      <c r="AG86" s="131"/>
      <c r="AH86" s="131"/>
    </row>
    <row r="87" spans="1:34" x14ac:dyDescent="0.25">
      <c r="A87" s="132">
        <v>72</v>
      </c>
      <c r="B87" s="133"/>
      <c r="C87" s="133"/>
      <c r="D87" s="133"/>
      <c r="E87" s="133"/>
      <c r="F87" s="133"/>
      <c r="G87" s="133"/>
      <c r="H87" s="133"/>
      <c r="I87" s="133"/>
      <c r="J87" s="133"/>
      <c r="K87" s="133"/>
      <c r="L87" s="133"/>
      <c r="M87" s="133"/>
      <c r="N87" s="133"/>
      <c r="O87" s="133"/>
      <c r="P87" s="133"/>
      <c r="Q87" s="133"/>
      <c r="R87" s="133"/>
      <c r="S87" s="133"/>
      <c r="T87" s="133"/>
      <c r="U87" s="133"/>
      <c r="V87" s="134"/>
      <c r="W87" s="132"/>
      <c r="X87" s="132"/>
      <c r="Y87" s="132"/>
      <c r="Z87" s="132"/>
      <c r="AA87" s="132"/>
      <c r="AB87" s="132"/>
      <c r="AC87" s="132"/>
      <c r="AD87" s="135"/>
      <c r="AE87" s="135"/>
      <c r="AF87" s="135"/>
      <c r="AG87" s="135"/>
      <c r="AH87" s="135"/>
    </row>
    <row r="88" spans="1:34" x14ac:dyDescent="0.25">
      <c r="A88" s="128">
        <v>73</v>
      </c>
      <c r="B88" s="129"/>
      <c r="C88" s="129"/>
      <c r="D88" s="129"/>
      <c r="E88" s="129"/>
      <c r="F88" s="129"/>
      <c r="G88" s="129"/>
      <c r="H88" s="129"/>
      <c r="I88" s="129"/>
      <c r="J88" s="129"/>
      <c r="K88" s="129"/>
      <c r="L88" s="129"/>
      <c r="M88" s="129"/>
      <c r="N88" s="129"/>
      <c r="O88" s="129"/>
      <c r="P88" s="129"/>
      <c r="Q88" s="129"/>
      <c r="R88" s="129"/>
      <c r="S88" s="129"/>
      <c r="T88" s="129"/>
      <c r="U88" s="129"/>
      <c r="V88" s="130"/>
      <c r="W88" s="128"/>
      <c r="X88" s="128"/>
      <c r="Y88" s="128"/>
      <c r="Z88" s="128"/>
      <c r="AA88" s="128"/>
      <c r="AB88" s="128"/>
      <c r="AC88" s="128"/>
      <c r="AD88" s="131"/>
      <c r="AE88" s="131"/>
      <c r="AF88" s="131"/>
      <c r="AG88" s="131"/>
      <c r="AH88" s="131"/>
    </row>
    <row r="89" spans="1:34" x14ac:dyDescent="0.25">
      <c r="A89" s="132">
        <v>74</v>
      </c>
      <c r="B89" s="133"/>
      <c r="C89" s="133"/>
      <c r="D89" s="133"/>
      <c r="E89" s="133"/>
      <c r="F89" s="133"/>
      <c r="G89" s="133"/>
      <c r="H89" s="133"/>
      <c r="I89" s="133"/>
      <c r="J89" s="133"/>
      <c r="K89" s="133"/>
      <c r="L89" s="133"/>
      <c r="M89" s="133"/>
      <c r="N89" s="133"/>
      <c r="O89" s="133"/>
      <c r="P89" s="133"/>
      <c r="Q89" s="133"/>
      <c r="R89" s="133"/>
      <c r="S89" s="133"/>
      <c r="T89" s="133"/>
      <c r="U89" s="133"/>
      <c r="V89" s="134"/>
      <c r="W89" s="132"/>
      <c r="X89" s="132"/>
      <c r="Y89" s="132"/>
      <c r="Z89" s="132"/>
      <c r="AA89" s="132"/>
      <c r="AB89" s="132"/>
      <c r="AC89" s="132"/>
      <c r="AD89" s="135"/>
      <c r="AE89" s="135"/>
      <c r="AF89" s="135"/>
      <c r="AG89" s="135"/>
      <c r="AH89" s="135"/>
    </row>
    <row r="90" spans="1:34" x14ac:dyDescent="0.25">
      <c r="A90" s="128">
        <v>75</v>
      </c>
      <c r="B90" s="129"/>
      <c r="C90" s="129"/>
      <c r="D90" s="129"/>
      <c r="E90" s="129"/>
      <c r="F90" s="129"/>
      <c r="G90" s="129"/>
      <c r="H90" s="129"/>
      <c r="I90" s="129"/>
      <c r="J90" s="129"/>
      <c r="K90" s="129"/>
      <c r="L90" s="129"/>
      <c r="M90" s="129"/>
      <c r="N90" s="129"/>
      <c r="O90" s="129"/>
      <c r="P90" s="129"/>
      <c r="Q90" s="129"/>
      <c r="R90" s="129"/>
      <c r="S90" s="129"/>
      <c r="T90" s="129"/>
      <c r="U90" s="129"/>
      <c r="V90" s="130"/>
      <c r="W90" s="128"/>
      <c r="X90" s="128"/>
      <c r="Y90" s="128"/>
      <c r="Z90" s="128"/>
      <c r="AA90" s="128"/>
      <c r="AB90" s="128"/>
      <c r="AC90" s="128"/>
      <c r="AD90" s="131"/>
      <c r="AE90" s="131"/>
      <c r="AF90" s="131"/>
      <c r="AG90" s="131"/>
      <c r="AH90" s="131"/>
    </row>
    <row r="91" spans="1:34" x14ac:dyDescent="0.25">
      <c r="A91" s="132">
        <v>76</v>
      </c>
      <c r="B91" s="133"/>
      <c r="C91" s="133"/>
      <c r="D91" s="133"/>
      <c r="E91" s="133"/>
      <c r="F91" s="133"/>
      <c r="G91" s="133"/>
      <c r="H91" s="133"/>
      <c r="I91" s="133"/>
      <c r="J91" s="133"/>
      <c r="K91" s="133"/>
      <c r="L91" s="133"/>
      <c r="M91" s="133"/>
      <c r="N91" s="133"/>
      <c r="O91" s="133"/>
      <c r="P91" s="133"/>
      <c r="Q91" s="133"/>
      <c r="R91" s="133"/>
      <c r="S91" s="133"/>
      <c r="T91" s="133"/>
      <c r="U91" s="133"/>
      <c r="V91" s="134"/>
      <c r="W91" s="132"/>
      <c r="X91" s="132"/>
      <c r="Y91" s="132"/>
      <c r="Z91" s="132"/>
      <c r="AA91" s="132"/>
      <c r="AB91" s="132"/>
      <c r="AC91" s="132"/>
      <c r="AD91" s="135"/>
      <c r="AE91" s="135"/>
      <c r="AF91" s="135"/>
      <c r="AG91" s="135"/>
      <c r="AH91" s="135"/>
    </row>
    <row r="92" spans="1:34" x14ac:dyDescent="0.25">
      <c r="A92" s="128">
        <v>77</v>
      </c>
      <c r="B92" s="129"/>
      <c r="C92" s="129"/>
      <c r="D92" s="129"/>
      <c r="E92" s="129"/>
      <c r="F92" s="129"/>
      <c r="G92" s="129"/>
      <c r="H92" s="129"/>
      <c r="I92" s="129"/>
      <c r="J92" s="129"/>
      <c r="K92" s="129"/>
      <c r="L92" s="129"/>
      <c r="M92" s="129"/>
      <c r="N92" s="129"/>
      <c r="O92" s="129"/>
      <c r="P92" s="129"/>
      <c r="Q92" s="129"/>
      <c r="R92" s="129"/>
      <c r="S92" s="129"/>
      <c r="T92" s="129"/>
      <c r="U92" s="129"/>
      <c r="V92" s="130"/>
      <c r="W92" s="128"/>
      <c r="X92" s="128"/>
      <c r="Y92" s="128"/>
      <c r="Z92" s="128"/>
      <c r="AA92" s="128"/>
      <c r="AB92" s="128"/>
      <c r="AC92" s="128"/>
      <c r="AD92" s="131"/>
      <c r="AE92" s="131"/>
      <c r="AF92" s="131"/>
      <c r="AG92" s="131"/>
      <c r="AH92" s="131"/>
    </row>
    <row r="93" spans="1:34" x14ac:dyDescent="0.25">
      <c r="A93" s="132">
        <v>78</v>
      </c>
      <c r="B93" s="133"/>
      <c r="C93" s="133"/>
      <c r="D93" s="133"/>
      <c r="E93" s="133"/>
      <c r="F93" s="133"/>
      <c r="G93" s="133"/>
      <c r="H93" s="133"/>
      <c r="I93" s="133"/>
      <c r="J93" s="133"/>
      <c r="K93" s="133"/>
      <c r="L93" s="133"/>
      <c r="M93" s="133"/>
      <c r="N93" s="133"/>
      <c r="O93" s="133"/>
      <c r="P93" s="133"/>
      <c r="Q93" s="133"/>
      <c r="R93" s="133"/>
      <c r="S93" s="133"/>
      <c r="T93" s="133"/>
      <c r="U93" s="133"/>
      <c r="V93" s="134"/>
      <c r="W93" s="132"/>
      <c r="X93" s="132"/>
      <c r="Y93" s="132"/>
      <c r="Z93" s="132"/>
      <c r="AA93" s="132"/>
      <c r="AB93" s="132"/>
      <c r="AC93" s="132"/>
      <c r="AD93" s="135"/>
      <c r="AE93" s="135"/>
      <c r="AF93" s="135"/>
      <c r="AG93" s="135"/>
      <c r="AH93" s="135"/>
    </row>
    <row r="94" spans="1:34" x14ac:dyDescent="0.25">
      <c r="A94" s="128">
        <v>79</v>
      </c>
      <c r="B94" s="129"/>
      <c r="C94" s="129"/>
      <c r="D94" s="129"/>
      <c r="E94" s="129"/>
      <c r="F94" s="129"/>
      <c r="G94" s="129"/>
      <c r="H94" s="129"/>
      <c r="I94" s="129"/>
      <c r="J94" s="129"/>
      <c r="K94" s="129"/>
      <c r="L94" s="129"/>
      <c r="M94" s="129"/>
      <c r="N94" s="129"/>
      <c r="O94" s="129"/>
      <c r="P94" s="129"/>
      <c r="Q94" s="129"/>
      <c r="R94" s="129"/>
      <c r="S94" s="129"/>
      <c r="T94" s="129"/>
      <c r="U94" s="129"/>
      <c r="V94" s="130"/>
      <c r="W94" s="128"/>
      <c r="X94" s="128"/>
      <c r="Y94" s="128"/>
      <c r="Z94" s="128"/>
      <c r="AA94" s="128"/>
      <c r="AB94" s="128"/>
      <c r="AC94" s="128"/>
      <c r="AD94" s="131"/>
      <c r="AE94" s="131"/>
      <c r="AF94" s="131"/>
      <c r="AG94" s="131"/>
      <c r="AH94" s="131"/>
    </row>
    <row r="95" spans="1:34" x14ac:dyDescent="0.25">
      <c r="A95" s="132">
        <v>80</v>
      </c>
      <c r="B95" s="133"/>
      <c r="C95" s="133"/>
      <c r="D95" s="133"/>
      <c r="E95" s="133"/>
      <c r="F95" s="133"/>
      <c r="G95" s="133"/>
      <c r="H95" s="133"/>
      <c r="I95" s="133"/>
      <c r="J95" s="133"/>
      <c r="K95" s="133"/>
      <c r="L95" s="133"/>
      <c r="M95" s="133"/>
      <c r="N95" s="133"/>
      <c r="O95" s="133"/>
      <c r="P95" s="133"/>
      <c r="Q95" s="133"/>
      <c r="R95" s="133"/>
      <c r="S95" s="133"/>
      <c r="T95" s="133"/>
      <c r="U95" s="133"/>
      <c r="V95" s="134"/>
      <c r="W95" s="132"/>
      <c r="X95" s="132"/>
      <c r="Y95" s="132"/>
      <c r="Z95" s="132"/>
      <c r="AA95" s="132"/>
      <c r="AB95" s="132"/>
      <c r="AC95" s="132"/>
      <c r="AD95" s="135"/>
      <c r="AE95" s="135"/>
      <c r="AF95" s="135"/>
      <c r="AG95" s="135"/>
      <c r="AH95" s="135"/>
    </row>
    <row r="96" spans="1:34" x14ac:dyDescent="0.25">
      <c r="A96" s="128">
        <v>81</v>
      </c>
      <c r="B96" s="129"/>
      <c r="C96" s="129"/>
      <c r="D96" s="129"/>
      <c r="E96" s="129"/>
      <c r="F96" s="129"/>
      <c r="G96" s="129"/>
      <c r="H96" s="129"/>
      <c r="I96" s="129"/>
      <c r="J96" s="129"/>
      <c r="K96" s="129"/>
      <c r="L96" s="129"/>
      <c r="M96" s="129"/>
      <c r="N96" s="129"/>
      <c r="O96" s="129"/>
      <c r="P96" s="129"/>
      <c r="Q96" s="129"/>
      <c r="R96" s="129"/>
      <c r="S96" s="129"/>
      <c r="T96" s="129"/>
      <c r="U96" s="129"/>
      <c r="V96" s="130"/>
      <c r="W96" s="128"/>
      <c r="X96" s="128"/>
      <c r="Y96" s="128"/>
      <c r="Z96" s="128"/>
      <c r="AA96" s="128"/>
      <c r="AB96" s="128"/>
      <c r="AC96" s="128"/>
      <c r="AD96" s="131"/>
      <c r="AE96" s="131"/>
      <c r="AF96" s="131"/>
      <c r="AG96" s="131"/>
      <c r="AH96" s="131"/>
    </row>
    <row r="97" spans="1:34" x14ac:dyDescent="0.25">
      <c r="A97" s="132">
        <v>82</v>
      </c>
      <c r="B97" s="133"/>
      <c r="C97" s="133"/>
      <c r="D97" s="133"/>
      <c r="E97" s="133"/>
      <c r="F97" s="133"/>
      <c r="G97" s="133"/>
      <c r="H97" s="133"/>
      <c r="I97" s="133"/>
      <c r="J97" s="133"/>
      <c r="K97" s="133"/>
      <c r="L97" s="133"/>
      <c r="M97" s="133"/>
      <c r="N97" s="133"/>
      <c r="O97" s="133"/>
      <c r="P97" s="133"/>
      <c r="Q97" s="133"/>
      <c r="R97" s="133"/>
      <c r="S97" s="133"/>
      <c r="T97" s="133"/>
      <c r="U97" s="133"/>
      <c r="V97" s="134"/>
      <c r="W97" s="132"/>
      <c r="X97" s="132"/>
      <c r="Y97" s="132"/>
      <c r="Z97" s="132"/>
      <c r="AA97" s="132"/>
      <c r="AB97" s="132"/>
      <c r="AC97" s="132"/>
      <c r="AD97" s="135"/>
      <c r="AE97" s="135"/>
      <c r="AF97" s="135"/>
      <c r="AG97" s="135"/>
      <c r="AH97" s="135"/>
    </row>
    <row r="98" spans="1:34" x14ac:dyDescent="0.25">
      <c r="A98" s="128">
        <v>83</v>
      </c>
      <c r="B98" s="129"/>
      <c r="C98" s="129"/>
      <c r="D98" s="129"/>
      <c r="E98" s="129"/>
      <c r="F98" s="129"/>
      <c r="G98" s="129"/>
      <c r="H98" s="129"/>
      <c r="I98" s="129"/>
      <c r="J98" s="129"/>
      <c r="K98" s="129"/>
      <c r="L98" s="129"/>
      <c r="M98" s="129"/>
      <c r="N98" s="129"/>
      <c r="O98" s="129"/>
      <c r="P98" s="129"/>
      <c r="Q98" s="129"/>
      <c r="R98" s="129"/>
      <c r="S98" s="129"/>
      <c r="T98" s="129"/>
      <c r="U98" s="129"/>
      <c r="V98" s="130"/>
      <c r="W98" s="128"/>
      <c r="X98" s="128"/>
      <c r="Y98" s="128"/>
      <c r="Z98" s="128"/>
      <c r="AA98" s="128"/>
      <c r="AB98" s="128"/>
      <c r="AC98" s="128"/>
      <c r="AD98" s="131"/>
      <c r="AE98" s="131"/>
      <c r="AF98" s="131"/>
      <c r="AG98" s="131"/>
      <c r="AH98" s="131"/>
    </row>
    <row r="99" spans="1:34" x14ac:dyDescent="0.25">
      <c r="A99" s="132">
        <v>84</v>
      </c>
      <c r="B99" s="133"/>
      <c r="C99" s="133"/>
      <c r="D99" s="133"/>
      <c r="E99" s="133"/>
      <c r="F99" s="133"/>
      <c r="G99" s="133"/>
      <c r="H99" s="133"/>
      <c r="I99" s="133"/>
      <c r="J99" s="133"/>
      <c r="K99" s="133"/>
      <c r="L99" s="133"/>
      <c r="M99" s="133"/>
      <c r="N99" s="133"/>
      <c r="O99" s="133"/>
      <c r="P99" s="133"/>
      <c r="Q99" s="133"/>
      <c r="R99" s="133"/>
      <c r="S99" s="133"/>
      <c r="T99" s="133"/>
      <c r="U99" s="133"/>
      <c r="V99" s="134"/>
      <c r="W99" s="132"/>
      <c r="X99" s="132"/>
      <c r="Y99" s="132"/>
      <c r="Z99" s="132"/>
      <c r="AA99" s="132"/>
      <c r="AB99" s="132"/>
      <c r="AC99" s="132"/>
      <c r="AD99" s="135"/>
      <c r="AE99" s="135"/>
      <c r="AF99" s="135"/>
      <c r="AG99" s="135"/>
      <c r="AH99" s="135"/>
    </row>
    <row r="100" spans="1:34" x14ac:dyDescent="0.25">
      <c r="A100" s="128">
        <v>85</v>
      </c>
      <c r="B100" s="129"/>
      <c r="C100" s="129"/>
      <c r="D100" s="129"/>
      <c r="E100" s="129"/>
      <c r="F100" s="129"/>
      <c r="G100" s="129"/>
      <c r="H100" s="129"/>
      <c r="I100" s="129"/>
      <c r="J100" s="129"/>
      <c r="K100" s="129"/>
      <c r="L100" s="129"/>
      <c r="M100" s="129"/>
      <c r="N100" s="129"/>
      <c r="O100" s="129"/>
      <c r="P100" s="129"/>
      <c r="Q100" s="129"/>
      <c r="R100" s="129"/>
      <c r="S100" s="129"/>
      <c r="T100" s="129"/>
      <c r="U100" s="129"/>
      <c r="V100" s="130"/>
      <c r="W100" s="128"/>
      <c r="X100" s="128"/>
      <c r="Y100" s="128"/>
      <c r="Z100" s="128"/>
      <c r="AA100" s="128"/>
      <c r="AB100" s="128"/>
      <c r="AC100" s="128"/>
      <c r="AD100" s="131"/>
      <c r="AE100" s="131"/>
      <c r="AF100" s="131"/>
      <c r="AG100" s="131"/>
      <c r="AH100" s="131"/>
    </row>
    <row r="103" spans="1:34" x14ac:dyDescent="0.25">
      <c r="A103" s="282" t="s">
        <v>473</v>
      </c>
      <c r="B103" s="254"/>
      <c r="C103" s="254"/>
      <c r="D103" s="254"/>
      <c r="E103" s="254"/>
      <c r="F103" s="254"/>
      <c r="G103" s="254"/>
      <c r="H103" s="254"/>
      <c r="I103" s="254"/>
      <c r="J103" s="254"/>
      <c r="K103" s="254"/>
      <c r="L103" s="254"/>
      <c r="M103" s="254"/>
      <c r="N103" s="254"/>
      <c r="O103" s="254"/>
      <c r="P103" s="254"/>
      <c r="Q103" s="254"/>
      <c r="R103" s="254"/>
      <c r="S103" s="254"/>
      <c r="T103" s="254"/>
      <c r="U103" s="254"/>
      <c r="V103" s="254"/>
      <c r="W103" s="254"/>
      <c r="X103" s="254"/>
      <c r="Y103" s="254"/>
      <c r="Z103" s="254"/>
    </row>
    <row r="104" spans="1:34" x14ac:dyDescent="0.25">
      <c r="A104" s="282" t="s">
        <v>474</v>
      </c>
      <c r="B104" s="254"/>
      <c r="C104" s="254"/>
      <c r="D104" s="254"/>
      <c r="E104" s="254"/>
      <c r="F104" s="254"/>
      <c r="G104" s="254"/>
      <c r="H104" s="254"/>
      <c r="I104" s="254"/>
      <c r="J104" s="254"/>
      <c r="K104" s="254"/>
      <c r="L104" s="254"/>
      <c r="M104" s="254"/>
      <c r="N104" s="254"/>
      <c r="O104" s="254"/>
      <c r="P104" s="254"/>
      <c r="Q104" s="254"/>
      <c r="R104" s="254"/>
      <c r="S104" s="254"/>
      <c r="T104" s="254"/>
      <c r="U104" s="254"/>
      <c r="V104" s="254"/>
      <c r="W104" s="254"/>
      <c r="X104" s="254"/>
      <c r="Y104" s="254"/>
      <c r="Z104" s="254"/>
    </row>
    <row r="105" spans="1:34" x14ac:dyDescent="0.25">
      <c r="A105" s="136" t="s">
        <v>475</v>
      </c>
      <c r="B105" s="137">
        <f>ROUND(VAR(B16:B100)+VAR(C16:C100)+VAR(D16:D100)+VAR(E16:E100)+VAR(F16:F100)+VAR(G16:G100)+VAR(H16:H100)+VAR(I16:I100)+VAR(J16:J100)+VAR(K16:K100)+VAR(L16:L100)+VAR(M16:M100)+VAR(N16:N100)+VAR(O16:O100)+VAR(P16:P100)+VAR(Q16:Q100)+VAR(R16:R100)+VAR(S16:S100)+VAR(T16:T100)+VAR(U16:U100)+VAR(V16:V100),4)</f>
        <v>21.472300000000001</v>
      </c>
    </row>
    <row r="106" spans="1:34" x14ac:dyDescent="0.25">
      <c r="A106" s="136" t="s">
        <v>476</v>
      </c>
      <c r="B106" s="137">
        <f>ROUND(VAR(AD16:AD100),4)</f>
        <v>148.18360000000001</v>
      </c>
    </row>
    <row r="107" spans="1:34" x14ac:dyDescent="0.25">
      <c r="A107" s="136" t="s">
        <v>477</v>
      </c>
      <c r="B107" s="137">
        <f>ROUND(21/(21-1),6)</f>
        <v>1.05</v>
      </c>
    </row>
    <row r="108" spans="1:34" x14ac:dyDescent="0.25">
      <c r="A108" s="136" t="s">
        <v>478</v>
      </c>
      <c r="B108" s="137">
        <f>IFERROR(ROUND(1-B105/B106,6),"")</f>
        <v>0.855097</v>
      </c>
    </row>
    <row r="109" spans="1:34" ht="16.5" customHeight="1" x14ac:dyDescent="0.25">
      <c r="A109" s="138" t="s">
        <v>479</v>
      </c>
      <c r="B109" s="139">
        <f>IFERROR(ROUND(B107*B108,3),"")</f>
        <v>0.89800000000000002</v>
      </c>
    </row>
    <row r="110" spans="1:34" ht="25.5" customHeight="1" x14ac:dyDescent="0.25">
      <c r="A110" s="140" t="s">
        <v>435</v>
      </c>
      <c r="B110" s="141" t="str">
        <f>IFERROR(IF(B109&gt;=0.85,"Très fiable (≥0.85) ✓",IF(B109&gt;=0.7,"Fiable (≥0.70) ✓",IF(B109&gt;=0.6,"Limite acceptable (0.60–0.69)",IF(B109&gt;0,"Insuffisant (&lt;0.60)","–")))),"–")</f>
        <v>Très fiable (≥0.85) ✓</v>
      </c>
    </row>
    <row r="112" spans="1:34" x14ac:dyDescent="0.25">
      <c r="A112" s="284" t="s">
        <v>480</v>
      </c>
      <c r="B112" s="254"/>
      <c r="C112" s="254"/>
      <c r="D112" s="254"/>
      <c r="E112" s="254"/>
      <c r="F112" s="254"/>
      <c r="G112" s="254"/>
      <c r="H112" s="254"/>
      <c r="I112" s="254"/>
      <c r="J112" s="254"/>
      <c r="K112" s="254"/>
      <c r="L112" s="254"/>
      <c r="M112" s="254"/>
      <c r="N112" s="254"/>
      <c r="O112" s="254"/>
      <c r="P112" s="254"/>
      <c r="Q112" s="254"/>
      <c r="R112" s="254"/>
      <c r="S112" s="254"/>
      <c r="T112" s="254"/>
      <c r="U112" s="254"/>
      <c r="V112" s="254"/>
      <c r="W112" s="254"/>
      <c r="X112" s="254"/>
      <c r="Y112" s="254"/>
      <c r="Z112" s="254"/>
    </row>
    <row r="113" spans="1:26" x14ac:dyDescent="0.25">
      <c r="A113" s="136" t="s">
        <v>475</v>
      </c>
      <c r="B113" s="137">
        <f>ROUND(VAR(W16:W100)+VAR(X16:X100)+VAR(Y16:Y100),4)</f>
        <v>4.6481000000000003</v>
      </c>
    </row>
    <row r="114" spans="1:26" x14ac:dyDescent="0.25">
      <c r="A114" s="136" t="s">
        <v>476</v>
      </c>
      <c r="B114" s="137">
        <f>ROUND(VAR(AE16:AE100),4)</f>
        <v>8.3338000000000001</v>
      </c>
    </row>
    <row r="115" spans="1:26" x14ac:dyDescent="0.25">
      <c r="A115" s="136" t="s">
        <v>477</v>
      </c>
      <c r="B115" s="137">
        <f>ROUND(3/(3-1),6)</f>
        <v>1.5</v>
      </c>
    </row>
    <row r="116" spans="1:26" x14ac:dyDescent="0.25">
      <c r="A116" s="136" t="s">
        <v>478</v>
      </c>
      <c r="B116" s="137">
        <f>IFERROR(ROUND(1-B113/B114,6),"")</f>
        <v>0.44225900000000001</v>
      </c>
    </row>
    <row r="117" spans="1:26" ht="16.5" customHeight="1" x14ac:dyDescent="0.25">
      <c r="A117" s="142" t="s">
        <v>479</v>
      </c>
      <c r="B117" s="143">
        <f>IFERROR(ROUND(B115*B116,3),"")</f>
        <v>0.66300000000000003</v>
      </c>
    </row>
    <row r="118" spans="1:26" ht="35.25" customHeight="1" x14ac:dyDescent="0.25">
      <c r="A118" s="140" t="s">
        <v>435</v>
      </c>
      <c r="B118" s="141" t="str">
        <f>IFERROR(IF(B117&gt;=0.85,"Très fiable (≥0.85) ✓",IF(B117&gt;=0.7,"Fiable (≥0.70) ✓",IF(B117&gt;=0.6,"Limite acceptable (0.60–0.69)",IF(B117&gt;0,"Insuffisant (&lt;0.60)","–")))),"–")</f>
        <v>Limite acceptable (0.60–0.69)</v>
      </c>
    </row>
    <row r="120" spans="1:26" x14ac:dyDescent="0.25">
      <c r="A120" s="280" t="s">
        <v>481</v>
      </c>
      <c r="B120" s="254"/>
      <c r="C120" s="254"/>
      <c r="D120" s="254"/>
      <c r="E120" s="254"/>
      <c r="F120" s="254"/>
      <c r="G120" s="254"/>
      <c r="H120" s="254"/>
      <c r="I120" s="254"/>
      <c r="J120" s="254"/>
      <c r="K120" s="254"/>
      <c r="L120" s="254"/>
      <c r="M120" s="254"/>
      <c r="N120" s="254"/>
      <c r="O120" s="254"/>
      <c r="P120" s="254"/>
      <c r="Q120" s="254"/>
      <c r="R120" s="254"/>
      <c r="S120" s="254"/>
      <c r="T120" s="254"/>
      <c r="U120" s="254"/>
      <c r="V120" s="254"/>
      <c r="W120" s="254"/>
      <c r="X120" s="254"/>
      <c r="Y120" s="254"/>
      <c r="Z120" s="254"/>
    </row>
    <row r="121" spans="1:26" x14ac:dyDescent="0.25">
      <c r="A121" s="136" t="s">
        <v>475</v>
      </c>
      <c r="B121" s="137">
        <f>ROUND(VAR(DONNEES_SOURCE!AM1:'DONNEES_SOURCE'!AM100)+VAR(DONNEES_SOURCE!AN1:'DONNEES_SOURCE'!AN100)+VAR(DONNEES_SOURCE!AO1:'DONNEES_SOURCE'!AO100)+VAR(DONNEES_SOURCE!AP1:'DONNEES_SOURCE'!AP100),4)</f>
        <v>9.5056999999999992</v>
      </c>
    </row>
    <row r="122" spans="1:26" x14ac:dyDescent="0.25">
      <c r="A122" s="136" t="s">
        <v>476</v>
      </c>
      <c r="B122" s="137">
        <f>ROUND(VAR(AF16:AF100),4)</f>
        <v>12.462199999999999</v>
      </c>
    </row>
    <row r="123" spans="1:26" x14ac:dyDescent="0.25">
      <c r="A123" s="136" t="s">
        <v>477</v>
      </c>
      <c r="B123" s="137">
        <f>ROUND(4/(4-1),6)</f>
        <v>1.3333330000000001</v>
      </c>
    </row>
    <row r="124" spans="1:26" x14ac:dyDescent="0.25">
      <c r="A124" s="136" t="s">
        <v>478</v>
      </c>
      <c r="B124" s="137">
        <f>IFERROR(ROUND(1-B121/B122,6),"")</f>
        <v>0.237237</v>
      </c>
    </row>
    <row r="125" spans="1:26" ht="16.5" customHeight="1" x14ac:dyDescent="0.25">
      <c r="A125" s="144" t="s">
        <v>479</v>
      </c>
      <c r="B125" s="145">
        <f>IFERROR(ROUND(B123*B124,3),"")</f>
        <v>0.316</v>
      </c>
    </row>
    <row r="126" spans="1:26" ht="34.5" customHeight="1" x14ac:dyDescent="0.25">
      <c r="A126" s="140" t="s">
        <v>435</v>
      </c>
      <c r="B126" s="141" t="str">
        <f>IFERROR(IF(B125&gt;=0.85,"Très fiable (≥0.85) ✓",IF(B125&gt;=0.7,"Fiable (≥0.70) ✓",IF(B125&gt;=0.6,"Limite acceptable (0.60–0.69)",IF(B125&gt;0,"Insuffisant (&lt;0.60)","–")))),"–")</f>
        <v>Insuffisant (&lt;0.60)</v>
      </c>
    </row>
    <row r="128" spans="1:26" x14ac:dyDescent="0.25">
      <c r="A128" s="285" t="s">
        <v>482</v>
      </c>
      <c r="B128" s="254"/>
      <c r="C128" s="254"/>
      <c r="D128" s="254"/>
      <c r="E128" s="254"/>
      <c r="F128" s="254"/>
      <c r="G128" s="254"/>
      <c r="H128" s="254"/>
      <c r="I128" s="254"/>
      <c r="J128" s="254"/>
      <c r="K128" s="254"/>
      <c r="L128" s="254"/>
      <c r="M128" s="254"/>
      <c r="N128" s="254"/>
      <c r="O128" s="254"/>
      <c r="P128" s="254"/>
      <c r="Q128" s="254"/>
      <c r="R128" s="254"/>
      <c r="S128" s="254"/>
      <c r="T128" s="254"/>
      <c r="U128" s="254"/>
      <c r="V128" s="254"/>
      <c r="W128" s="254"/>
      <c r="X128" s="254"/>
      <c r="Y128" s="254"/>
      <c r="Z128" s="254"/>
    </row>
    <row r="129" spans="1:26" x14ac:dyDescent="0.25">
      <c r="A129" s="136" t="s">
        <v>475</v>
      </c>
      <c r="B129" s="137">
        <f>ROUND(VAR(Z1:Z100)+VAR(DONNEES_SOURCE!AX1:'DONNEES_SOURCE'!AX100)+VAR(DONNEES_SOURCE!AY1:'DONNEES_SOURCE'!AY100),4)</f>
        <v>4.8597999999999999</v>
      </c>
    </row>
    <row r="130" spans="1:26" x14ac:dyDescent="0.25">
      <c r="A130" s="136" t="s">
        <v>476</v>
      </c>
      <c r="B130" s="137">
        <f>ROUND(VAR(AG16:AG100),4)</f>
        <v>6.9561000000000002</v>
      </c>
    </row>
    <row r="131" spans="1:26" x14ac:dyDescent="0.25">
      <c r="A131" s="136" t="s">
        <v>477</v>
      </c>
      <c r="B131" s="137">
        <f>ROUND(3/(3-1),6)</f>
        <v>1.5</v>
      </c>
    </row>
    <row r="132" spans="1:26" x14ac:dyDescent="0.25">
      <c r="A132" s="136" t="s">
        <v>478</v>
      </c>
      <c r="B132" s="137">
        <f>IFERROR(ROUND(1-B129/B130,6),"")</f>
        <v>0.30136099999999999</v>
      </c>
    </row>
    <row r="133" spans="1:26" ht="16.5" customHeight="1" x14ac:dyDescent="0.25">
      <c r="A133" s="146" t="s">
        <v>479</v>
      </c>
      <c r="B133" s="147">
        <f>IFERROR(ROUND(B131*B132,3),"")</f>
        <v>0.45200000000000001</v>
      </c>
    </row>
    <row r="134" spans="1:26" ht="30.75" customHeight="1" x14ac:dyDescent="0.25">
      <c r="A134" s="140" t="s">
        <v>435</v>
      </c>
      <c r="B134" s="141" t="str">
        <f>IFERROR(IF(B133&gt;=0.85,"Très fiable (≥0.85) ✓",IF(B133&gt;=0.7,"Fiable (≥0.70) ✓",IF(B133&gt;=0.6,"Limite acceptable (0.60–0.69)",IF(B133&gt;0,"Insuffisant (&lt;0.60)","–")))),"–")</f>
        <v>Insuffisant (&lt;0.60)</v>
      </c>
    </row>
    <row r="136" spans="1:26" x14ac:dyDescent="0.25">
      <c r="A136" s="281" t="s">
        <v>483</v>
      </c>
      <c r="B136" s="254"/>
      <c r="C136" s="254"/>
      <c r="D136" s="254"/>
      <c r="E136" s="254"/>
      <c r="F136" s="254"/>
      <c r="G136" s="254"/>
      <c r="H136" s="254"/>
      <c r="I136" s="254"/>
      <c r="J136" s="254"/>
      <c r="K136" s="254"/>
      <c r="L136" s="254"/>
      <c r="M136" s="254"/>
      <c r="N136" s="254"/>
      <c r="O136" s="254"/>
      <c r="P136" s="254"/>
      <c r="Q136" s="254"/>
      <c r="R136" s="254"/>
      <c r="S136" s="254"/>
      <c r="T136" s="254"/>
      <c r="U136" s="254"/>
      <c r="V136" s="254"/>
      <c r="W136" s="254"/>
      <c r="X136" s="254"/>
      <c r="Y136" s="254"/>
      <c r="Z136" s="254"/>
    </row>
    <row r="137" spans="1:26" x14ac:dyDescent="0.25">
      <c r="A137" s="136" t="s">
        <v>475</v>
      </c>
      <c r="B137" s="137">
        <f>ROUND(VAR(AA1:AA100)+VAR(DONNEES_SOURCE!BA1:'DONNEES_SOURCE'!BA100)+VAR(DONNEES_SOURCE!BB1:'DONNEES_SOURCE'!BB100)+VAR(AB1:AB100)+VAR(AC16:AC100),4)</f>
        <v>9.2957999999999998</v>
      </c>
    </row>
    <row r="138" spans="1:26" x14ac:dyDescent="0.25">
      <c r="A138" s="136" t="s">
        <v>476</v>
      </c>
      <c r="B138" s="137">
        <f>ROUND(VAR(AH16:AH100),4)</f>
        <v>15.7133</v>
      </c>
    </row>
    <row r="139" spans="1:26" x14ac:dyDescent="0.25">
      <c r="A139" s="136" t="s">
        <v>477</v>
      </c>
      <c r="B139" s="137">
        <f>ROUND(5/(5-1),6)</f>
        <v>1.25</v>
      </c>
    </row>
    <row r="140" spans="1:26" ht="36.75" customHeight="1" x14ac:dyDescent="0.25">
      <c r="A140" s="136" t="s">
        <v>478</v>
      </c>
      <c r="B140" s="137">
        <f>IFERROR(ROUND(1-B137/B138,6),"")</f>
        <v>0.408412</v>
      </c>
    </row>
    <row r="141" spans="1:26" ht="16.5" customHeight="1" x14ac:dyDescent="0.25">
      <c r="A141" s="148" t="s">
        <v>479</v>
      </c>
      <c r="B141" s="149">
        <f>IFERROR(ROUND(B139*B140,3),"")</f>
        <v>0.51100000000000001</v>
      </c>
    </row>
    <row r="142" spans="1:26" ht="42.75" customHeight="1" x14ac:dyDescent="0.25">
      <c r="A142" s="140" t="s">
        <v>435</v>
      </c>
      <c r="B142" s="141" t="str">
        <f>IFERROR(IF(B141&gt;=0.85,"Très fiable (≥0.85) ✓",IF(B141&gt;=0.7,"Fiable (≥0.70) ✓",IF(B141&gt;=0.6,"Limite acceptable (0.60–0.69)",IF(B141&gt;0,"Insuffisant (&lt;0.60)","–")))),"–")</f>
        <v>Insuffisant (&lt;0.60)</v>
      </c>
    </row>
  </sheetData>
  <mergeCells count="11">
    <mergeCell ref="A1:Z1"/>
    <mergeCell ref="A120:Z120"/>
    <mergeCell ref="A136:Z136"/>
    <mergeCell ref="A4:Z4"/>
    <mergeCell ref="A2:Z2"/>
    <mergeCell ref="A104:Z104"/>
    <mergeCell ref="A112:Z112"/>
    <mergeCell ref="A128:Z128"/>
    <mergeCell ref="A103:Z103"/>
    <mergeCell ref="A13:Z13"/>
    <mergeCell ref="A14:Z1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10"/>
  <dimension ref="A1:J20"/>
  <sheetViews>
    <sheetView showGridLines="0" topLeftCell="A9" zoomScaleNormal="100" workbookViewId="0">
      <selection activeCell="F20" sqref="F20"/>
    </sheetView>
  </sheetViews>
  <sheetFormatPr baseColWidth="10" defaultRowHeight="15" x14ac:dyDescent="0.25"/>
  <cols>
    <col min="1" max="1" width="10.7109375" customWidth="1"/>
    <col min="2" max="2" width="40.7109375" customWidth="1"/>
    <col min="3" max="3" width="8.7109375" customWidth="1"/>
    <col min="4" max="4" width="16.7109375" customWidth="1"/>
    <col min="5" max="6" width="12.7109375" customWidth="1"/>
    <col min="7" max="7" width="10.7109375" customWidth="1"/>
    <col min="8" max="9" width="8.7109375" customWidth="1"/>
    <col min="10" max="10" width="35.7109375" customWidth="1"/>
    <col min="11" max="11" width="11.42578125" customWidth="1"/>
  </cols>
  <sheetData>
    <row r="1" spans="1:10" ht="35.1" customHeight="1" x14ac:dyDescent="0.25">
      <c r="A1" s="277" t="s">
        <v>484</v>
      </c>
      <c r="B1" s="254"/>
      <c r="C1" s="254"/>
      <c r="D1" s="254"/>
      <c r="E1" s="254"/>
      <c r="F1" s="254"/>
      <c r="G1" s="254"/>
      <c r="H1" s="254"/>
      <c r="I1" s="254"/>
      <c r="J1" s="254"/>
    </row>
    <row r="3" spans="1:10" ht="24.95" customHeight="1" x14ac:dyDescent="0.25">
      <c r="A3" s="52" t="s">
        <v>338</v>
      </c>
      <c r="B3" s="52" t="s">
        <v>339</v>
      </c>
      <c r="C3" s="52" t="s">
        <v>341</v>
      </c>
      <c r="D3" s="52" t="s">
        <v>379</v>
      </c>
      <c r="E3" s="52" t="s">
        <v>485</v>
      </c>
      <c r="F3" s="52" t="s">
        <v>486</v>
      </c>
      <c r="G3" s="52" t="s">
        <v>487</v>
      </c>
      <c r="H3" s="52" t="s">
        <v>488</v>
      </c>
      <c r="I3" s="52" t="s">
        <v>489</v>
      </c>
    </row>
    <row r="4" spans="1:10" ht="20.100000000000001" customHeight="1" x14ac:dyDescent="0.25">
      <c r="A4" s="55" t="s">
        <v>295</v>
      </c>
      <c r="B4" s="53" t="s">
        <v>491</v>
      </c>
      <c r="C4" s="107" t="s">
        <v>492</v>
      </c>
      <c r="D4" s="53">
        <f>COUNTIFS(DONNEES_SOURCE!$CA$2:$CA$1000,TRUE,DONNEES_SOURCE!$BU$2:$BU$1000,"&lt;&gt;")</f>
        <v>67</v>
      </c>
      <c r="E4" s="53">
        <f>IFERROR(ROUND(AVERAGEIF(DONNEES_SOURCE!$CA$2:$CA$1000,TRUE,DONNEES_SOURCE!$BU$2:$BU$1000),3),"")</f>
        <v>3.399</v>
      </c>
      <c r="F4" s="246">
        <f t="array" ref="F4">IFERROR(ROUND(MEDIAN(IF(DONNEES_SOURCE!$CA$2:$CA$1000=TRUE,DONNEES_SOURCE!$BU$2:$BU$1000)),3),"")</f>
        <v>3.476</v>
      </c>
      <c r="G4" s="246">
        <f t="array" ref="G4">IFERROR(ROUND(STDEV(IF((DONNEES_SOURCE!$CA$2:$CA$1000=TRUE)*ISNUMBER(DONNEES_SOURCE!$BU$2:$BU$1000),DONNEES_SOURCE!$BU$2:$BU$1000)),3),"")</f>
        <v>0.57999999999999996</v>
      </c>
      <c r="H4" s="246">
        <f>IFERROR(_xlfn.MINIFS(DONNEES_SOURCE!$BU$2:$BU$1000,DONNEES_SOURCE!$CA$2:$CA$1000,TRUE),"")</f>
        <v>1.4127000000000001</v>
      </c>
      <c r="I4" s="246">
        <f>IFERROR(_xlfn.MAXIFS(DONNEES_SOURCE!$BU$2:$BU$1000,DONNEES_SOURCE!$CA$2:$CA$1000,TRUE),"")</f>
        <v>4.6189999999999998</v>
      </c>
    </row>
    <row r="5" spans="1:10" ht="20.100000000000001" customHeight="1" x14ac:dyDescent="0.25">
      <c r="A5" s="57" t="s">
        <v>296</v>
      </c>
      <c r="B5" s="56" t="s">
        <v>493</v>
      </c>
      <c r="C5" s="108" t="s">
        <v>494</v>
      </c>
      <c r="D5" s="56">
        <f>COUNTIFS(DONNEES_SOURCE!$CA$2:$CA$1000,TRUE,DONNEES_SOURCE!$BV$2:$BV$1000,"&lt;&gt;")</f>
        <v>67</v>
      </c>
      <c r="E5" s="56">
        <f>IFERROR(ROUND(AVERAGEIF(DONNEES_SOURCE!$CA$2:$CA$1000,TRUE,DONNEES_SOURCE!$BV$2:$BV$1000),3),"")</f>
        <v>4.766</v>
      </c>
      <c r="F5" s="247">
        <f t="array" ref="F5">IFERROR(ROUND(MEDIAN(IF(DONNEES_SOURCE!$CA$2:$CA$1000=TRUE,DONNEES_SOURCE!$BV$2:$BV$1000)),3),"")</f>
        <v>4.6669999999999998</v>
      </c>
      <c r="G5" s="247">
        <f t="array" ref="G5">IFERROR(ROUND(STDEV(IF((DONNEES_SOURCE!$CA$2:$CA$1000=TRUE)*ISNUMBER(DONNEES_SOURCE!$BV$2:$BV$1000),DONNEES_SOURCE!$BV$2:$BV$1000)),3),"")</f>
        <v>0.96199999999999997</v>
      </c>
      <c r="H5" s="247">
        <f>IFERROR(_xlfn.MINIFS(DONNEES_SOURCE!$BV$2:$BV$1000,DONNEES_SOURCE!$CA$2:$CA$1000,TRUE),"")</f>
        <v>2.6667000000000001</v>
      </c>
      <c r="I5" s="247">
        <f>IFERROR(_xlfn.MAXIFS(DONNEES_SOURCE!$BV$2:$BV$1000,DONNEES_SOURCE!$CA$2:$CA$1000,TRUE),"")</f>
        <v>6.6666999999999996</v>
      </c>
    </row>
    <row r="6" spans="1:10" ht="20.100000000000001" customHeight="1" x14ac:dyDescent="0.25">
      <c r="A6" s="60" t="s">
        <v>297</v>
      </c>
      <c r="B6" s="58" t="s">
        <v>495</v>
      </c>
      <c r="C6" s="109" t="s">
        <v>494</v>
      </c>
      <c r="D6" s="58">
        <f>COUNTIFS(DONNEES_SOURCE!$CA$2:$CA$1000,TRUE,DONNEES_SOURCE!$BW$2:$BW$1000,"&lt;&gt;")</f>
        <v>67</v>
      </c>
      <c r="E6" s="58">
        <f>IFERROR(ROUND(AVERAGEIF(DONNEES_SOURCE!$CA$2:$CA$1000,TRUE,DONNEES_SOURCE!$BW$2:$BW$1000),3),"")</f>
        <v>5.5369999999999999</v>
      </c>
      <c r="F6" s="248">
        <f t="array" ref="F6">IFERROR(ROUND(MEDIAN(IF(DONNEES_SOURCE!$CA$2:$CA$1000=TRUE,DONNEES_SOURCE!$BW$2:$BW$1000)),3),"")</f>
        <v>5.5</v>
      </c>
      <c r="G6" s="248">
        <f t="array" ref="G6">IFERROR(ROUND(STDEV(IF((DONNEES_SOURCE!$CA$2:$CA$1000=TRUE)*ISNUMBER(DONNEES_SOURCE!$BW$2:$BW$1000),DONNEES_SOURCE!$BW$2:$BW$1000)),3),"")</f>
        <v>0.88300000000000001</v>
      </c>
      <c r="H6" s="248">
        <f>IFERROR(_xlfn.MINIFS(DONNEES_SOURCE!$BW$2:$BW$1000,DONNEES_SOURCE!$CA$2:$CA$1000,TRUE),"")</f>
        <v>3.5</v>
      </c>
      <c r="I6" s="248">
        <f>IFERROR(_xlfn.MAXIFS(DONNEES_SOURCE!$BW$2:$BW$1000,DONNEES_SOURCE!$CA$2:$CA$1000,TRUE),"")</f>
        <v>7</v>
      </c>
    </row>
    <row r="7" spans="1:10" ht="20.100000000000001" customHeight="1" x14ac:dyDescent="0.25">
      <c r="A7" s="63" t="s">
        <v>298</v>
      </c>
      <c r="B7" s="61" t="s">
        <v>496</v>
      </c>
      <c r="C7" s="110" t="s">
        <v>494</v>
      </c>
      <c r="D7" s="61">
        <f>COUNTIFS(DONNEES_SOURCE!$CA$2:$CA$1000,TRUE,DONNEES_SOURCE!$BX$2:$BX$1000,"&lt;&gt;")</f>
        <v>67</v>
      </c>
      <c r="E7" s="61">
        <f>IFERROR(ROUND(AVERAGEIF(DONNEES_SOURCE!$CA$2:$CA$1000,TRUE,DONNEES_SOURCE!$BX$2:$BX$1000),3),"")</f>
        <v>4.7809999999999997</v>
      </c>
      <c r="F7" s="244">
        <f t="array" ref="F7">IFERROR(ROUND(MEDIAN(IF(DONNEES_SOURCE!$CA$2:$CA$1000=TRUE,DONNEES_SOURCE!$BX$2:$BX$1000)),3),"")</f>
        <v>4.6669999999999998</v>
      </c>
      <c r="G7" s="244">
        <f t="array" ref="G7">IFERROR(ROUND(STDEV(IF((DONNEES_SOURCE!$CA$2:$CA$1000=TRUE)*ISNUMBER(DONNEES_SOURCE!$BX$2:$BX$1000),DONNEES_SOURCE!$BX$2:$BX$1000)),3),"")</f>
        <v>0.879</v>
      </c>
      <c r="H7" s="244">
        <f>IFERROR(_xlfn.MINIFS(DONNEES_SOURCE!$BX$2:$BX$1000,DONNEES_SOURCE!$CA$2:$CA$1000,TRUE),"")</f>
        <v>2.3332999999999999</v>
      </c>
      <c r="I7" s="244">
        <f>IFERROR(_xlfn.MAXIFS(DONNEES_SOURCE!$BX$2:$BX$1000,DONNEES_SOURCE!$CA$2:$CA$1000,TRUE),"")</f>
        <v>7</v>
      </c>
    </row>
    <row r="8" spans="1:10" ht="20.100000000000001" customHeight="1" x14ac:dyDescent="0.25">
      <c r="A8" s="66" t="s">
        <v>299</v>
      </c>
      <c r="B8" s="64" t="s">
        <v>497</v>
      </c>
      <c r="C8" s="111" t="s">
        <v>494</v>
      </c>
      <c r="D8" s="64">
        <f>COUNTIFS(DONNEES_SOURCE!$CA$2:$CA$1000,TRUE,DONNEES_SOURCE!$BY$2:$BY$1000,"&lt;&gt;")</f>
        <v>67</v>
      </c>
      <c r="E8" s="64">
        <f>IFERROR(ROUND(AVERAGEIF(DONNEES_SOURCE!$CA$2:$CA$1000,TRUE,DONNEES_SOURCE!$BY$2:$BY$1000),3),"")</f>
        <v>4.9580000000000002</v>
      </c>
      <c r="F8" s="249">
        <f t="array" ref="F8">IFERROR(ROUND(MEDIAN(IF(DONNEES_SOURCE!$CA$2:$CA$1000=TRUE,DONNEES_SOURCE!$BY$2:$BY$1000)),3),"")</f>
        <v>5</v>
      </c>
      <c r="G8" s="249">
        <f t="array" ref="G8">IFERROR(ROUND(STDEV(IF((DONNEES_SOURCE!$CA$2:$CA$1000=TRUE)*ISNUMBER(DONNEES_SOURCE!$BY$2:$BY$1000),DONNEES_SOURCE!$BY$2:$BY$1000)),3),"")</f>
        <v>0.79300000000000004</v>
      </c>
      <c r="H8" s="249">
        <f>IFERROR(_xlfn.MINIFS(DONNEES_SOURCE!$BY$2:$BY$1000,DONNEES_SOURCE!$CA$2:$CA$1000,TRUE),"")</f>
        <v>3.2</v>
      </c>
      <c r="I8" s="249">
        <f>IFERROR(_xlfn.MAXIFS(DONNEES_SOURCE!$BY$2:$BY$1000,DONNEES_SOURCE!$CA$2:$CA$1000,TRUE),"")</f>
        <v>7</v>
      </c>
    </row>
    <row r="9" spans="1:10" ht="20.100000000000001" customHeight="1" x14ac:dyDescent="0.25">
      <c r="A9" s="68" t="s">
        <v>498</v>
      </c>
      <c r="B9" s="67" t="s">
        <v>499</v>
      </c>
      <c r="C9" s="112" t="s">
        <v>494</v>
      </c>
      <c r="D9" s="67">
        <f t="array" ref="D9">SUMPRODUCT((DONNEES_SOURCE!$CA$2:$CA$1000=TRUE)*(ISNUMBER(VALUE(LEFT(DONNEES_SOURCE!$B$2:$B$1000,1)))))</f>
        <v>67</v>
      </c>
      <c r="E9" s="240">
        <f>AVERAGE(DONNEES_SOURCE!CB:CB)</f>
        <v>5.0149253731343286</v>
      </c>
      <c r="F9" s="240">
        <f>MEDIAN(DONNEES_SOURCE!CB:CB)</f>
        <v>5</v>
      </c>
      <c r="G9" s="67">
        <f t="array" ref="G9">IFERROR(ROUND(STDEV(IF((DONNEES_SOURCE!$CA$2:$CA$1000=TRUE)*ISNUMBER(VALUE(LEFT(DONNEES_SOURCE!$B$2:$B$1000,1))),VALUE(IFERROR(LEFT(DONNEES_SOURCE!$B$2:$B$1000,1),"")),"")),3),"")</f>
        <v>1.343</v>
      </c>
      <c r="H9" s="67">
        <f t="array" ref="H9">IFERROR(MIN(IF((DONNEES_SOURCE!$CA$2:$CA$1000=TRUE)*ISNUMBER(VALUE(LEFT(DONNEES_SOURCE!$B$2:$B$1000,1))),VALUE(IFERROR(LEFT(DONNEES_SOURCE!$B$2:$B$1000,1),9999)))),"")</f>
        <v>2</v>
      </c>
      <c r="I9" s="67">
        <f t="array" ref="I9">IFERROR(MAX(IF((DONNEES_SOURCE!$CA$2:$CA$1000=TRUE)*ISNUMBER(VALUE(LEFT(DONNEES_SOURCE!$B$2:$B$1000,1))),VALUE(IFERROR(LEFT(DONNEES_SOURCE!$B$2:$B$1000,1),0)))),"")</f>
        <v>7</v>
      </c>
    </row>
    <row r="10" spans="1:10" ht="20.100000000000001" customHeight="1" x14ac:dyDescent="0.25">
      <c r="A10" s="70" t="s">
        <v>500</v>
      </c>
      <c r="B10" s="69" t="s">
        <v>501</v>
      </c>
      <c r="C10" s="113" t="s">
        <v>494</v>
      </c>
      <c r="D10" s="69">
        <f>COUNTIFS(DONNEES_SOURCE!$CA$2:$CA$1000,TRUE,DONNEES_SOURCE!$BH$2:$BH$1000,"&lt;&gt;")</f>
        <v>67</v>
      </c>
      <c r="E10" s="69">
        <f>IFERROR(ROUND(AVERAGEIF(DONNEES_SOURCE!$CA$2:$CA$1000,TRUE,DONNEES_SOURCE!$BH$2:$BH$1000),3),"")</f>
        <v>5.1360000000000001</v>
      </c>
      <c r="F10" s="69">
        <f t="array" ref="F10">IFERROR(ROUND(MEDIAN(IF(DONNEES_SOURCE!$CA$2:$CA$1000=TRUE,DONNEES_SOURCE!$BH$2:$BH$1000)),3),"")</f>
        <v>5</v>
      </c>
      <c r="G10" s="69">
        <f t="array" ref="G10">IFERROR(ROUND(STDEV(IF((DONNEES_SOURCE!$CA$2:$CA$1000=TRUE)*ISNUMBER(DONNEES_SOURCE!$BH$2:$BH$1000),DONNEES_SOURCE!$BH$2:$BH$1000)),3),"")</f>
        <v>1.3109999999999999</v>
      </c>
      <c r="H10" s="69">
        <f>IFERROR(_xlfn.MINIFS(DONNEES_SOURCE!$BH$2:$BH$1000,DONNEES_SOURCE!$CA$2:$CA$1000,TRUE),"")</f>
        <v>1</v>
      </c>
      <c r="I10" s="69">
        <f>IFERROR(_xlfn.MAXIFS(DONNEES_SOURCE!$BH$2:$BH$1000,DONNEES_SOURCE!$CA$2:$CA$1000,TRUE),"")</f>
        <v>7</v>
      </c>
    </row>
    <row r="12" spans="1:10" ht="27.95" customHeight="1" x14ac:dyDescent="0.25">
      <c r="A12" s="277" t="s">
        <v>502</v>
      </c>
      <c r="B12" s="254"/>
      <c r="C12" s="254"/>
      <c r="D12" s="254"/>
      <c r="E12" s="254"/>
      <c r="F12" s="254"/>
      <c r="G12" s="254"/>
      <c r="H12" s="254"/>
      <c r="I12" s="254"/>
      <c r="J12" s="254"/>
    </row>
    <row r="13" spans="1:10" ht="30" customHeight="1" x14ac:dyDescent="0.25">
      <c r="A13" s="286" t="s">
        <v>503</v>
      </c>
      <c r="B13" s="254"/>
      <c r="C13" s="254"/>
      <c r="D13" s="254"/>
      <c r="E13" s="254"/>
      <c r="F13" s="254"/>
      <c r="G13" s="254"/>
      <c r="H13" s="254"/>
      <c r="I13" s="254"/>
      <c r="J13" s="254"/>
    </row>
    <row r="14" spans="1:10" ht="24.95" customHeight="1" x14ac:dyDescent="0.25">
      <c r="A14" s="52" t="s">
        <v>338</v>
      </c>
      <c r="B14" s="52" t="s">
        <v>504</v>
      </c>
      <c r="C14" s="52" t="s">
        <v>340</v>
      </c>
      <c r="D14" s="52" t="s">
        <v>505</v>
      </c>
      <c r="E14" s="52" t="s">
        <v>506</v>
      </c>
      <c r="F14" s="52" t="s">
        <v>507</v>
      </c>
      <c r="G14" s="153"/>
      <c r="H14" s="154"/>
      <c r="I14" s="154"/>
      <c r="J14" s="154"/>
    </row>
    <row r="15" spans="1:10" ht="20.100000000000001" customHeight="1" x14ac:dyDescent="0.25">
      <c r="A15" s="55" t="s">
        <v>295</v>
      </c>
      <c r="B15" s="53" t="s">
        <v>508</v>
      </c>
      <c r="C15" s="73">
        <v>21</v>
      </c>
      <c r="D15" s="150">
        <f>'Alpha de cronbach'!C6</f>
        <v>0.89800000000000002</v>
      </c>
      <c r="E15" s="73" t="s">
        <v>509</v>
      </c>
      <c r="F15" s="53" t="str">
        <f>IF(ISNUMBER(D15),IF(D15&gt;=0.85,"OK Excellent",IF(D15&gt;=0.7,"OK Fiable","Limite/Faible")),"Voir fichier")</f>
        <v>OK Excellent</v>
      </c>
      <c r="G15" s="154"/>
      <c r="H15" s="154"/>
      <c r="I15" s="154"/>
      <c r="J15" s="154"/>
    </row>
    <row r="16" spans="1:10" ht="20.100000000000001" customHeight="1" x14ac:dyDescent="0.25">
      <c r="A16" s="70" t="s">
        <v>296</v>
      </c>
      <c r="B16" s="69" t="s">
        <v>510</v>
      </c>
      <c r="C16" s="74">
        <v>3</v>
      </c>
      <c r="D16" s="151">
        <f>'Alpha de cronbach'!C7</f>
        <v>0.66300000000000003</v>
      </c>
      <c r="E16" s="74" t="s">
        <v>511</v>
      </c>
      <c r="F16" s="53" t="str">
        <f>IF(ISNUMBER(D16),IF(D16&gt;=0.85,"OK Excellent",IF(D16&gt;=0.7,"OK Fiable","Limite/Faible")),"Voir fichier")</f>
        <v>Limite/Faible</v>
      </c>
      <c r="G16" s="154" t="s">
        <v>512</v>
      </c>
      <c r="H16" s="154"/>
      <c r="I16" s="154"/>
      <c r="J16" s="154"/>
    </row>
    <row r="17" spans="1:10" ht="20.100000000000001" customHeight="1" x14ac:dyDescent="0.25">
      <c r="A17" s="55" t="s">
        <v>297</v>
      </c>
      <c r="B17" s="53" t="s">
        <v>513</v>
      </c>
      <c r="C17" s="73">
        <v>4</v>
      </c>
      <c r="D17" s="152">
        <f>'Alpha de cronbach'!C8</f>
        <v>0.316</v>
      </c>
      <c r="E17" s="73" t="s">
        <v>511</v>
      </c>
      <c r="F17" s="53" t="str">
        <f>IF(ISNUMBER(D17),IF(D17&gt;=0.85,"OK Excellent",IF(D17&gt;=0.7,"OK Fiable","Limite/Faible")),"Voir fichier")</f>
        <v>Limite/Faible</v>
      </c>
      <c r="G17" s="154" t="s">
        <v>514</v>
      </c>
      <c r="H17" s="154"/>
      <c r="I17" s="154"/>
      <c r="J17" s="154"/>
    </row>
    <row r="18" spans="1:10" ht="20.100000000000001" customHeight="1" x14ac:dyDescent="0.25">
      <c r="A18" s="70" t="s">
        <v>298</v>
      </c>
      <c r="B18" s="69" t="s">
        <v>515</v>
      </c>
      <c r="C18" s="74">
        <v>3</v>
      </c>
      <c r="D18" s="151">
        <f>'Alpha de cronbach'!C9</f>
        <v>0.45200000000000001</v>
      </c>
      <c r="E18" s="74" t="s">
        <v>511</v>
      </c>
      <c r="F18" s="53" t="str">
        <f>IF(ISNUMBER(D18),IF(D18&gt;=0.85,"OK Excellent",IF(D18&gt;=0.7,"OK Fiable","Limite/Faible")),"Voir fichier")</f>
        <v>Limite/Faible</v>
      </c>
      <c r="G18" s="154" t="s">
        <v>514</v>
      </c>
      <c r="H18" s="154"/>
      <c r="I18" s="154"/>
      <c r="J18" s="154"/>
    </row>
    <row r="19" spans="1:10" ht="20.100000000000001" customHeight="1" x14ac:dyDescent="0.25">
      <c r="A19" s="55" t="s">
        <v>299</v>
      </c>
      <c r="B19" s="53" t="s">
        <v>516</v>
      </c>
      <c r="C19" s="73">
        <v>5</v>
      </c>
      <c r="D19" s="152">
        <f>'Alpha de cronbach'!C10</f>
        <v>0.51100000000000001</v>
      </c>
      <c r="E19" s="73" t="s">
        <v>511</v>
      </c>
      <c r="F19" s="53" t="str">
        <f>IF(ISNUMBER(D19),IF(D19&gt;=0.85,"OK Excellent",IF(D19&gt;=0.7,"OK Fiable","Limite/Faible")),"Voir fichier")</f>
        <v>Limite/Faible</v>
      </c>
      <c r="G19" s="154" t="s">
        <v>514</v>
      </c>
      <c r="H19" s="154"/>
      <c r="I19" s="154"/>
      <c r="J19" s="154"/>
    </row>
    <row r="20" spans="1:10" x14ac:dyDescent="0.25">
      <c r="G20" s="154"/>
    </row>
  </sheetData>
  <mergeCells count="3">
    <mergeCell ref="A12:J12"/>
    <mergeCell ref="A1:J1"/>
    <mergeCell ref="A13:J13"/>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1"/>
  <dimension ref="A1:V1001"/>
  <sheetViews>
    <sheetView topLeftCell="A13" zoomScale="85" zoomScaleNormal="85" workbookViewId="0">
      <selection activeCell="C21" sqref="C21:D27"/>
    </sheetView>
  </sheetViews>
  <sheetFormatPr baseColWidth="10" defaultRowHeight="15" x14ac:dyDescent="0.25"/>
  <cols>
    <col min="1" max="1" width="22.7109375" customWidth="1"/>
    <col min="2" max="2" width="18.7109375" customWidth="1"/>
    <col min="3" max="4" width="14.7109375" customWidth="1"/>
    <col min="5" max="5" width="16.7109375" customWidth="1"/>
    <col min="6" max="6" width="41.5703125" bestFit="1" customWidth="1"/>
    <col min="7" max="7" width="14.7109375" customWidth="1"/>
    <col min="8" max="8" width="12.7109375" customWidth="1"/>
    <col min="9" max="18" width="11.42578125" customWidth="1"/>
  </cols>
  <sheetData>
    <row r="1" spans="1:22" ht="35.1" customHeight="1" x14ac:dyDescent="0.25">
      <c r="A1" s="277" t="s">
        <v>517</v>
      </c>
      <c r="B1" s="254"/>
      <c r="C1" s="254"/>
      <c r="D1" s="254"/>
      <c r="E1" s="254"/>
      <c r="F1" s="254"/>
      <c r="G1" s="254"/>
      <c r="H1" s="254"/>
      <c r="I1" s="254"/>
      <c r="J1" s="254"/>
      <c r="P1" t="s">
        <v>296</v>
      </c>
      <c r="Q1" t="s">
        <v>645</v>
      </c>
      <c r="R1" t="s">
        <v>646</v>
      </c>
      <c r="S1" t="s">
        <v>531</v>
      </c>
      <c r="T1" t="s">
        <v>652</v>
      </c>
      <c r="U1" t="s">
        <v>653</v>
      </c>
    </row>
    <row r="2" spans="1:22" ht="24.95" customHeight="1" x14ac:dyDescent="0.25">
      <c r="A2" s="288" t="s">
        <v>518</v>
      </c>
      <c r="B2" s="254"/>
      <c r="C2" s="254"/>
      <c r="D2" s="254"/>
      <c r="E2" s="254"/>
      <c r="F2" s="254"/>
      <c r="G2" s="254"/>
      <c r="H2" s="254"/>
      <c r="I2" s="254"/>
      <c r="J2" s="254"/>
      <c r="P2">
        <f>IF(DONNEES_SOURCE!$CA2=TRUE,DONNEES_SOURCE!$BV2,"")</f>
        <v>5.3333000000000004</v>
      </c>
      <c r="Q2">
        <f>IF(DONNEES_SOURCE!$CA2=TRUE,IFERROR(MATCH(DONNEES_SOURCE!$B2,{"2. Très rarement (Moins d'une fois par mois)","3. Rarement (1 à 3 fois par mois)","4. Parfois (Environ une fois par semaine)","5. Régulièrement (Plusieurs fois par semaine)","6. Quotidiennement (Une fois par jour)","7. Très fréquemment (Plusieurs fois par jour)"},0)+1,""),"")</f>
        <v>3</v>
      </c>
      <c r="R2">
        <f>IF(DONNEES_SOURCE!$CA2=TRUE,DONNEES_SOURCE!$BW2,"")</f>
        <v>6.25</v>
      </c>
      <c r="S2">
        <f>IF(DONNEES_SOURCE!$CA2=TRUE,DONNEES_SOURCE!$AU2,"")</f>
        <v>4</v>
      </c>
      <c r="T2">
        <f>IF(DONNEES_SOURCE!$CA2=TRUE,DONNEES_SOURCE!$BW2,"")</f>
        <v>6.25</v>
      </c>
      <c r="U2">
        <f>IF(DONNEES_SOURCE!$CA2=TRUE,IFERROR(MATCH(DONNEES_SOURCE!$B2,{"2. Très rarement (Moins d'une fois par mois)","3. Rarement (1 à 3 fois par mois)","4. Parfois (Environ une fois par semaine)","5. Régulièrement (Plusieurs fois par semaine)","6. Quotidiennement (Une fois par jour)","7. Très fréquemment (Plusieurs fois par jour)"},0)+1,""),"")</f>
        <v>3</v>
      </c>
    </row>
    <row r="3" spans="1:22" x14ac:dyDescent="0.25">
      <c r="P3">
        <f>IF(DONNEES_SOURCE!$CA3=TRUE,DONNEES_SOURCE!$BV3,"")</f>
        <v>5</v>
      </c>
      <c r="Q3">
        <f>IF(DONNEES_SOURCE!$CA3=TRUE,IFERROR(MATCH(DONNEES_SOURCE!$B3,{"2. Très rarement (Moins d'une fois par mois)","3. Rarement (1 à 3 fois par mois)","4. Parfois (Environ une fois par semaine)","5. Régulièrement (Plusieurs fois par semaine)","6. Quotidiennement (Une fois par jour)","7. Très fréquemment (Plusieurs fois par jour)"},0)+1,""),"")</f>
        <v>5</v>
      </c>
      <c r="R3">
        <f>IF(DONNEES_SOURCE!$CA3=TRUE,DONNEES_SOURCE!$BW3,"")</f>
        <v>6.25</v>
      </c>
      <c r="S3">
        <f>IF(DONNEES_SOURCE!$CA3=TRUE,DONNEES_SOURCE!$AU3,"")</f>
        <v>4</v>
      </c>
      <c r="T3">
        <f>IF(DONNEES_SOURCE!$CA3=TRUE,DONNEES_SOURCE!$BW3,"")</f>
        <v>6.25</v>
      </c>
      <c r="U3">
        <f>IF(DONNEES_SOURCE!$CA3=TRUE,IFERROR(MATCH(DONNEES_SOURCE!$B3,{"2. Très rarement (Moins d'une fois par mois)","3. Rarement (1 à 3 fois par mois)","4. Parfois (Environ une fois par semaine)","5. Régulièrement (Plusieurs fois par semaine)","6. Quotidiennement (Une fois par jour)","7. Très fréquemment (Plusieurs fois par jour)"},0)+1,""),"")</f>
        <v>5</v>
      </c>
    </row>
    <row r="4" spans="1:22" ht="24.95" customHeight="1" x14ac:dyDescent="0.25">
      <c r="A4" s="287" t="s">
        <v>519</v>
      </c>
      <c r="B4" s="254"/>
      <c r="C4" s="254"/>
      <c r="D4" s="254"/>
      <c r="E4" s="254"/>
      <c r="F4" s="254"/>
      <c r="G4" s="254"/>
      <c r="H4" s="254"/>
      <c r="I4" s="254"/>
      <c r="J4" s="254"/>
      <c r="P4">
        <f>IF(DONNEES_SOURCE!$CA4=TRUE,DONNEES_SOURCE!$BV4,"")</f>
        <v>3</v>
      </c>
      <c r="Q4">
        <f>IF(DONNEES_SOURCE!$CA4=TRUE,IFERROR(MATCH(DONNEES_SOURCE!$B4,{"2. Très rarement (Moins d'une fois par mois)","3. Rarement (1 à 3 fois par mois)","4. Parfois (Environ une fois par semaine)","5. Régulièrement (Plusieurs fois par semaine)","6. Quotidiennement (Une fois par jour)","7. Très fréquemment (Plusieurs fois par jour)"},0)+1,""),"")</f>
        <v>5</v>
      </c>
      <c r="R4">
        <f>IF(DONNEES_SOURCE!$CA4=TRUE,DONNEES_SOURCE!$BW4,"")</f>
        <v>3.75</v>
      </c>
      <c r="S4">
        <f>IF(DONNEES_SOURCE!$CA4=TRUE,DONNEES_SOURCE!$AU4,"")</f>
        <v>5</v>
      </c>
      <c r="T4">
        <f>IF(DONNEES_SOURCE!$CA4=TRUE,DONNEES_SOURCE!$BW4,"")</f>
        <v>3.75</v>
      </c>
      <c r="U4">
        <f>IF(DONNEES_SOURCE!$CA4=TRUE,IFERROR(MATCH(DONNEES_SOURCE!$B4,{"2. Très rarement (Moins d'une fois par mois)","3. Rarement (1 à 3 fois par mois)","4. Parfois (Environ une fois par semaine)","5. Régulièrement (Plusieurs fois par semaine)","6. Quotidiennement (Une fois par jour)","7. Très fréquemment (Plusieurs fois par jour)"},0)+1,""),"")</f>
        <v>5</v>
      </c>
    </row>
    <row r="5" spans="1:22" ht="21.95" customHeight="1" x14ac:dyDescent="0.25">
      <c r="A5" s="52" t="s">
        <v>520</v>
      </c>
      <c r="B5" s="52" t="s">
        <v>521</v>
      </c>
      <c r="C5" s="52" t="s">
        <v>522</v>
      </c>
      <c r="D5" s="52" t="s">
        <v>523</v>
      </c>
      <c r="E5" s="52" t="s">
        <v>524</v>
      </c>
      <c r="F5" s="52" t="s">
        <v>525</v>
      </c>
      <c r="G5" s="52" t="s">
        <v>526</v>
      </c>
      <c r="H5" s="52" t="s">
        <v>527</v>
      </c>
      <c r="P5">
        <f>IF(DONNEES_SOURCE!$CA5=TRUE,DONNEES_SOURCE!$BV5,"")</f>
        <v>5.3333000000000004</v>
      </c>
      <c r="Q5">
        <f>IF(DONNEES_SOURCE!$CA5=TRUE,IFERROR(MATCH(DONNEES_SOURCE!$B5,{"2. Très rarement (Moins d'une fois par mois)","3. Rarement (1 à 3 fois par mois)","4. Parfois (Environ une fois par semaine)","5. Régulièrement (Plusieurs fois par semaine)","6. Quotidiennement (Une fois par jour)","7. Très fréquemment (Plusieurs fois par jour)"},0)+1,""),"")</f>
        <v>7</v>
      </c>
      <c r="R5">
        <f>IF(DONNEES_SOURCE!$CA5=TRUE,DONNEES_SOURCE!$BW5,"")</f>
        <v>5.5</v>
      </c>
      <c r="S5">
        <f>IF(DONNEES_SOURCE!$CA5=TRUE,DONNEES_SOURCE!$AU5,"")</f>
        <v>4</v>
      </c>
      <c r="T5">
        <f>IF(DONNEES_SOURCE!$CA5=TRUE,DONNEES_SOURCE!$BW5,"")</f>
        <v>5.5</v>
      </c>
      <c r="U5">
        <f>IF(DONNEES_SOURCE!$CA5=TRUE,IFERROR(MATCH(DONNEES_SOURCE!$B5,{"2. Très rarement (Moins d'une fois par mois)","3. Rarement (1 à 3 fois par mois)","4. Parfois (Environ une fois par semaine)","5. Régulièrement (Plusieurs fois par semaine)","6. Quotidiennement (Une fois par jour)","7. Très fréquemment (Plusieurs fois par jour)"},0)+1,""),"")</f>
        <v>7</v>
      </c>
    </row>
    <row r="6" spans="1:22" s="53" customFormat="1" ht="18" customHeight="1" x14ac:dyDescent="0.25">
      <c r="A6" s="53" t="s">
        <v>528</v>
      </c>
      <c r="B6" s="53" t="s">
        <v>295</v>
      </c>
      <c r="C6" s="53" t="s">
        <v>498</v>
      </c>
      <c r="D6" s="53">
        <f>COUNTIFS(DONNEES_SOURCE!$CA$2:$CA$1000,TRUE,DONNEES_SOURCE!$BU$2:$BU$1000,"&lt;&gt;",DONNEES_SOURCE!$B$2:$B$1000,"&lt;&gt;")</f>
        <v>67</v>
      </c>
      <c r="E6" s="53">
        <f>IFERROR(ROUND(AVERAGEIF(DONNEES_SOURCE!$CA$2:$CA$1000,TRUE,DONNEES_SOURCE!$BU$2:$BU$1000),3),"")</f>
        <v>3.399</v>
      </c>
      <c r="F6" s="53">
        <f t="array" ref="F6">IFERROR(ROUND(SUMPRODUCT((DONNEES_SOURCE!$CA$2:$CA$1000=TRUE)*ISNUMBER(VALUE(LEFT(DONNEES_SOURCE!$B$2:$B$1000,1)))*VALUE(IFERROR(LEFT(_xlfn.SINGLE(DONNEES_SOURCE!$B$2:$B$1000),1),0)))/SUMPRODUCT((DONNEES_SOURCE!$CA$2:$CA$1000=TRUE)*ISNUMBER(VALUE(LEFT(DONNEES_SOURCE!$B$2:$B$1000,1)))),3),"")</f>
        <v>5</v>
      </c>
      <c r="G6" s="53">
        <f t="array" ref="G6">IFERROR(ROUND(STDEV(IF(DONNEES_SOURCE!$CA$2:$CA$1000=TRUE,DONNEES_SOURCE!$BU$2:$BU$1000)),3),"")</f>
        <v>0.57999999999999996</v>
      </c>
      <c r="H6" s="53">
        <f t="array" ref="H6">IFERROR(ROUND(STDEV(IF((DONNEES_SOURCE!$CA$2:$CA$1000=TRUE)*ISNUMBER(VALUE(LEFT(DONNEES_SOURCE!$B$2:$B$1000,1))),VALUE(IFERROR(LEFT(DONNEES_SOURCE!$B$2:$B$1000,1),"")),"")),3),"")</f>
        <v>1.343</v>
      </c>
      <c r="I6"/>
      <c r="J6"/>
      <c r="K6"/>
      <c r="L6"/>
      <c r="M6"/>
      <c r="N6"/>
      <c r="O6"/>
      <c r="P6">
        <f>IF(DONNEES_SOURCE!$CA6=TRUE,DONNEES_SOURCE!$BV6,"")</f>
        <v>5.6666999999999996</v>
      </c>
      <c r="Q6">
        <f>IF(DONNEES_SOURCE!$CA6=TRUE,IFERROR(MATCH(DONNEES_SOURCE!$B6,{"2. Très rarement (Moins d'une fois par mois)","3. Rarement (1 à 3 fois par mois)","4. Parfois (Environ une fois par semaine)","5. Régulièrement (Plusieurs fois par semaine)","6. Quotidiennement (Une fois par jour)","7. Très fréquemment (Plusieurs fois par jour)"},0)+1,""),"")</f>
        <v>5</v>
      </c>
      <c r="R6">
        <f>IF(DONNEES_SOURCE!$CA6=TRUE,DONNEES_SOURCE!$BW6,"")</f>
        <v>5.5</v>
      </c>
      <c r="S6">
        <f>IF(DONNEES_SOURCE!$CA6=TRUE,DONNEES_SOURCE!$AU6,"")</f>
        <v>6</v>
      </c>
      <c r="T6">
        <f>IF(DONNEES_SOURCE!$CA6=TRUE,DONNEES_SOURCE!$BW6,"")</f>
        <v>5.5</v>
      </c>
      <c r="U6">
        <f>IF(DONNEES_SOURCE!$CA6=TRUE,IFERROR(MATCH(DONNEES_SOURCE!$B6,{"2. Très rarement (Moins d'une fois par mois)","3. Rarement (1 à 3 fois par mois)","4. Parfois (Environ une fois par semaine)","5. Régulièrement (Plusieurs fois par semaine)","6. Quotidiennement (Une fois par jour)","7. Très fréquemment (Plusieurs fois par jour)"},0)+1,""),"")</f>
        <v>5</v>
      </c>
      <c r="V6"/>
    </row>
    <row r="7" spans="1:22" s="69" customFormat="1" ht="18" customHeight="1" x14ac:dyDescent="0.25">
      <c r="A7" s="69" t="s">
        <v>529</v>
      </c>
      <c r="B7" s="69" t="s">
        <v>296</v>
      </c>
      <c r="C7" s="69" t="s">
        <v>498</v>
      </c>
      <c r="D7" s="69">
        <f>COUNTIFS(DONNEES_SOURCE!$CA$2:$CA$1000,TRUE,DONNEES_SOURCE!$BV$2:$BV$1000,"&lt;&gt;",DONNEES_SOURCE!$B$2:$B$1000,"&lt;&gt;")</f>
        <v>67</v>
      </c>
      <c r="E7" s="69">
        <f>IFERROR(ROUND(AVERAGEIF(DONNEES_SOURCE!$CA$2:$CA$1000,TRUE,DONNEES_SOURCE!$BV$2:$BV$1000),3),"")</f>
        <v>4.766</v>
      </c>
      <c r="F7" s="69">
        <f t="array" ref="F7">IFERROR(ROUND(SUMPRODUCT((DONNEES_SOURCE!$CA$2:$CA$1000=TRUE)*ISNUMBER(VALUE(LEFT(DONNEES_SOURCE!$B$2:$B$1000,1)))*VALUE(IFERROR(LEFT(_xlfn.SINGLE(DONNEES_SOURCE!$B$2:$B$1000),1),0)))/SUMPRODUCT((DONNEES_SOURCE!$CA$2:$CA$1000=TRUE)*ISNUMBER(VALUE(LEFT(DONNEES_SOURCE!$B$2:$B$1000,1)))),3),"")</f>
        <v>5</v>
      </c>
      <c r="G7" s="69">
        <f t="array" ref="G7">IFERROR(ROUND(STDEV(IF(DONNEES_SOURCE!$CA$2:$CA$1000=TRUE,DONNEES_SOURCE!$BV$2:$BV$1000)),3),"")</f>
        <v>0.96199999999999997</v>
      </c>
      <c r="H7" s="69">
        <f t="array" ref="H7">IFERROR(ROUND(STDEV(IF((DONNEES_SOURCE!$CA$2:$CA$1000=TRUE)*ISNUMBER(VALUE(LEFT(DONNEES_SOURCE!$B$2:$B$1000,1))),VALUE(IFERROR(LEFT(DONNEES_SOURCE!$B$2:$B$1000,1),"")),"")),3),"")</f>
        <v>1.343</v>
      </c>
      <c r="I7"/>
      <c r="J7"/>
      <c r="K7"/>
      <c r="L7"/>
      <c r="M7"/>
      <c r="N7"/>
      <c r="O7"/>
      <c r="P7">
        <f>IF(DONNEES_SOURCE!$CA7=TRUE,DONNEES_SOURCE!$BV7,"")</f>
        <v>4.3333000000000004</v>
      </c>
      <c r="Q7">
        <f>IF(DONNEES_SOURCE!$CA7=TRUE,IFERROR(MATCH(DONNEES_SOURCE!$B7,{"2. Très rarement (Moins d'une fois par mois)","3. Rarement (1 à 3 fois par mois)","4. Parfois (Environ une fois par semaine)","5. Régulièrement (Plusieurs fois par semaine)","6. Quotidiennement (Une fois par jour)","7. Très fréquemment (Plusieurs fois par jour)"},0)+1,""),"")</f>
        <v>5</v>
      </c>
      <c r="R7">
        <f>IF(DONNEES_SOURCE!$CA7=TRUE,DONNEES_SOURCE!$BW7,"")</f>
        <v>4</v>
      </c>
      <c r="S7">
        <f>IF(DONNEES_SOURCE!$CA7=TRUE,DONNEES_SOURCE!$AU7,"")</f>
        <v>4</v>
      </c>
      <c r="T7">
        <f>IF(DONNEES_SOURCE!$CA7=TRUE,DONNEES_SOURCE!$BW7,"")</f>
        <v>4</v>
      </c>
      <c r="U7">
        <f>IF(DONNEES_SOURCE!$CA7=TRUE,IFERROR(MATCH(DONNEES_SOURCE!$B7,{"2. Très rarement (Moins d'une fois par mois)","3. Rarement (1 à 3 fois par mois)","4. Parfois (Environ une fois par semaine)","5. Régulièrement (Plusieurs fois par semaine)","6. Quotidiennement (Une fois par jour)","7. Très fréquemment (Plusieurs fois par jour)"},0)+1,""),"")</f>
        <v>5</v>
      </c>
      <c r="V7"/>
    </row>
    <row r="8" spans="1:22" s="53" customFormat="1" ht="18" customHeight="1" x14ac:dyDescent="0.25">
      <c r="A8" s="53" t="s">
        <v>530</v>
      </c>
      <c r="B8" s="53" t="s">
        <v>297</v>
      </c>
      <c r="C8" s="53" t="s">
        <v>531</v>
      </c>
      <c r="D8" s="53">
        <f>COUNTIFS(DONNEES_SOURCE!$CA$2:$CA$1000,TRUE,DONNEES_SOURCE!$BW$2:$BW$1000,"&lt;&gt;",DONNEES_SOURCE!$AU$2:$AU$1000,"&lt;&gt;")</f>
        <v>67</v>
      </c>
      <c r="E8" s="53">
        <f>IFERROR(ROUND(AVERAGEIF(DONNEES_SOURCE!$CA$2:$CA$1000,TRUE,DONNEES_SOURCE!$BW$2:$BW$1000),3),"")</f>
        <v>5.5369999999999999</v>
      </c>
      <c r="F8" s="53">
        <f>IFERROR(ROUND(AVERAGEIF(DONNEES_SOURCE!$CA$2:$CA$1000,TRUE,DONNEES_SOURCE!$AU$2:$AU$1000),3),"")</f>
        <v>4.2690000000000001</v>
      </c>
      <c r="G8" s="53">
        <f t="array" ref="G8">IFERROR(ROUND(STDEV(IF(DONNEES_SOURCE!$CA$2:$CA$1000=TRUE,DONNEES_SOURCE!$BW$2:$BW$1000)),3),"")</f>
        <v>0.88300000000000001</v>
      </c>
      <c r="H8" s="53">
        <f t="array" ref="H8">IFERROR(ROUND(STDEV(IF(DONNEES_SOURCE!$CA$2:$CA$1000=TRUE,DONNEES_SOURCE!$AU$2:$AU$1000)),3),"")</f>
        <v>1.72</v>
      </c>
      <c r="I8"/>
      <c r="J8"/>
      <c r="K8"/>
      <c r="L8"/>
      <c r="M8"/>
      <c r="N8"/>
      <c r="O8"/>
      <c r="P8">
        <f>IF(DONNEES_SOURCE!$CA8=TRUE,DONNEES_SOURCE!$BV8,"")</f>
        <v>3.6667000000000001</v>
      </c>
      <c r="Q8">
        <f>IF(DONNEES_SOURCE!$CA8=TRUE,IFERROR(MATCH(DONNEES_SOURCE!$B8,{"2. Très rarement (Moins d'une fois par mois)","3. Rarement (1 à 3 fois par mois)","4. Parfois (Environ une fois par semaine)","5. Régulièrement (Plusieurs fois par semaine)","6. Quotidiennement (Une fois par jour)","7. Très fréquemment (Plusieurs fois par jour)"},0)+1,""),"")</f>
        <v>3</v>
      </c>
      <c r="R8">
        <f>IF(DONNEES_SOURCE!$CA8=TRUE,DONNEES_SOURCE!$BW8,"")</f>
        <v>5.25</v>
      </c>
      <c r="S8">
        <f>IF(DONNEES_SOURCE!$CA8=TRUE,DONNEES_SOURCE!$AU8,"")</f>
        <v>6</v>
      </c>
      <c r="T8">
        <f>IF(DONNEES_SOURCE!$CA8=TRUE,DONNEES_SOURCE!$BW8,"")</f>
        <v>5.25</v>
      </c>
      <c r="U8">
        <f>IF(DONNEES_SOURCE!$CA8=TRUE,IFERROR(MATCH(DONNEES_SOURCE!$B8,{"2. Très rarement (Moins d'une fois par mois)","3. Rarement (1 à 3 fois par mois)","4. Parfois (Environ une fois par semaine)","5. Régulièrement (Plusieurs fois par semaine)","6. Quotidiennement (Une fois par jour)","7. Très fréquemment (Plusieurs fois par jour)"},0)+1,""),"")</f>
        <v>3</v>
      </c>
      <c r="V8"/>
    </row>
    <row r="9" spans="1:22" s="69" customFormat="1" ht="18" customHeight="1" x14ac:dyDescent="0.25">
      <c r="A9" s="69" t="s">
        <v>654</v>
      </c>
      <c r="B9" s="69" t="s">
        <v>297</v>
      </c>
      <c r="C9" s="69" t="s">
        <v>498</v>
      </c>
      <c r="D9" s="69">
        <f>COUNTIFS(DONNEES_SOURCE!$CA$2:$CA$1000,TRUE,DONNEES_SOURCE!$BW$2:$BW$1000,"&lt;&gt;",DONNEES_SOURCE!$B$2:$B$1000,"&lt;&gt;")</f>
        <v>67</v>
      </c>
      <c r="E9" s="69">
        <f>IFERROR(ROUND(AVERAGEIF(DONNEES_SOURCE!$CA$2:$CA$1000,TRUE,DONNEES_SOURCE!$BW$2:$BW$1000),3),"")</f>
        <v>5.5369999999999999</v>
      </c>
      <c r="F9" s="69">
        <f t="array" ref="F9">IFERROR(ROUND(SUMPRODUCT((DONNEES_SOURCE!$CA$2:$CA$1000=TRUE)*ISNUMBER(VALUE(LEFT(DONNEES_SOURCE!$B$2:$B$1000,1)))*VALUE(IFERROR(LEFT(_xlfn.SINGLE(DONNEES_SOURCE!$B$2:$B$1000),1),0)))/SUMPRODUCT((DONNEES_SOURCE!$CA$2:$CA$1000=TRUE)*ISNUMBER(VALUE(LEFT(DONNEES_SOURCE!$B$2:$B$1000,1)))),3),"")</f>
        <v>3</v>
      </c>
      <c r="G9" s="69">
        <f t="array" ref="G9">IFERROR(ROUND(STDEV(IF(DONNEES_SOURCE!$CA$2:$CA$1000=TRUE,DONNEES_SOURCE!$BW$2:$BW$1000)),3),"")</f>
        <v>0.88300000000000001</v>
      </c>
      <c r="H9" s="69">
        <f t="array" ref="H9">IFERROR(ROUND(STDEV(IF((DONNEES_SOURCE!$CA$2:$CA$1000=TRUE)*ISNUMBER(VALUE(LEFT(DONNEES_SOURCE!$B$2:$B$1000,1))),VALUE(IFERROR(LEFT(DONNEES_SOURCE!$B$2:$B$1000,1),"")),"")),3),"")</f>
        <v>1.343</v>
      </c>
      <c r="I9"/>
      <c r="J9"/>
      <c r="K9"/>
      <c r="L9"/>
      <c r="M9"/>
      <c r="N9"/>
      <c r="O9"/>
      <c r="P9">
        <f>IF(DONNEES_SOURCE!$CA9=TRUE,DONNEES_SOURCE!$BV9,"")</f>
        <v>5.3333000000000004</v>
      </c>
      <c r="Q9">
        <f>IF(DONNEES_SOURCE!$CA9=TRUE,IFERROR(MATCH(DONNEES_SOURCE!$B9,{"2. Très rarement (Moins d'une fois par mois)","3. Rarement (1 à 3 fois par mois)","4. Parfois (Environ une fois par semaine)","5. Régulièrement (Plusieurs fois par semaine)","6. Quotidiennement (Une fois par jour)","7. Très fréquemment (Plusieurs fois par jour)"},0)+1,""),"")</f>
        <v>3</v>
      </c>
      <c r="R9">
        <f>IF(DONNEES_SOURCE!$CA9=TRUE,DONNEES_SOURCE!$BW9,"")</f>
        <v>6</v>
      </c>
      <c r="S9">
        <f>IF(DONNEES_SOURCE!$CA9=TRUE,DONNEES_SOURCE!$AU9,"")</f>
        <v>6</v>
      </c>
      <c r="T9">
        <f>IF(DONNEES_SOURCE!$CA9=TRUE,DONNEES_SOURCE!$BW9,"")</f>
        <v>6</v>
      </c>
      <c r="U9">
        <f>IF(DONNEES_SOURCE!$CA9=TRUE,IFERROR(MATCH(DONNEES_SOURCE!$B9,{"2. Très rarement (Moins d'une fois par mois)","3. Rarement (1 à 3 fois par mois)","4. Parfois (Environ une fois par semaine)","5. Régulièrement (Plusieurs fois par semaine)","6. Quotidiennement (Une fois par jour)","7. Très fréquemment (Plusieurs fois par jour)"},0)+1,""),"")</f>
        <v>3</v>
      </c>
      <c r="V9"/>
    </row>
    <row r="10" spans="1:22" s="53" customFormat="1" ht="18" customHeight="1" x14ac:dyDescent="0.25">
      <c r="A10" s="53" t="s">
        <v>532</v>
      </c>
      <c r="B10" s="53" t="s">
        <v>298</v>
      </c>
      <c r="C10" s="53" t="s">
        <v>498</v>
      </c>
      <c r="D10" s="53">
        <f>COUNTIFS(DONNEES_SOURCE!$CA$2:$CA$1000,TRUE,DONNEES_SOURCE!$BX$2:$BX$1000,"&lt;&gt;",DONNEES_SOURCE!$B$2:$B$1000,"&lt;&gt;")</f>
        <v>67</v>
      </c>
      <c r="E10" s="53">
        <f>IFERROR(ROUND(AVERAGEIF(DONNEES_SOURCE!$CA$2:$CA$1000,TRUE,DONNEES_SOURCE!$BX$2:$BX$1000),3),"")</f>
        <v>4.7809999999999997</v>
      </c>
      <c r="F10" s="53">
        <f t="array" ref="F10">IFERROR(ROUND(SUMPRODUCT((DONNEES_SOURCE!$CA$2:$CA$1000=TRUE)*ISNUMBER(VALUE(LEFT(DONNEES_SOURCE!$B$2:$B$1000,1)))*VALUE(IFERROR(LEFT(_xlfn.SINGLE(DONNEES_SOURCE!$B$2:$B$1000),1),0)))/SUMPRODUCT((DONNEES_SOURCE!$CA$2:$CA$1000=TRUE)*ISNUMBER(VALUE(LEFT(DONNEES_SOURCE!$B$2:$B$1000,1)))),3),"")</f>
        <v>4</v>
      </c>
      <c r="G10" s="53">
        <f t="array" ref="G10">IFERROR(ROUND(STDEV(IF(DONNEES_SOURCE!$CA$2:$CA$1000=TRUE,DONNEES_SOURCE!$BX$2:$BX$1000)),3),"")</f>
        <v>0.879</v>
      </c>
      <c r="H10" s="53">
        <f t="array" ref="H10">IFERROR(ROUND(STDEV(IF((DONNEES_SOURCE!$CA$2:$CA$1000=TRUE)*ISNUMBER(VALUE(LEFT(DONNEES_SOURCE!$B$2:$B$1000,1))),VALUE(IFERROR(LEFT(DONNEES_SOURCE!$B$2:$B$1000,1),"")),"")),3),"")</f>
        <v>1.343</v>
      </c>
      <c r="I10"/>
      <c r="J10"/>
      <c r="K10"/>
      <c r="L10"/>
      <c r="M10"/>
      <c r="N10"/>
      <c r="O10"/>
      <c r="P10">
        <f>IF(DONNEES_SOURCE!$CA10=TRUE,DONNEES_SOURCE!$BV10,"")</f>
        <v>6</v>
      </c>
      <c r="Q10">
        <f>IF(DONNEES_SOURCE!$CA10=TRUE,IFERROR(MATCH(DONNEES_SOURCE!$B10,{"2. Très rarement (Moins d'une fois par mois)","3. Rarement (1 à 3 fois par mois)","4. Parfois (Environ une fois par semaine)","5. Régulièrement (Plusieurs fois par semaine)","6. Quotidiennement (Une fois par jour)","7. Très fréquemment (Plusieurs fois par jour)"},0)+1,""),"")</f>
        <v>4</v>
      </c>
      <c r="R10">
        <f>IF(DONNEES_SOURCE!$CA10=TRUE,DONNEES_SOURCE!$BW10,"")</f>
        <v>6.5</v>
      </c>
      <c r="S10">
        <f>IF(DONNEES_SOURCE!$CA10=TRUE,DONNEES_SOURCE!$AU10,"")</f>
        <v>5</v>
      </c>
      <c r="T10">
        <f>IF(DONNEES_SOURCE!$CA10=TRUE,DONNEES_SOURCE!$BW10,"")</f>
        <v>6.5</v>
      </c>
      <c r="U10">
        <f>IF(DONNEES_SOURCE!$CA10=TRUE,IFERROR(MATCH(DONNEES_SOURCE!$B10,{"2. Très rarement (Moins d'une fois par mois)","3. Rarement (1 à 3 fois par mois)","4. Parfois (Environ une fois par semaine)","5. Régulièrement (Plusieurs fois par semaine)","6. Quotidiennement (Une fois par jour)","7. Très fréquemment (Plusieurs fois par jour)"},0)+1,""),"")</f>
        <v>4</v>
      </c>
      <c r="V10"/>
    </row>
    <row r="11" spans="1:22" s="69" customFormat="1" ht="18" customHeight="1" x14ac:dyDescent="0.25">
      <c r="A11" s="69" t="s">
        <v>533</v>
      </c>
      <c r="B11" s="69" t="s">
        <v>298</v>
      </c>
      <c r="C11" s="69" t="s">
        <v>299</v>
      </c>
      <c r="D11" s="69">
        <f>COUNTIFS(DONNEES_SOURCE!$CA$2:$CA$1000,TRUE,DONNEES_SOURCE!$BX$2:$BX$1000,"&lt;&gt;",DONNEES_SOURCE!$BY$2:$BY$1000,"&lt;&gt;")</f>
        <v>67</v>
      </c>
      <c r="E11" s="69">
        <f>IFERROR(ROUND(AVERAGEIF(DONNEES_SOURCE!$CA$2:$CA$1000,TRUE,DONNEES_SOURCE!$BX$2:$BX$1000),3),"")</f>
        <v>4.7809999999999997</v>
      </c>
      <c r="F11" s="69">
        <f>IFERROR(ROUND(AVERAGEIF(DONNEES_SOURCE!$CA$2:$CA$1000,TRUE,DONNEES_SOURCE!$BY$2:$BY$1000),3),"")</f>
        <v>4.9580000000000002</v>
      </c>
      <c r="G11" s="69">
        <f t="array" ref="G11">IFERROR(ROUND(STDEV(IF(DONNEES_SOURCE!$CA$2:$CA$1000=TRUE,DONNEES_SOURCE!$BX$2:$BX$1000)),3),"")</f>
        <v>0.879</v>
      </c>
      <c r="H11" s="69">
        <f t="array" ref="H11">IFERROR(ROUND(STDEV(IF(DONNEES_SOURCE!$CA$2:$CA$1000=TRUE,DONNEES_SOURCE!$BY$2:$BY$1000)),3),"")</f>
        <v>0.79300000000000004</v>
      </c>
      <c r="I11"/>
      <c r="J11"/>
      <c r="K11"/>
      <c r="L11"/>
      <c r="M11"/>
      <c r="N11"/>
      <c r="O11"/>
      <c r="P11">
        <f>IF(DONNEES_SOURCE!$CA11=TRUE,DONNEES_SOURCE!$BV11,"")</f>
        <v>5.6666999999999996</v>
      </c>
      <c r="Q11">
        <f>IF(DONNEES_SOURCE!$CA11=TRUE,IFERROR(MATCH(DONNEES_SOURCE!$B11,{"2. Très rarement (Moins d'une fois par mois)","3. Rarement (1 à 3 fois par mois)","4. Parfois (Environ une fois par semaine)","5. Régulièrement (Plusieurs fois par semaine)","6. Quotidiennement (Une fois par jour)","7. Très fréquemment (Plusieurs fois par jour)"},0)+1,""),"")</f>
        <v>4</v>
      </c>
      <c r="R11">
        <f>IF(DONNEES_SOURCE!$CA11=TRUE,DONNEES_SOURCE!$BW11,"")</f>
        <v>5.5</v>
      </c>
      <c r="S11">
        <f>IF(DONNEES_SOURCE!$CA11=TRUE,DONNEES_SOURCE!$AU11,"")</f>
        <v>6</v>
      </c>
      <c r="T11">
        <f>IF(DONNEES_SOURCE!$CA11=TRUE,DONNEES_SOURCE!$BW11,"")</f>
        <v>5.5</v>
      </c>
      <c r="U11">
        <f>IF(DONNEES_SOURCE!$CA11=TRUE,IFERROR(MATCH(DONNEES_SOURCE!$B11,{"2. Très rarement (Moins d'une fois par mois)","3. Rarement (1 à 3 fois par mois)","4. Parfois (Environ une fois par semaine)","5. Régulièrement (Plusieurs fois par semaine)","6. Quotidiennement (Une fois par jour)","7. Très fréquemment (Plusieurs fois par jour)"},0)+1,""),"")</f>
        <v>4</v>
      </c>
      <c r="V11"/>
    </row>
    <row r="12" spans="1:22" s="53" customFormat="1" ht="18" customHeight="1" x14ac:dyDescent="0.25">
      <c r="A12" s="53" t="s">
        <v>534</v>
      </c>
      <c r="B12" s="53" t="s">
        <v>297</v>
      </c>
      <c r="C12" s="53" t="s">
        <v>299</v>
      </c>
      <c r="D12" s="53">
        <f>COUNTIFS(DONNEES_SOURCE!$CA$2:$CA$1000,TRUE,DONNEES_SOURCE!$BW$2:$BW$1000,"&lt;&gt;",DONNEES_SOURCE!$BY$2:$BY$1000,"&lt;&gt;")</f>
        <v>67</v>
      </c>
      <c r="E12" s="53">
        <f>IFERROR(ROUND(AVERAGEIF(DONNEES_SOURCE!$CA$2:$CA$1000,TRUE,DONNEES_SOURCE!$BW$2:$BW$1000),3),"")</f>
        <v>5.5369999999999999</v>
      </c>
      <c r="F12" s="53">
        <f>IFERROR(ROUND(AVERAGEIF(DONNEES_SOURCE!$CA$2:$CA$1000,TRUE,DONNEES_SOURCE!$BY$2:$BY$1000),3),"")</f>
        <v>4.9580000000000002</v>
      </c>
      <c r="G12" s="53">
        <f t="array" ref="G12">IFERROR(ROUND(STDEV(IF(DONNEES_SOURCE!$CA$2:$CA$1000=TRUE,DONNEES_SOURCE!$BW$2:$BW$1000)),3),"")</f>
        <v>0.88300000000000001</v>
      </c>
      <c r="H12" s="53">
        <f t="array" ref="H12">IFERROR(ROUND(STDEV(IF(DONNEES_SOURCE!$CA$2:$CA$1000=TRUE,DONNEES_SOURCE!$BY$2:$BY$1000)),3),"")</f>
        <v>0.79300000000000004</v>
      </c>
      <c r="I12"/>
      <c r="J12"/>
      <c r="K12"/>
      <c r="L12"/>
      <c r="M12"/>
      <c r="N12"/>
      <c r="O12"/>
      <c r="P12">
        <f>IF(DONNEES_SOURCE!$CA12=TRUE,DONNEES_SOURCE!$BV12,"")</f>
        <v>5.3333000000000004</v>
      </c>
      <c r="Q12">
        <f>IF(DONNEES_SOURCE!$CA12=TRUE,IFERROR(MATCH(DONNEES_SOURCE!$B12,{"2. Très rarement (Moins d'une fois par mois)","3. Rarement (1 à 3 fois par mois)","4. Parfois (Environ une fois par semaine)","5. Régulièrement (Plusieurs fois par semaine)","6. Quotidiennement (Une fois par jour)","7. Très fréquemment (Plusieurs fois par jour)"},0)+1,""),"")</f>
        <v>7</v>
      </c>
      <c r="R12">
        <f>IF(DONNEES_SOURCE!$CA12=TRUE,DONNEES_SOURCE!$BW12,"")</f>
        <v>7</v>
      </c>
      <c r="S12">
        <f>IF(DONNEES_SOURCE!$CA12=TRUE,DONNEES_SOURCE!$AU12,"")</f>
        <v>4</v>
      </c>
      <c r="T12">
        <f>IF(DONNEES_SOURCE!$CA12=TRUE,DONNEES_SOURCE!$BW12,"")</f>
        <v>7</v>
      </c>
      <c r="U12">
        <f>IF(DONNEES_SOURCE!$CA12=TRUE,IFERROR(MATCH(DONNEES_SOURCE!$B12,{"2. Très rarement (Moins d'une fois par mois)","3. Rarement (1 à 3 fois par mois)","4. Parfois (Environ une fois par semaine)","5. Régulièrement (Plusieurs fois par semaine)","6. Quotidiennement (Une fois par jour)","7. Très fréquemment (Plusieurs fois par jour)"},0)+1,""),"")</f>
        <v>7</v>
      </c>
      <c r="V12"/>
    </row>
    <row r="13" spans="1:22" x14ac:dyDescent="0.25">
      <c r="P13">
        <f>IF(DONNEES_SOURCE!$CA13=TRUE,DONNEES_SOURCE!$BV13,"")</f>
        <v>6.6666999999999996</v>
      </c>
      <c r="Q13">
        <f>IF(DONNEES_SOURCE!$CA13=TRUE,IFERROR(MATCH(DONNEES_SOURCE!$B13,{"2. Très rarement (Moins d'une fois par mois)","3. Rarement (1 à 3 fois par mois)","4. Parfois (Environ une fois par semaine)","5. Régulièrement (Plusieurs fois par semaine)","6. Quotidiennement (Une fois par jour)","7. Très fréquemment (Plusieurs fois par jour)"},0)+1,""),"")</f>
        <v>7</v>
      </c>
      <c r="R13">
        <f>IF(DONNEES_SOURCE!$CA13=TRUE,DONNEES_SOURCE!$BW13,"")</f>
        <v>6.25</v>
      </c>
      <c r="S13">
        <f>IF(DONNEES_SOURCE!$CA13=TRUE,DONNEES_SOURCE!$AU13,"")</f>
        <v>1</v>
      </c>
      <c r="T13">
        <f>IF(DONNEES_SOURCE!$CA13=TRUE,DONNEES_SOURCE!$BW13,"")</f>
        <v>6.25</v>
      </c>
      <c r="U13">
        <f>IF(DONNEES_SOURCE!$CA13=TRUE,IFERROR(MATCH(DONNEES_SOURCE!$B13,{"2. Très rarement (Moins d'une fois par mois)","3. Rarement (1 à 3 fois par mois)","4. Parfois (Environ une fois par semaine)","5. Régulièrement (Plusieurs fois par semaine)","6. Quotidiennement (Une fois par jour)","7. Très fréquemment (Plusieurs fois par jour)"},0)+1,""),"")</f>
        <v>7</v>
      </c>
    </row>
    <row r="14" spans="1:22" ht="24.95" customHeight="1" x14ac:dyDescent="0.25">
      <c r="A14" s="287" t="s">
        <v>535</v>
      </c>
      <c r="B14" s="254"/>
      <c r="C14" s="254"/>
      <c r="D14" s="254"/>
      <c r="E14" s="254"/>
      <c r="F14" s="254"/>
      <c r="G14" s="254"/>
      <c r="H14" s="254"/>
      <c r="I14" s="254"/>
      <c r="J14" s="254"/>
      <c r="P14">
        <f>IF(DONNEES_SOURCE!$CA14=TRUE,DONNEES_SOURCE!$BV14,"")</f>
        <v>6.3333000000000004</v>
      </c>
      <c r="Q14">
        <f>IF(DONNEES_SOURCE!$CA14=TRUE,IFERROR(MATCH(DONNEES_SOURCE!$B14,{"2. Très rarement (Moins d'une fois par mois)","3. Rarement (1 à 3 fois par mois)","4. Parfois (Environ une fois par semaine)","5. Régulièrement (Plusieurs fois par semaine)","6. Quotidiennement (Une fois par jour)","7. Très fréquemment (Plusieurs fois par jour)"},0)+1,""),"")</f>
        <v>6</v>
      </c>
      <c r="R14">
        <f>IF(DONNEES_SOURCE!$CA14=TRUE,DONNEES_SOURCE!$BW14,"")</f>
        <v>6</v>
      </c>
      <c r="S14">
        <f>IF(DONNEES_SOURCE!$CA14=TRUE,DONNEES_SOURCE!$AU14,"")</f>
        <v>4</v>
      </c>
      <c r="T14">
        <f>IF(DONNEES_SOURCE!$CA14=TRUE,DONNEES_SOURCE!$BW14,"")</f>
        <v>6</v>
      </c>
      <c r="U14">
        <f>IF(DONNEES_SOURCE!$CA14=TRUE,IFERROR(MATCH(DONNEES_SOURCE!$B14,{"2. Très rarement (Moins d'une fois par mois)","3. Rarement (1 à 3 fois par mois)","4. Parfois (Environ une fois par semaine)","5. Régulièrement (Plusieurs fois par semaine)","6. Quotidiennement (Une fois par jour)","7. Très fréquemment (Plusieurs fois par jour)"},0)+1,""),"")</f>
        <v>6</v>
      </c>
    </row>
    <row r="15" spans="1:22" ht="21.95" customHeight="1" x14ac:dyDescent="0.25">
      <c r="A15" s="52" t="s">
        <v>536</v>
      </c>
      <c r="B15" s="52" t="s">
        <v>537</v>
      </c>
      <c r="C15" s="52" t="s">
        <v>379</v>
      </c>
      <c r="D15" s="52" t="s">
        <v>538</v>
      </c>
      <c r="E15" s="52" t="s">
        <v>539</v>
      </c>
      <c r="F15" s="52" t="s">
        <v>490</v>
      </c>
      <c r="P15">
        <f>IF(DONNEES_SOURCE!$CA15=TRUE,DONNEES_SOURCE!$BV15,"")</f>
        <v>3.6667000000000001</v>
      </c>
      <c r="Q15">
        <f>IF(DONNEES_SOURCE!$CA15=TRUE,IFERROR(MATCH(DONNEES_SOURCE!$B15,{"2. Très rarement (Moins d'une fois par mois)","3. Rarement (1 à 3 fois par mois)","4. Parfois (Environ une fois par semaine)","5. Régulièrement (Plusieurs fois par semaine)","6. Quotidiennement (Une fois par jour)","7. Très fréquemment (Plusieurs fois par jour)"},0)+1,""),"")</f>
        <v>3</v>
      </c>
      <c r="R15">
        <f>IF(DONNEES_SOURCE!$CA15=TRUE,DONNEES_SOURCE!$BW15,"")</f>
        <v>5.5</v>
      </c>
      <c r="S15">
        <f>IF(DONNEES_SOURCE!$CA15=TRUE,DONNEES_SOURCE!$AU15,"")</f>
        <v>4</v>
      </c>
      <c r="T15">
        <f>IF(DONNEES_SOURCE!$CA15=TRUE,DONNEES_SOURCE!$BW15,"")</f>
        <v>5.5</v>
      </c>
      <c r="U15">
        <f>IF(DONNEES_SOURCE!$CA15=TRUE,IFERROR(MATCH(DONNEES_SOURCE!$B15,{"2. Très rarement (Moins d'une fois par mois)","3. Rarement (1 à 3 fois par mois)","4. Parfois (Environ une fois par semaine)","5. Régulièrement (Plusieurs fois par semaine)","6. Quotidiennement (Une fois par jour)","7. Très fréquemment (Plusieurs fois par jour)"},0)+1,""),"")</f>
        <v>3</v>
      </c>
    </row>
    <row r="16" spans="1:22" s="58" customFormat="1" ht="18" customHeight="1" x14ac:dyDescent="0.25">
      <c r="A16" s="58" t="s">
        <v>540</v>
      </c>
      <c r="B16" s="58" t="s">
        <v>541</v>
      </c>
      <c r="C16" s="58">
        <f>COUNTIFS(DONNEES_SOURCE!$CA$2:$CA$1000,TRUE,DONNEES_SOURCE!$BX$2:$BX$1000,"&lt;=3")</f>
        <v>2</v>
      </c>
      <c r="D16" s="58">
        <f>IFERROR(ROUND(AVERAGEIFS(DONNEES_SOURCE!$BW$2:$BW$1000,DONNEES_SOURCE!$CA$2:$CA$1000,TRUE,DONNEES_SOURCE!$BX$2:$BX$1000,"&lt;=3"),3),"")</f>
        <v>6.625</v>
      </c>
      <c r="E16" s="58">
        <f>AVERAGEIFS(DONNEES_SOURCE!$CB$2:$CB$1000,DONNEES_SOURCE!$CA$2:$CA$1000,TRUE,DONNEES_SOURCE!$BX$2:$BX$1000,"&lt;=3")</f>
        <v>4.5</v>
      </c>
      <c r="F16" s="58" t="s">
        <v>542</v>
      </c>
      <c r="I16"/>
      <c r="J16"/>
      <c r="K16"/>
      <c r="L16"/>
      <c r="M16"/>
      <c r="N16"/>
      <c r="O16"/>
      <c r="P16">
        <f>IF(DONNEES_SOURCE!$CA16=TRUE,DONNEES_SOURCE!$BV16,"")</f>
        <v>5.6666999999999996</v>
      </c>
      <c r="Q16">
        <f>IF(DONNEES_SOURCE!$CA16=TRUE,IFERROR(MATCH(DONNEES_SOURCE!$B16,{"2. Très rarement (Moins d'une fois par mois)","3. Rarement (1 à 3 fois par mois)","4. Parfois (Environ une fois par semaine)","5. Régulièrement (Plusieurs fois par semaine)","6. Quotidiennement (Une fois par jour)","7. Très fréquemment (Plusieurs fois par jour)"},0)+1,""),"")</f>
        <v>7</v>
      </c>
      <c r="R16">
        <f>IF(DONNEES_SOURCE!$CA16=TRUE,DONNEES_SOURCE!$BW16,"")</f>
        <v>6</v>
      </c>
      <c r="S16">
        <f>IF(DONNEES_SOURCE!$CA16=TRUE,DONNEES_SOURCE!$AU16,"")</f>
        <v>5</v>
      </c>
      <c r="T16">
        <f>IF(DONNEES_SOURCE!$CA16=TRUE,DONNEES_SOURCE!$BW16,"")</f>
        <v>6</v>
      </c>
      <c r="U16">
        <f>IF(DONNEES_SOURCE!$CA16=TRUE,IFERROR(MATCH(DONNEES_SOURCE!$B16,{"2. Très rarement (Moins d'une fois par mois)","3. Rarement (1 à 3 fois par mois)","4. Parfois (Environ une fois par semaine)","5. Régulièrement (Plusieurs fois par semaine)","6. Quotidiennement (Une fois par jour)","7. Très fréquemment (Plusieurs fois par jour)"},0)+1,""),"")</f>
        <v>7</v>
      </c>
      <c r="V16"/>
    </row>
    <row r="17" spans="1:22" s="61" customFormat="1" ht="18" customHeight="1" x14ac:dyDescent="0.25">
      <c r="A17" s="61" t="s">
        <v>543</v>
      </c>
      <c r="B17" s="61" t="s">
        <v>544</v>
      </c>
      <c r="C17" s="61">
        <f>COUNTIFS(DONNEES_SOURCE!$CA$2:$CA$1000,TRUE,DONNEES_SOURCE!$BX$2:$BX$1000,"&gt;=5")</f>
        <v>26</v>
      </c>
      <c r="D17" s="61">
        <f>IFERROR(ROUND(AVERAGEIFS(DONNEES_SOURCE!$BW$2:$BW$1000,DONNEES_SOURCE!$CA$2:$CA$1000,TRUE,DONNEES_SOURCE!$BX$2:$BX$1000,"&gt;=5"),3),"")</f>
        <v>5.298</v>
      </c>
      <c r="E17" s="61">
        <f>AVERAGEIFS(DONNEES_SOURCE!$CB$2:$CB$1000,DONNEES_SOURCE!$CA$2:$CA$1000,TRUE,DONNEES_SOURCE!$BX$2:$BX$1000,"&gt;=5")</f>
        <v>5.4615384615384617</v>
      </c>
      <c r="F17" s="58" t="s">
        <v>651</v>
      </c>
      <c r="G17" s="58"/>
      <c r="H17" s="58"/>
      <c r="I17"/>
      <c r="J17"/>
      <c r="K17"/>
      <c r="L17"/>
      <c r="M17"/>
      <c r="N17"/>
      <c r="O17"/>
      <c r="P17">
        <f>IF(DONNEES_SOURCE!$CA17=TRUE,DONNEES_SOURCE!$BV17,"")</f>
        <v>4</v>
      </c>
      <c r="Q17">
        <f>IF(DONNEES_SOURCE!$CA17=TRUE,IFERROR(MATCH(DONNEES_SOURCE!$B17,{"2. Très rarement (Moins d'une fois par mois)","3. Rarement (1 à 3 fois par mois)","4. Parfois (Environ une fois par semaine)","5. Régulièrement (Plusieurs fois par semaine)","6. Quotidiennement (Une fois par jour)","7. Très fréquemment (Plusieurs fois par jour)"},0)+1,""),"")</f>
        <v>5</v>
      </c>
      <c r="R17">
        <f>IF(DONNEES_SOURCE!$CA17=TRUE,DONNEES_SOURCE!$BW17,"")</f>
        <v>3.5</v>
      </c>
      <c r="S17">
        <f>IF(DONNEES_SOURCE!$CA17=TRUE,DONNEES_SOURCE!$AU17,"")</f>
        <v>2</v>
      </c>
      <c r="T17">
        <f>IF(DONNEES_SOURCE!$CA17=TRUE,DONNEES_SOURCE!$BW17,"")</f>
        <v>3.5</v>
      </c>
      <c r="U17">
        <f>IF(DONNEES_SOURCE!$CA17=TRUE,IFERROR(MATCH(DONNEES_SOURCE!$B17,{"2. Très rarement (Moins d'une fois par mois)","3. Rarement (1 à 3 fois par mois)","4. Parfois (Environ une fois par semaine)","5. Régulièrement (Plusieurs fois par semaine)","6. Quotidiennement (Une fois par jour)","7. Très fréquemment (Plusieurs fois par jour)"},0)+1,""),"")</f>
        <v>5</v>
      </c>
      <c r="V17"/>
    </row>
    <row r="18" spans="1:22" x14ac:dyDescent="0.25">
      <c r="P18">
        <f>IF(DONNEES_SOURCE!$CA18=TRUE,DONNEES_SOURCE!$BV18,"")</f>
        <v>2.6667000000000001</v>
      </c>
      <c r="Q18">
        <f>IF(DONNEES_SOURCE!$CA18=TRUE,IFERROR(MATCH(DONNEES_SOURCE!$B18,{"2. Très rarement (Moins d'une fois par mois)","3. Rarement (1 à 3 fois par mois)","4. Parfois (Environ une fois par semaine)","5. Régulièrement (Plusieurs fois par semaine)","6. Quotidiennement (Une fois par jour)","7. Très fréquemment (Plusieurs fois par jour)"},0)+1,""),"")</f>
        <v>4</v>
      </c>
      <c r="R18">
        <f>IF(DONNEES_SOURCE!$CA18=TRUE,DONNEES_SOURCE!$BW18,"")</f>
        <v>5.5</v>
      </c>
      <c r="S18">
        <f>IF(DONNEES_SOURCE!$CA18=TRUE,DONNEES_SOURCE!$AU18,"")</f>
        <v>6</v>
      </c>
      <c r="T18">
        <f>IF(DONNEES_SOURCE!$CA18=TRUE,DONNEES_SOURCE!$BW18,"")</f>
        <v>5.5</v>
      </c>
      <c r="U18">
        <f>IF(DONNEES_SOURCE!$CA18=TRUE,IFERROR(MATCH(DONNEES_SOURCE!$B18,{"2. Très rarement (Moins d'une fois par mois)","3. Rarement (1 à 3 fois par mois)","4. Parfois (Environ une fois par semaine)","5. Régulièrement (Plusieurs fois par semaine)","6. Quotidiennement (Une fois par jour)","7. Très fréquemment (Plusieurs fois par jour)"},0)+1,""),"")</f>
        <v>4</v>
      </c>
    </row>
    <row r="19" spans="1:22" ht="24.95" customHeight="1" x14ac:dyDescent="0.25">
      <c r="A19" s="289" t="s">
        <v>545</v>
      </c>
      <c r="B19" s="289"/>
      <c r="C19" s="289"/>
      <c r="D19" s="289"/>
      <c r="E19" s="289"/>
      <c r="F19" s="289"/>
      <c r="G19" s="289"/>
      <c r="H19" s="289"/>
      <c r="I19" s="289"/>
      <c r="J19" s="289"/>
      <c r="P19">
        <f>IF(DONNEES_SOURCE!$CA19=TRUE,DONNEES_SOURCE!$BV19,"")</f>
        <v>6</v>
      </c>
      <c r="Q19">
        <f>IF(DONNEES_SOURCE!$CA19=TRUE,IFERROR(MATCH(DONNEES_SOURCE!$B19,{"2. Très rarement (Moins d'une fois par mois)","3. Rarement (1 à 3 fois par mois)","4. Parfois (Environ une fois par semaine)","5. Régulièrement (Plusieurs fois par semaine)","6. Quotidiennement (Une fois par jour)","7. Très fréquemment (Plusieurs fois par jour)"},0)+1,""),"")</f>
        <v>5</v>
      </c>
      <c r="R19">
        <f>IF(DONNEES_SOURCE!$CA19=TRUE,DONNEES_SOURCE!$BW19,"")</f>
        <v>4.5</v>
      </c>
      <c r="S19">
        <f>IF(DONNEES_SOURCE!$CA19=TRUE,DONNEES_SOURCE!$AU19,"")</f>
        <v>1</v>
      </c>
      <c r="T19">
        <f>IF(DONNEES_SOURCE!$CA19=TRUE,DONNEES_SOURCE!$BW19,"")</f>
        <v>4.5</v>
      </c>
      <c r="U19">
        <f>IF(DONNEES_SOURCE!$CA19=TRUE,IFERROR(MATCH(DONNEES_SOURCE!$B19,{"2. Très rarement (Moins d'une fois par mois)","3. Rarement (1 à 3 fois par mois)","4. Parfois (Environ une fois par semaine)","5. Régulièrement (Plusieurs fois par semaine)","6. Quotidiennement (Une fois par jour)","7. Très fréquemment (Plusieurs fois par jour)"},0)+1,""),"")</f>
        <v>5</v>
      </c>
    </row>
    <row r="20" spans="1:22" ht="24.95" customHeight="1" x14ac:dyDescent="0.25">
      <c r="A20" s="159" t="s">
        <v>520</v>
      </c>
      <c r="B20" s="159" t="s">
        <v>546</v>
      </c>
      <c r="C20" s="159" t="s">
        <v>547</v>
      </c>
      <c r="D20" s="159" t="s">
        <v>548</v>
      </c>
      <c r="E20" s="159" t="s">
        <v>549</v>
      </c>
      <c r="F20" s="159" t="s">
        <v>550</v>
      </c>
      <c r="G20" s="159" t="s">
        <v>551</v>
      </c>
      <c r="H20" s="159" t="s">
        <v>552</v>
      </c>
      <c r="P20">
        <f>IF(DONNEES_SOURCE!$CA20=TRUE,DONNEES_SOURCE!$BV20,"")</f>
        <v>6.3333000000000004</v>
      </c>
      <c r="Q20">
        <f>IF(DONNEES_SOURCE!$CA20=TRUE,IFERROR(MATCH(DONNEES_SOURCE!$B20,{"2. Très rarement (Moins d'une fois par mois)","3. Rarement (1 à 3 fois par mois)","4. Parfois (Environ une fois par semaine)","5. Régulièrement (Plusieurs fois par semaine)","6. Quotidiennement (Une fois par jour)","7. Très fréquemment (Plusieurs fois par jour)"},0)+1,""),"")</f>
        <v>7</v>
      </c>
      <c r="R20">
        <f>IF(DONNEES_SOURCE!$CA20=TRUE,DONNEES_SOURCE!$BW20,"")</f>
        <v>5.5</v>
      </c>
      <c r="S20">
        <f>IF(DONNEES_SOURCE!$CA20=TRUE,DONNEES_SOURCE!$AU20,"")</f>
        <v>7</v>
      </c>
      <c r="T20">
        <f>IF(DONNEES_SOURCE!$CA20=TRUE,DONNEES_SOURCE!$BW20,"")</f>
        <v>5.5</v>
      </c>
      <c r="U20">
        <f>IF(DONNEES_SOURCE!$CA20=TRUE,IFERROR(MATCH(DONNEES_SOURCE!$B20,{"2. Très rarement (Moins d'une fois par mois)","3. Rarement (1 à 3 fois par mois)","4. Parfois (Environ une fois par semaine)","5. Régulièrement (Plusieurs fois par semaine)","6. Quotidiennement (Une fois par jour)","7. Très fréquemment (Plusieurs fois par jour)"},0)+1,""),"")</f>
        <v>7</v>
      </c>
    </row>
    <row r="21" spans="1:22" ht="20.100000000000001" customHeight="1" x14ac:dyDescent="0.25">
      <c r="A21" t="s">
        <v>553</v>
      </c>
      <c r="B21" t="s">
        <v>554</v>
      </c>
      <c r="C21" s="250">
        <f>E31</f>
        <v>0.16799573079388649</v>
      </c>
      <c r="D21" s="250">
        <f>G31</f>
        <v>0.17417627109125927</v>
      </c>
      <c r="E21" t="str">
        <f t="shared" ref="E21:E27" si="0">IF(ISNUMBER(D21),IF(D21&lt;0.05,"OUI (p&lt;0.05)","NON (n.s.)"),"A saisir")</f>
        <v>NON (n.s.)</v>
      </c>
      <c r="F21" t="s">
        <v>555</v>
      </c>
      <c r="G21" t="str">
        <f t="shared" ref="G21:G27" si="1">IF(E21="OUI (p&lt;0.05)","CONFIRMEE",IF(E21="NON (n.s.)","INFIRMEE","A saisir"))</f>
        <v>INFIRMEE</v>
      </c>
      <c r="H21" t="s">
        <v>556</v>
      </c>
      <c r="P21">
        <f>IF(DONNEES_SOURCE!$CA21=TRUE,DONNEES_SOURCE!$BV21,"")</f>
        <v>4.6666999999999996</v>
      </c>
      <c r="Q21">
        <f>IF(DONNEES_SOURCE!$CA21=TRUE,IFERROR(MATCH(DONNEES_SOURCE!$B21,{"2. Très rarement (Moins d'une fois par mois)","3. Rarement (1 à 3 fois par mois)","4. Parfois (Environ une fois par semaine)","5. Régulièrement (Plusieurs fois par semaine)","6. Quotidiennement (Une fois par jour)","7. Très fréquemment (Plusieurs fois par jour)"},0)+1,""),"")</f>
        <v>3</v>
      </c>
      <c r="R21">
        <f>IF(DONNEES_SOURCE!$CA21=TRUE,DONNEES_SOURCE!$BW21,"")</f>
        <v>7</v>
      </c>
      <c r="S21">
        <f>IF(DONNEES_SOURCE!$CA21=TRUE,DONNEES_SOURCE!$AU21,"")</f>
        <v>7</v>
      </c>
      <c r="T21">
        <f>IF(DONNEES_SOURCE!$CA21=TRUE,DONNEES_SOURCE!$BW21,"")</f>
        <v>7</v>
      </c>
      <c r="U21">
        <f>IF(DONNEES_SOURCE!$CA21=TRUE,IFERROR(MATCH(DONNEES_SOURCE!$B21,{"2. Très rarement (Moins d'une fois par mois)","3. Rarement (1 à 3 fois par mois)","4. Parfois (Environ une fois par semaine)","5. Régulièrement (Plusieurs fois par semaine)","6. Quotidiennement (Une fois par jour)","7. Très fréquemment (Plusieurs fois par jour)"},0)+1,""),"")</f>
        <v>3</v>
      </c>
    </row>
    <row r="22" spans="1:22" ht="20.100000000000001" customHeight="1" x14ac:dyDescent="0.25">
      <c r="A22" t="s">
        <v>557</v>
      </c>
      <c r="B22" t="s">
        <v>554</v>
      </c>
      <c r="C22" s="250">
        <f>E32</f>
        <v>0.3249278719182116</v>
      </c>
      <c r="D22" s="250">
        <f>G32</f>
        <v>7.3005317475038451E-3</v>
      </c>
      <c r="E22" t="str">
        <f t="shared" si="0"/>
        <v>OUI (p&lt;0.05)</v>
      </c>
      <c r="F22" t="s">
        <v>555</v>
      </c>
      <c r="G22" t="str">
        <f t="shared" si="1"/>
        <v>CONFIRMEE</v>
      </c>
      <c r="H22" t="s">
        <v>556</v>
      </c>
      <c r="P22">
        <f>IF(DONNEES_SOURCE!$CA22=TRUE,DONNEES_SOURCE!$BV22,"")</f>
        <v>4.3333000000000004</v>
      </c>
      <c r="Q22">
        <f>IF(DONNEES_SOURCE!$CA22=TRUE,IFERROR(MATCH(DONNEES_SOURCE!$B22,{"2. Très rarement (Moins d'une fois par mois)","3. Rarement (1 à 3 fois par mois)","4. Parfois (Environ une fois par semaine)","5. Régulièrement (Plusieurs fois par semaine)","6. Quotidiennement (Une fois par jour)","7. Très fréquemment (Plusieurs fois par jour)"},0)+1,""),"")</f>
        <v>2</v>
      </c>
      <c r="R22">
        <f>IF(DONNEES_SOURCE!$CA22=TRUE,DONNEES_SOURCE!$BW22,"")</f>
        <v>5.5</v>
      </c>
      <c r="S22">
        <f>IF(DONNEES_SOURCE!$CA22=TRUE,DONNEES_SOURCE!$AU22,"")</f>
        <v>4</v>
      </c>
      <c r="T22">
        <f>IF(DONNEES_SOURCE!$CA22=TRUE,DONNEES_SOURCE!$BW22,"")</f>
        <v>5.5</v>
      </c>
      <c r="U22">
        <f>IF(DONNEES_SOURCE!$CA22=TRUE,IFERROR(MATCH(DONNEES_SOURCE!$B22,{"2. Très rarement (Moins d'une fois par mois)","3. Rarement (1 à 3 fois par mois)","4. Parfois (Environ une fois par semaine)","5. Régulièrement (Plusieurs fois par semaine)","6. Quotidiennement (Une fois par jour)","7. Très fréquemment (Plusieurs fois par jour)"},0)+1,""),"")</f>
        <v>2</v>
      </c>
    </row>
    <row r="23" spans="1:22" ht="20.100000000000001" customHeight="1" x14ac:dyDescent="0.25">
      <c r="A23" t="s">
        <v>558</v>
      </c>
      <c r="B23" t="s">
        <v>554</v>
      </c>
      <c r="C23" s="250">
        <f>E33</f>
        <v>0.30950561196222048</v>
      </c>
      <c r="D23" s="250">
        <f>G33</f>
        <v>1.0814038085717938E-2</v>
      </c>
      <c r="E23" t="str">
        <f t="shared" si="0"/>
        <v>OUI (p&lt;0.05)</v>
      </c>
      <c r="F23" t="s">
        <v>555</v>
      </c>
      <c r="G23" t="str">
        <f t="shared" si="1"/>
        <v>CONFIRMEE</v>
      </c>
      <c r="H23" t="s">
        <v>556</v>
      </c>
      <c r="P23">
        <f>IF(DONNEES_SOURCE!$CA23=TRUE,DONNEES_SOURCE!$BV23,"")</f>
        <v>5.6666999999999996</v>
      </c>
      <c r="Q23">
        <f>IF(DONNEES_SOURCE!$CA23=TRUE,IFERROR(MATCH(DONNEES_SOURCE!$B23,{"2. Très rarement (Moins d'une fois par mois)","3. Rarement (1 à 3 fois par mois)","4. Parfois (Environ une fois par semaine)","5. Régulièrement (Plusieurs fois par semaine)","6. Quotidiennement (Une fois par jour)","7. Très fréquemment (Plusieurs fois par jour)"},0)+1,""),"")</f>
        <v>7</v>
      </c>
      <c r="R23">
        <f>IF(DONNEES_SOURCE!$CA23=TRUE,DONNEES_SOURCE!$BW23,"")</f>
        <v>3.5</v>
      </c>
      <c r="S23">
        <f>IF(DONNEES_SOURCE!$CA23=TRUE,DONNEES_SOURCE!$AU23,"")</f>
        <v>4</v>
      </c>
      <c r="T23">
        <f>IF(DONNEES_SOURCE!$CA23=TRUE,DONNEES_SOURCE!$BW23,"")</f>
        <v>3.5</v>
      </c>
      <c r="U23">
        <f>IF(DONNEES_SOURCE!$CA23=TRUE,IFERROR(MATCH(DONNEES_SOURCE!$B23,{"2. Très rarement (Moins d'une fois par mois)","3. Rarement (1 à 3 fois par mois)","4. Parfois (Environ une fois par semaine)","5. Régulièrement (Plusieurs fois par semaine)","6. Quotidiennement (Une fois par jour)","7. Très fréquemment (Plusieurs fois par jour)"},0)+1,""),"")</f>
        <v>7</v>
      </c>
    </row>
    <row r="24" spans="1:22" ht="20.100000000000001" customHeight="1" x14ac:dyDescent="0.25">
      <c r="A24" t="s">
        <v>655</v>
      </c>
      <c r="B24" t="s">
        <v>554</v>
      </c>
      <c r="C24" s="250">
        <f>E34</f>
        <v>-0.23098831616581353</v>
      </c>
      <c r="D24" s="250">
        <f>G34</f>
        <v>6.0018256687192705E-2</v>
      </c>
      <c r="E24" t="str">
        <f t="shared" si="0"/>
        <v>NON (n.s.)</v>
      </c>
      <c r="F24" t="s">
        <v>555</v>
      </c>
      <c r="G24" t="str">
        <f t="shared" si="1"/>
        <v>INFIRMEE</v>
      </c>
      <c r="H24" t="s">
        <v>559</v>
      </c>
      <c r="P24">
        <f>IF(DONNEES_SOURCE!$CA24=TRUE,DONNEES_SOURCE!$BV24,"")</f>
        <v>5.3333000000000004</v>
      </c>
      <c r="Q24">
        <f>IF(DONNEES_SOURCE!$CA24=TRUE,IFERROR(MATCH(DONNEES_SOURCE!$B24,{"2. Très rarement (Moins d'une fois par mois)","3. Rarement (1 à 3 fois par mois)","4. Parfois (Environ une fois par semaine)","5. Régulièrement (Plusieurs fois par semaine)","6. Quotidiennement (Une fois par jour)","7. Très fréquemment (Plusieurs fois par jour)"},0)+1,""),"")</f>
        <v>5</v>
      </c>
      <c r="R24">
        <f>IF(DONNEES_SOURCE!$CA24=TRUE,DONNEES_SOURCE!$BW24,"")</f>
        <v>5.25</v>
      </c>
      <c r="S24">
        <f>IF(DONNEES_SOURCE!$CA24=TRUE,DONNEES_SOURCE!$AU24,"")</f>
        <v>6</v>
      </c>
      <c r="T24">
        <f>IF(DONNEES_SOURCE!$CA24=TRUE,DONNEES_SOURCE!$BW24,"")</f>
        <v>5.25</v>
      </c>
      <c r="U24">
        <f>IF(DONNEES_SOURCE!$CA24=TRUE,IFERROR(MATCH(DONNEES_SOURCE!$B24,{"2. Très rarement (Moins d'une fois par mois)","3. Rarement (1 à 3 fois par mois)","4. Parfois (Environ une fois par semaine)","5. Régulièrement (Plusieurs fois par semaine)","6. Quotidiennement (Une fois par jour)","7. Très fréquemment (Plusieurs fois par jour)"},0)+1,""),"")</f>
        <v>5</v>
      </c>
    </row>
    <row r="25" spans="1:22" ht="20.100000000000001" customHeight="1" x14ac:dyDescent="0.25">
      <c r="A25" t="s">
        <v>560</v>
      </c>
      <c r="B25" s="172"/>
      <c r="C25" s="251"/>
      <c r="D25" s="251"/>
      <c r="E25" s="172"/>
      <c r="F25" s="172"/>
      <c r="G25" t="str">
        <f t="shared" si="1"/>
        <v>A saisir</v>
      </c>
      <c r="H25" t="s">
        <v>561</v>
      </c>
      <c r="P25">
        <f>IF(DONNEES_SOURCE!$CA25=TRUE,DONNEES_SOURCE!$BV25,"")</f>
        <v>5.6666999999999996</v>
      </c>
      <c r="Q25">
        <f>IF(DONNEES_SOURCE!$CA25=TRUE,IFERROR(MATCH(DONNEES_SOURCE!$B25,{"2. Très rarement (Moins d'une fois par mois)","3. Rarement (1 à 3 fois par mois)","4. Parfois (Environ une fois par semaine)","5. Régulièrement (Plusieurs fois par semaine)","6. Quotidiennement (Une fois par jour)","7. Très fréquemment (Plusieurs fois par jour)"},0)+1,""),"")</f>
        <v>7</v>
      </c>
      <c r="R25">
        <f>IF(DONNEES_SOURCE!$CA25=TRUE,DONNEES_SOURCE!$BW25,"")</f>
        <v>5.75</v>
      </c>
      <c r="S25">
        <f>IF(DONNEES_SOURCE!$CA25=TRUE,DONNEES_SOURCE!$AU25,"")</f>
        <v>2</v>
      </c>
      <c r="T25">
        <f>IF(DONNEES_SOURCE!$CA25=TRUE,DONNEES_SOURCE!$BW25,"")</f>
        <v>5.75</v>
      </c>
      <c r="U25">
        <f>IF(DONNEES_SOURCE!$CA25=TRUE,IFERROR(MATCH(DONNEES_SOURCE!$B25,{"2. Très rarement (Moins d'une fois par mois)","3. Rarement (1 à 3 fois par mois)","4. Parfois (Environ une fois par semaine)","5. Régulièrement (Plusieurs fois par semaine)","6. Quotidiennement (Une fois par jour)","7. Très fréquemment (Plusieurs fois par jour)"},0)+1,""),"")</f>
        <v>7</v>
      </c>
    </row>
    <row r="26" spans="1:22" ht="20.100000000000001" customHeight="1" x14ac:dyDescent="0.25">
      <c r="A26" t="s">
        <v>562</v>
      </c>
      <c r="B26" t="s">
        <v>554</v>
      </c>
      <c r="C26" s="250">
        <f>E35</f>
        <v>0.18957620665689032</v>
      </c>
      <c r="D26" s="250">
        <f>G35</f>
        <v>0.12441185721232748</v>
      </c>
      <c r="E26" t="str">
        <f t="shared" si="0"/>
        <v>NON (n.s.)</v>
      </c>
      <c r="F26" t="s">
        <v>555</v>
      </c>
      <c r="G26" t="str">
        <f t="shared" si="1"/>
        <v>INFIRMEE</v>
      </c>
      <c r="H26" t="s">
        <v>556</v>
      </c>
      <c r="P26">
        <f>IF(DONNEES_SOURCE!$CA26=TRUE,DONNEES_SOURCE!$BV26,"")</f>
        <v>3.3332999999999999</v>
      </c>
      <c r="Q26">
        <f>IF(DONNEES_SOURCE!$CA26=TRUE,IFERROR(MATCH(DONNEES_SOURCE!$B26,{"2. Très rarement (Moins d'une fois par mois)","3. Rarement (1 à 3 fois par mois)","4. Parfois (Environ une fois par semaine)","5. Régulièrement (Plusieurs fois par semaine)","6. Quotidiennement (Une fois par jour)","7. Très fréquemment (Plusieurs fois par jour)"},0)+1,""),"")</f>
        <v>5</v>
      </c>
      <c r="R26">
        <f>IF(DONNEES_SOURCE!$CA26=TRUE,DONNEES_SOURCE!$BW26,"")</f>
        <v>4.5</v>
      </c>
      <c r="S26">
        <f>IF(DONNEES_SOURCE!$CA26=TRUE,DONNEES_SOURCE!$AU26,"")</f>
        <v>5</v>
      </c>
      <c r="T26">
        <f>IF(DONNEES_SOURCE!$CA26=TRUE,DONNEES_SOURCE!$BW26,"")</f>
        <v>4.5</v>
      </c>
      <c r="U26">
        <f>IF(DONNEES_SOURCE!$CA26=TRUE,IFERROR(MATCH(DONNEES_SOURCE!$B26,{"2. Très rarement (Moins d'une fois par mois)","3. Rarement (1 à 3 fois par mois)","4. Parfois (Environ une fois par semaine)","5. Régulièrement (Plusieurs fois par semaine)","6. Quotidiennement (Une fois par jour)","7. Très fréquemment (Plusieurs fois par jour)"},0)+1,""),"")</f>
        <v>5</v>
      </c>
    </row>
    <row r="27" spans="1:22" ht="20.100000000000001" customHeight="1" x14ac:dyDescent="0.25">
      <c r="A27" t="s">
        <v>563</v>
      </c>
      <c r="B27" t="s">
        <v>554</v>
      </c>
      <c r="C27" s="250">
        <f>E36</f>
        <v>0.11261127342095291</v>
      </c>
      <c r="D27" s="250">
        <f>G36</f>
        <v>0.36424451291437565</v>
      </c>
      <c r="E27" t="str">
        <f t="shared" si="0"/>
        <v>NON (n.s.)</v>
      </c>
      <c r="F27" t="s">
        <v>555</v>
      </c>
      <c r="G27" t="str">
        <f t="shared" si="1"/>
        <v>INFIRMEE</v>
      </c>
      <c r="H27" t="s">
        <v>559</v>
      </c>
      <c r="P27">
        <f>IF(DONNEES_SOURCE!$CA27=TRUE,DONNEES_SOURCE!$BV27,"")</f>
        <v>5.3333000000000004</v>
      </c>
      <c r="Q27">
        <f>IF(DONNEES_SOURCE!$CA27=TRUE,IFERROR(MATCH(DONNEES_SOURCE!$B27,{"2. Très rarement (Moins d'une fois par mois)","3. Rarement (1 à 3 fois par mois)","4. Parfois (Environ une fois par semaine)","5. Régulièrement (Plusieurs fois par semaine)","6. Quotidiennement (Une fois par jour)","7. Très fréquemment (Plusieurs fois par jour)"},0)+1,""),"")</f>
        <v>2</v>
      </c>
      <c r="R27">
        <f>IF(DONNEES_SOURCE!$CA27=TRUE,DONNEES_SOURCE!$BW27,"")</f>
        <v>4.5</v>
      </c>
      <c r="S27">
        <f>IF(DONNEES_SOURCE!$CA27=TRUE,DONNEES_SOURCE!$AU27,"")</f>
        <v>5</v>
      </c>
      <c r="T27">
        <f>IF(DONNEES_SOURCE!$CA27=TRUE,DONNEES_SOURCE!$BW27,"")</f>
        <v>4.5</v>
      </c>
      <c r="U27">
        <f>IF(DONNEES_SOURCE!$CA27=TRUE,IFERROR(MATCH(DONNEES_SOURCE!$B27,{"2. Très rarement (Moins d'une fois par mois)","3. Rarement (1 à 3 fois par mois)","4. Parfois (Environ une fois par semaine)","5. Régulièrement (Plusieurs fois par semaine)","6. Quotidiennement (Une fois par jour)","7. Très fréquemment (Plusieurs fois par jour)"},0)+1,""),"")</f>
        <v>2</v>
      </c>
    </row>
    <row r="28" spans="1:22" x14ac:dyDescent="0.25">
      <c r="P28">
        <f>IF(DONNEES_SOURCE!$CA28=TRUE,DONNEES_SOURCE!$BV28,"")</f>
        <v>3</v>
      </c>
      <c r="Q28">
        <f>IF(DONNEES_SOURCE!$CA28=TRUE,IFERROR(MATCH(DONNEES_SOURCE!$B28,{"2. Très rarement (Moins d'une fois par mois)","3. Rarement (1 à 3 fois par mois)","4. Parfois (Environ une fois par semaine)","5. Régulièrement (Plusieurs fois par semaine)","6. Quotidiennement (Une fois par jour)","7. Très fréquemment (Plusieurs fois par jour)"},0)+1,""),"")</f>
        <v>2</v>
      </c>
      <c r="R28">
        <f>IF(DONNEES_SOURCE!$CA28=TRUE,DONNEES_SOURCE!$BW28,"")</f>
        <v>6.5</v>
      </c>
      <c r="S28">
        <f>IF(DONNEES_SOURCE!$CA28=TRUE,DONNEES_SOURCE!$AU28,"")</f>
        <v>5</v>
      </c>
      <c r="T28">
        <f>IF(DONNEES_SOURCE!$CA28=TRUE,DONNEES_SOURCE!$BW28,"")</f>
        <v>6.5</v>
      </c>
      <c r="U28">
        <f>IF(DONNEES_SOURCE!$CA28=TRUE,IFERROR(MATCH(DONNEES_SOURCE!$B28,{"2. Très rarement (Moins d'une fois par mois)","3. Rarement (1 à 3 fois par mois)","4. Parfois (Environ une fois par semaine)","5. Régulièrement (Plusieurs fois par semaine)","6. Quotidiennement (Une fois par jour)","7. Très fréquemment (Plusieurs fois par jour)"},0)+1,""),"")</f>
        <v>2</v>
      </c>
    </row>
    <row r="29" spans="1:22" x14ac:dyDescent="0.25">
      <c r="A29" s="160" t="s">
        <v>624</v>
      </c>
      <c r="B29" s="161"/>
      <c r="C29" s="161"/>
      <c r="D29" s="161"/>
      <c r="E29" s="161"/>
      <c r="F29" s="161"/>
      <c r="G29" s="161"/>
      <c r="H29" s="161"/>
      <c r="I29" s="161"/>
      <c r="J29" s="161"/>
      <c r="P29">
        <f>IF(DONNEES_SOURCE!$CA29=TRUE,DONNEES_SOURCE!$BV29,"")</f>
        <v>4.3333000000000004</v>
      </c>
      <c r="Q29">
        <f>IF(DONNEES_SOURCE!$CA29=TRUE,IFERROR(MATCH(DONNEES_SOURCE!$B29,{"2. Très rarement (Moins d'une fois par mois)","3. Rarement (1 à 3 fois par mois)","4. Parfois (Environ une fois par semaine)","5. Régulièrement (Plusieurs fois par semaine)","6. Quotidiennement (Une fois par jour)","7. Très fréquemment (Plusieurs fois par jour)"},0)+1,""),"")</f>
        <v>6</v>
      </c>
      <c r="R29">
        <f>IF(DONNEES_SOURCE!$CA29=TRUE,DONNEES_SOURCE!$BW29,"")</f>
        <v>4.75</v>
      </c>
      <c r="S29">
        <f>IF(DONNEES_SOURCE!$CA29=TRUE,DONNEES_SOURCE!$AU29,"")</f>
        <v>3</v>
      </c>
      <c r="T29">
        <f>IF(DONNEES_SOURCE!$CA29=TRUE,DONNEES_SOURCE!$BW29,"")</f>
        <v>4.75</v>
      </c>
      <c r="U29">
        <f>IF(DONNEES_SOURCE!$CA29=TRUE,IFERROR(MATCH(DONNEES_SOURCE!$B29,{"2. Très rarement (Moins d'une fois par mois)","3. Rarement (1 à 3 fois par mois)","4. Parfois (Environ une fois par semaine)","5. Régulièrement (Plusieurs fois par semaine)","6. Quotidiennement (Une fois par jour)","7. Très fréquemment (Plusieurs fois par jour)"},0)+1,""),"")</f>
        <v>6</v>
      </c>
    </row>
    <row r="30" spans="1:22" x14ac:dyDescent="0.25">
      <c r="A30" s="162" t="s">
        <v>625</v>
      </c>
      <c r="B30" s="162" t="s">
        <v>626</v>
      </c>
      <c r="C30" s="162" t="s">
        <v>627</v>
      </c>
      <c r="D30" s="162" t="s">
        <v>628</v>
      </c>
      <c r="E30" s="162" t="s">
        <v>547</v>
      </c>
      <c r="F30" s="162" t="s">
        <v>629</v>
      </c>
      <c r="G30" s="162" t="s">
        <v>548</v>
      </c>
      <c r="H30" s="162" t="s">
        <v>549</v>
      </c>
      <c r="I30" s="167" t="s">
        <v>551</v>
      </c>
      <c r="J30" s="161"/>
      <c r="P30">
        <f>IF(DONNEES_SOURCE!$CA30=TRUE,DONNEES_SOURCE!$BV30,"")</f>
        <v>5.3333000000000004</v>
      </c>
      <c r="Q30">
        <f>IF(DONNEES_SOURCE!$CA30=TRUE,IFERROR(MATCH(DONNEES_SOURCE!$B30,{"2. Très rarement (Moins d'une fois par mois)","3. Rarement (1 à 3 fois par mois)","4. Parfois (Environ une fois par semaine)","5. Régulièrement (Plusieurs fois par semaine)","6. Quotidiennement (Une fois par jour)","7. Très fréquemment (Plusieurs fois par jour)"},0)+1,""),"")</f>
        <v>7</v>
      </c>
      <c r="R30">
        <f>IF(DONNEES_SOURCE!$CA30=TRUE,DONNEES_SOURCE!$BW30,"")</f>
        <v>5.25</v>
      </c>
      <c r="S30">
        <f>IF(DONNEES_SOURCE!$CA30=TRUE,DONNEES_SOURCE!$AU30,"")</f>
        <v>3</v>
      </c>
      <c r="T30">
        <f>IF(DONNEES_SOURCE!$CA30=TRUE,DONNEES_SOURCE!$BW30,"")</f>
        <v>5.25</v>
      </c>
      <c r="U30">
        <f>IF(DONNEES_SOURCE!$CA30=TRUE,IFERROR(MATCH(DONNEES_SOURCE!$B30,{"2. Très rarement (Moins d'une fois par mois)","3. Rarement (1 à 3 fois par mois)","4. Parfois (Environ une fois par semaine)","5. Régulièrement (Plusieurs fois par semaine)","6. Quotidiennement (Une fois par jour)","7. Très fréquemment (Plusieurs fois par jour)"},0)+1,""),"")</f>
        <v>7</v>
      </c>
    </row>
    <row r="31" spans="1:22" x14ac:dyDescent="0.25">
      <c r="A31" s="163" t="s">
        <v>630</v>
      </c>
      <c r="B31" s="164" t="s">
        <v>631</v>
      </c>
      <c r="C31" s="164" t="s">
        <v>632</v>
      </c>
      <c r="D31" s="165">
        <v>67</v>
      </c>
      <c r="E31" s="166" cm="1">
        <f t="array" ref="E31">CORREL(
  IF(DONNEES_SOURCE!$CA$2:$CA$101=TRUE, _xlfn.RANK.AVG(DONNEES_SOURCE!$BU$2:$BU$101, DONNEES_SOURCE!$BU$2:$BU$101)),
  IF(DONNEES_SOURCE!$CA$2:$CA$101=TRUE, _xlfn.RANK.AVG(DONNEES_SOURCE!$CB$2:$CB$101, DONNEES_SOURCE!$CB$2:$CB$101))
)</f>
        <v>0.16799573079388649</v>
      </c>
      <c r="F31" s="165">
        <f>E31*SQRT((D31-2)/(1-E31^2))</f>
        <v>1.3739518670599664</v>
      </c>
      <c r="G31" s="166">
        <f>TDIST(ABS(F31),D31-2,2)</f>
        <v>0.17417627109125927</v>
      </c>
      <c r="H31" s="165" t="str">
        <f t="shared" ref="H31:H36" si="2">IF(G31&lt;0.05,"OUI (p&lt;0.05)","NON (n.s.)")</f>
        <v>NON (n.s.)</v>
      </c>
      <c r="I31" s="168" t="str">
        <f t="shared" ref="I31:I36" si="3">IF(H31="OUI (p&lt;0.05)","CONFIRMÉE","INFIRMÉE")</f>
        <v>INFIRMÉE</v>
      </c>
      <c r="J31" s="161"/>
      <c r="P31">
        <f>IF(DONNEES_SOURCE!$CA31=TRUE,DONNEES_SOURCE!$BV31,"")</f>
        <v>4.6666999999999996</v>
      </c>
      <c r="Q31">
        <f>IF(DONNEES_SOURCE!$CA31=TRUE,IFERROR(MATCH(DONNEES_SOURCE!$B31,{"2. Très rarement (Moins d'une fois par mois)","3. Rarement (1 à 3 fois par mois)","4. Parfois (Environ une fois par semaine)","5. Régulièrement (Plusieurs fois par semaine)","6. Quotidiennement (Une fois par jour)","7. Très fréquemment (Plusieurs fois par jour)"},0)+1,""),"")</f>
        <v>6</v>
      </c>
      <c r="R31">
        <f>IF(DONNEES_SOURCE!$CA31=TRUE,DONNEES_SOURCE!$BW31,"")</f>
        <v>4.75</v>
      </c>
      <c r="S31">
        <f>IF(DONNEES_SOURCE!$CA31=TRUE,DONNEES_SOURCE!$AU31,"")</f>
        <v>6</v>
      </c>
      <c r="T31">
        <f>IF(DONNEES_SOURCE!$CA31=TRUE,DONNEES_SOURCE!$BW31,"")</f>
        <v>4.75</v>
      </c>
      <c r="U31">
        <f>IF(DONNEES_SOURCE!$CA31=TRUE,IFERROR(MATCH(DONNEES_SOURCE!$B31,{"2. Très rarement (Moins d'une fois par mois)","3. Rarement (1 à 3 fois par mois)","4. Parfois (Environ une fois par semaine)","5. Régulièrement (Plusieurs fois par semaine)","6. Quotidiennement (Une fois par jour)","7. Très fréquemment (Plusieurs fois par jour)"},0)+1,""),"")</f>
        <v>6</v>
      </c>
    </row>
    <row r="32" spans="1:22" x14ac:dyDescent="0.25">
      <c r="A32" s="163" t="s">
        <v>633</v>
      </c>
      <c r="B32" s="164" t="s">
        <v>634</v>
      </c>
      <c r="C32" s="164" t="s">
        <v>632</v>
      </c>
      <c r="D32" s="165">
        <v>67</v>
      </c>
      <c r="E32" s="166" cm="1">
        <f t="array" ref="E32">CORREL(
  IF(DONNEES_SOURCE!$CA$2:$CA$101=TRUE(), _xlfn.RANK.AVG(DONNEES_SOURCE!$BV$2:$BV$101, DONNEES_SOURCE!$BV$2:$BV$101)),
  IF(DONNEES_SOURCE!$CA$2:$CA$101=TRUE(), _xlfn.RANK.AVG(DONNEES_SOURCE!$CB$2:$CB$101, DONNEES_SOURCE!$CB$2:$CB$101))
)</f>
        <v>0.3249278719182116</v>
      </c>
      <c r="F32" s="165">
        <f t="shared" ref="F32:F36" si="4">E32*SQRT((D32-2)/(1-E32^2))</f>
        <v>2.7699532393942996</v>
      </c>
      <c r="G32" s="166">
        <f t="shared" ref="G32:G36" si="5">TDIST(ABS(F32),D32-2,2)</f>
        <v>7.3005317475038451E-3</v>
      </c>
      <c r="H32" s="165" t="str">
        <f t="shared" si="2"/>
        <v>OUI (p&lt;0.05)</v>
      </c>
      <c r="I32" s="168" t="str">
        <f t="shared" si="3"/>
        <v>CONFIRMÉE</v>
      </c>
      <c r="J32" s="161"/>
      <c r="P32">
        <f>IF(DONNEES_SOURCE!$CA32=TRUE,DONNEES_SOURCE!$BV32,"")</f>
        <v>5.3333000000000004</v>
      </c>
      <c r="Q32">
        <f>IF(DONNEES_SOURCE!$CA32=TRUE,IFERROR(MATCH(DONNEES_SOURCE!$B32,{"2. Très rarement (Moins d'une fois par mois)","3. Rarement (1 à 3 fois par mois)","4. Parfois (Environ une fois par semaine)","5. Régulièrement (Plusieurs fois par semaine)","6. Quotidiennement (Une fois par jour)","7. Très fréquemment (Plusieurs fois par jour)"},0)+1,""),"")</f>
        <v>4</v>
      </c>
      <c r="R32">
        <f>IF(DONNEES_SOURCE!$CA32=TRUE,DONNEES_SOURCE!$BW32,"")</f>
        <v>6.25</v>
      </c>
      <c r="S32">
        <f>IF(DONNEES_SOURCE!$CA32=TRUE,DONNEES_SOURCE!$AU32,"")</f>
        <v>3</v>
      </c>
      <c r="T32">
        <f>IF(DONNEES_SOURCE!$CA32=TRUE,DONNEES_SOURCE!$BW32,"")</f>
        <v>6.25</v>
      </c>
      <c r="U32">
        <f>IF(DONNEES_SOURCE!$CA32=TRUE,IFERROR(MATCH(DONNEES_SOURCE!$B32,{"2. Très rarement (Moins d'une fois par mois)","3. Rarement (1 à 3 fois par mois)","4. Parfois (Environ une fois par semaine)","5. Régulièrement (Plusieurs fois par semaine)","6. Quotidiennement (Une fois par jour)","7. Très fréquemment (Plusieurs fois par jour)"},0)+1,""),"")</f>
        <v>4</v>
      </c>
    </row>
    <row r="33" spans="1:21" x14ac:dyDescent="0.25">
      <c r="A33" s="163" t="s">
        <v>635</v>
      </c>
      <c r="B33" s="164" t="s">
        <v>636</v>
      </c>
      <c r="C33" s="164" t="s">
        <v>637</v>
      </c>
      <c r="D33" s="165">
        <v>67</v>
      </c>
      <c r="E33" s="166" cm="1">
        <f t="array" ref="E33">CORREL(
  IF(DONNEES_SOURCE!$CA$2:$CA$101=TRUE(),_xlfn.RANK.AVG(DONNEES_SOURCE!$BW$2:$BW$101,DONNEES_SOURCE!$BW$2:$BW$101)),
  IF(DONNEES_SOURCE!$CA$2:$CA$101=TRUE(),_xlfn.RANK.AVG(DONNEES_SOURCE!$AU$2:$AU$101,DONNEES_SOURCE!$AU$2:$AU$101))
)</f>
        <v>0.30950561196222048</v>
      </c>
      <c r="F33" s="165">
        <f t="shared" si="4"/>
        <v>2.6241668673151048</v>
      </c>
      <c r="G33" s="166">
        <f t="shared" si="5"/>
        <v>1.0814038085717938E-2</v>
      </c>
      <c r="H33" s="165" t="str">
        <f t="shared" si="2"/>
        <v>OUI (p&lt;0.05)</v>
      </c>
      <c r="I33" s="168" t="str">
        <f t="shared" si="3"/>
        <v>CONFIRMÉE</v>
      </c>
      <c r="J33" s="161"/>
      <c r="P33">
        <f>IF(DONNEES_SOURCE!$CA33=TRUE,DONNEES_SOURCE!$BV33,"")</f>
        <v>5.6666999999999996</v>
      </c>
      <c r="Q33">
        <f>IF(DONNEES_SOURCE!$CA33=TRUE,IFERROR(MATCH(DONNEES_SOURCE!$B33,{"2. Très rarement (Moins d'une fois par mois)","3. Rarement (1 à 3 fois par mois)","4. Parfois (Environ une fois par semaine)","5. Régulièrement (Plusieurs fois par semaine)","6. Quotidiennement (Une fois par jour)","7. Très fréquemment (Plusieurs fois par jour)"},0)+1,""),"")</f>
        <v>7</v>
      </c>
      <c r="R33">
        <f>IF(DONNEES_SOURCE!$CA33=TRUE,DONNEES_SOURCE!$BW33,"")</f>
        <v>3.75</v>
      </c>
      <c r="S33">
        <f>IF(DONNEES_SOURCE!$CA33=TRUE,DONNEES_SOURCE!$AU33,"")</f>
        <v>2</v>
      </c>
      <c r="T33">
        <f>IF(DONNEES_SOURCE!$CA33=TRUE,DONNEES_SOURCE!$BW33,"")</f>
        <v>3.75</v>
      </c>
      <c r="U33">
        <f>IF(DONNEES_SOURCE!$CA33=TRUE,IFERROR(MATCH(DONNEES_SOURCE!$B33,{"2. Très rarement (Moins d'une fois par mois)","3. Rarement (1 à 3 fois par mois)","4. Parfois (Environ une fois par semaine)","5. Régulièrement (Plusieurs fois par semaine)","6. Quotidiennement (Une fois par jour)","7. Très fréquemment (Plusieurs fois par jour)"},0)+1,""),"")</f>
        <v>7</v>
      </c>
    </row>
    <row r="34" spans="1:21" x14ac:dyDescent="0.25">
      <c r="A34" s="163" t="s">
        <v>656</v>
      </c>
      <c r="B34" s="164" t="s">
        <v>636</v>
      </c>
      <c r="C34" s="164" t="s">
        <v>632</v>
      </c>
      <c r="D34" s="165">
        <v>67</v>
      </c>
      <c r="E34" s="166" cm="1">
        <f t="array" ref="E34">CORREL(
  IF(DONNEES_SOURCE!$CA$2:$CA$101=TRUE(),_xlfn.RANK.AVG(DONNEES_SOURCE!$BW$2:$BW$101,DONNEES_SOURCE!$BW$2:$BW$101)),
  IF(DONNEES_SOURCE!$CA$2:$CA$101=TRUE(),_xlfn.RANK.AVG(DONNEES_SOURCE!$CB$2:$CB$101,DONNEES_SOURCE!$CB$2:$CB$101))
)</f>
        <v>-0.23098831616581353</v>
      </c>
      <c r="F34" s="165">
        <f t="shared" si="4"/>
        <v>-1.9140499042245309</v>
      </c>
      <c r="G34" s="166">
        <f t="shared" si="5"/>
        <v>6.0018256687192705E-2</v>
      </c>
      <c r="H34" s="165" t="str">
        <f t="shared" si="2"/>
        <v>NON (n.s.)</v>
      </c>
      <c r="I34" s="168" t="str">
        <f t="shared" si="3"/>
        <v>INFIRMÉE</v>
      </c>
      <c r="J34" s="161"/>
      <c r="P34">
        <f>IF(DONNEES_SOURCE!$CA34=TRUE,DONNEES_SOURCE!$BV34,"")</f>
        <v>4.6666999999999996</v>
      </c>
      <c r="Q34">
        <f>IF(DONNEES_SOURCE!$CA34=TRUE,IFERROR(MATCH(DONNEES_SOURCE!$B34,{"2. Très rarement (Moins d'une fois par mois)","3. Rarement (1 à 3 fois par mois)","4. Parfois (Environ une fois par semaine)","5. Régulièrement (Plusieurs fois par semaine)","6. Quotidiennement (Une fois par jour)","7. Très fréquemment (Plusieurs fois par jour)"},0)+1,""),"")</f>
        <v>5</v>
      </c>
      <c r="R34">
        <f>IF(DONNEES_SOURCE!$CA34=TRUE,DONNEES_SOURCE!$BW34,"")</f>
        <v>5.5</v>
      </c>
      <c r="S34">
        <f>IF(DONNEES_SOURCE!$CA34=TRUE,DONNEES_SOURCE!$AU34,"")</f>
        <v>6</v>
      </c>
      <c r="T34">
        <f>IF(DONNEES_SOURCE!$CA34=TRUE,DONNEES_SOURCE!$BW34,"")</f>
        <v>5.5</v>
      </c>
      <c r="U34">
        <f>IF(DONNEES_SOURCE!$CA34=TRUE,IFERROR(MATCH(DONNEES_SOURCE!$B34,{"2. Très rarement (Moins d'une fois par mois)","3. Rarement (1 à 3 fois par mois)","4. Parfois (Environ une fois par semaine)","5. Régulièrement (Plusieurs fois par semaine)","6. Quotidiennement (Une fois par jour)","7. Très fréquemment (Plusieurs fois par jour)"},0)+1,""),"")</f>
        <v>5</v>
      </c>
    </row>
    <row r="35" spans="1:21" x14ac:dyDescent="0.25">
      <c r="A35" s="163" t="s">
        <v>638</v>
      </c>
      <c r="B35" s="164" t="s">
        <v>639</v>
      </c>
      <c r="C35" s="164" t="s">
        <v>640</v>
      </c>
      <c r="D35" s="165">
        <v>67</v>
      </c>
      <c r="E35" s="166" cm="1">
        <f t="array" ref="E35">CORREL(
  IF(DONNEES_SOURCE!$CA$2:$CA$101=TRUE(),_xlfn.RANK.AVG(DONNEES_SOURCE!$BX$2:$BX$101,DONNEES_SOURCE!$BX$2:$BX$101)),
  IF(DONNEES_SOURCE!$CA$2:$CA$101=TRUE(),_xlfn.RANK.AVG(DONNEES_SOURCE!$BY$2:$BY$101,DONNEES_SOURCE!$BY$2:$BY$101))
)</f>
        <v>0.18957620665689032</v>
      </c>
      <c r="F35" s="165">
        <f t="shared" si="4"/>
        <v>1.5566403411740144</v>
      </c>
      <c r="G35" s="166">
        <f t="shared" si="5"/>
        <v>0.12441185721232748</v>
      </c>
      <c r="H35" s="165" t="str">
        <f>IF(G35&lt;0.05,"OUI (p&lt;0.05)","NON (n.s.)")</f>
        <v>NON (n.s.)</v>
      </c>
      <c r="I35" s="168" t="str">
        <f>IF(H35="OUI (p&lt;0.05)","CONFIRMÉE","INFIRMÉE")</f>
        <v>INFIRMÉE</v>
      </c>
      <c r="J35" s="161"/>
      <c r="P35">
        <f>IF(DONNEES_SOURCE!$CA35=TRUE,DONNEES_SOURCE!$BV35,"")</f>
        <v>4.6666999999999996</v>
      </c>
      <c r="Q35">
        <f>IF(DONNEES_SOURCE!$CA35=TRUE,IFERROR(MATCH(DONNEES_SOURCE!$B35,{"2. Très rarement (Moins d'une fois par mois)","3. Rarement (1 à 3 fois par mois)","4. Parfois (Environ une fois par semaine)","5. Régulièrement (Plusieurs fois par semaine)","6. Quotidiennement (Une fois par jour)","7. Très fréquemment (Plusieurs fois par jour)"},0)+1,""),"")</f>
        <v>5</v>
      </c>
      <c r="R35">
        <f>IF(DONNEES_SOURCE!$CA35=TRUE,DONNEES_SOURCE!$BW35,"")</f>
        <v>5.5</v>
      </c>
      <c r="S35">
        <f>IF(DONNEES_SOURCE!$CA35=TRUE,DONNEES_SOURCE!$AU35,"")</f>
        <v>6</v>
      </c>
      <c r="T35">
        <f>IF(DONNEES_SOURCE!$CA35=TRUE,DONNEES_SOURCE!$BW35,"")</f>
        <v>5.5</v>
      </c>
      <c r="U35">
        <f>IF(DONNEES_SOURCE!$CA35=TRUE,IFERROR(MATCH(DONNEES_SOURCE!$B35,{"2. Très rarement (Moins d'une fois par mois)","3. Rarement (1 à 3 fois par mois)","4. Parfois (Environ une fois par semaine)","5. Régulièrement (Plusieurs fois par semaine)","6. Quotidiennement (Une fois par jour)","7. Très fréquemment (Plusieurs fois par jour)"},0)+1,""),"")</f>
        <v>5</v>
      </c>
    </row>
    <row r="36" spans="1:21" x14ac:dyDescent="0.25">
      <c r="A36" s="163" t="s">
        <v>641</v>
      </c>
      <c r="B36" s="164" t="s">
        <v>636</v>
      </c>
      <c r="C36" s="164" t="s">
        <v>640</v>
      </c>
      <c r="D36" s="165">
        <v>67</v>
      </c>
      <c r="E36" s="166" cm="1">
        <f t="array" ref="E36">CORREL(
  IF(DONNEES_SOURCE!$CA$2:$CA$101=TRUE(),_xlfn.RANK.AVG(DONNEES_SOURCE!$BW$2:$BW$101,DONNEES_SOURCE!$BW$2:$BW$101)),
  IF(DONNEES_SOURCE!$CA$2:$CA$101=TRUE(),_xlfn.RANK.AVG(DONNEES_SOURCE!$BY$2:$BY$101,DONNEES_SOURCE!$BY$2:$BY$101))
)</f>
        <v>0.11261127342095291</v>
      </c>
      <c r="F36" s="165">
        <f t="shared" si="4"/>
        <v>0.91371313112552144</v>
      </c>
      <c r="G36" s="166">
        <f t="shared" si="5"/>
        <v>0.36424451291437565</v>
      </c>
      <c r="H36" s="165" t="str">
        <f t="shared" si="2"/>
        <v>NON (n.s.)</v>
      </c>
      <c r="I36" s="168" t="str">
        <f t="shared" si="3"/>
        <v>INFIRMÉE</v>
      </c>
      <c r="J36" s="161"/>
      <c r="P36">
        <f>IF(DONNEES_SOURCE!$CA36=TRUE,DONNEES_SOURCE!$BV36,"")</f>
        <v>4.6666999999999996</v>
      </c>
      <c r="Q36">
        <f>IF(DONNEES_SOURCE!$CA36=TRUE,IFERROR(MATCH(DONNEES_SOURCE!$B36,{"2. Très rarement (Moins d'une fois par mois)","3. Rarement (1 à 3 fois par mois)","4. Parfois (Environ une fois par semaine)","5. Régulièrement (Plusieurs fois par semaine)","6. Quotidiennement (Une fois par jour)","7. Très fréquemment (Plusieurs fois par jour)"},0)+1,""),"")</f>
        <v>5</v>
      </c>
      <c r="R36">
        <f>IF(DONNEES_SOURCE!$CA36=TRUE,DONNEES_SOURCE!$BW36,"")</f>
        <v>7</v>
      </c>
      <c r="S36">
        <f>IF(DONNEES_SOURCE!$CA36=TRUE,DONNEES_SOURCE!$AU36,"")</f>
        <v>6</v>
      </c>
      <c r="T36">
        <f>IF(DONNEES_SOURCE!$CA36=TRUE,DONNEES_SOURCE!$BW36,"")</f>
        <v>7</v>
      </c>
      <c r="U36">
        <f>IF(DONNEES_SOURCE!$CA36=TRUE,IFERROR(MATCH(DONNEES_SOURCE!$B36,{"2. Très rarement (Moins d'une fois par mois)","3. Rarement (1 à 3 fois par mois)","4. Parfois (Environ une fois par semaine)","5. Régulièrement (Plusieurs fois par semaine)","6. Quotidiennement (Une fois par jour)","7. Très fréquemment (Plusieurs fois par jour)"},0)+1,""),"")</f>
        <v>5</v>
      </c>
    </row>
    <row r="37" spans="1:21" x14ac:dyDescent="0.25">
      <c r="P37">
        <f>IF(DONNEES_SOURCE!$CA37=TRUE,DONNEES_SOURCE!$BV37,"")</f>
        <v>4.3333000000000004</v>
      </c>
      <c r="Q37">
        <f>IF(DONNEES_SOURCE!$CA37=TRUE,IFERROR(MATCH(DONNEES_SOURCE!$B37,{"2. Très rarement (Moins d'une fois par mois)","3. Rarement (1 à 3 fois par mois)","4. Parfois (Environ une fois par semaine)","5. Régulièrement (Plusieurs fois par semaine)","6. Quotidiennement (Une fois par jour)","7. Très fréquemment (Plusieurs fois par jour)"},0)+1,""),"")</f>
        <v>4</v>
      </c>
      <c r="R37">
        <f>IF(DONNEES_SOURCE!$CA37=TRUE,DONNEES_SOURCE!$BW37,"")</f>
        <v>7</v>
      </c>
      <c r="S37">
        <f>IF(DONNEES_SOURCE!$CA37=TRUE,DONNEES_SOURCE!$AU37,"")</f>
        <v>5</v>
      </c>
      <c r="T37">
        <f>IF(DONNEES_SOURCE!$CA37=TRUE,DONNEES_SOURCE!$BW37,"")</f>
        <v>7</v>
      </c>
      <c r="U37">
        <f>IF(DONNEES_SOURCE!$CA37=TRUE,IFERROR(MATCH(DONNEES_SOURCE!$B37,{"2. Très rarement (Moins d'une fois par mois)","3. Rarement (1 à 3 fois par mois)","4. Parfois (Environ une fois par semaine)","5. Régulièrement (Plusieurs fois par semaine)","6. Quotidiennement (Une fois par jour)","7. Très fréquemment (Plusieurs fois par jour)"},0)+1,""),"")</f>
        <v>4</v>
      </c>
    </row>
    <row r="38" spans="1:21" x14ac:dyDescent="0.25">
      <c r="P38">
        <f>IF(DONNEES_SOURCE!$CA38=TRUE,DONNEES_SOURCE!$BV38,"")</f>
        <v>3.6667000000000001</v>
      </c>
      <c r="Q38">
        <f>IF(DONNEES_SOURCE!$CA38=TRUE,IFERROR(MATCH(DONNEES_SOURCE!$B38,{"2. Très rarement (Moins d'une fois par mois)","3. Rarement (1 à 3 fois par mois)","4. Parfois (Environ une fois par semaine)","5. Régulièrement (Plusieurs fois par semaine)","6. Quotidiennement (Une fois par jour)","7. Très fréquemment (Plusieurs fois par jour)"},0)+1,""),"")</f>
        <v>5</v>
      </c>
      <c r="R38">
        <f>IF(DONNEES_SOURCE!$CA38=TRUE,DONNEES_SOURCE!$BW38,"")</f>
        <v>5.5</v>
      </c>
      <c r="S38">
        <f>IF(DONNEES_SOURCE!$CA38=TRUE,DONNEES_SOURCE!$AU38,"")</f>
        <v>3</v>
      </c>
      <c r="T38">
        <f>IF(DONNEES_SOURCE!$CA38=TRUE,DONNEES_SOURCE!$BW38,"")</f>
        <v>5.5</v>
      </c>
      <c r="U38">
        <f>IF(DONNEES_SOURCE!$CA38=TRUE,IFERROR(MATCH(DONNEES_SOURCE!$B38,{"2. Très rarement (Moins d'une fois par mois)","3. Rarement (1 à 3 fois par mois)","4. Parfois (Environ une fois par semaine)","5. Régulièrement (Plusieurs fois par semaine)","6. Quotidiennement (Une fois par jour)","7. Très fréquemment (Plusieurs fois par jour)"},0)+1,""),"")</f>
        <v>5</v>
      </c>
    </row>
    <row r="39" spans="1:21" x14ac:dyDescent="0.25">
      <c r="P39">
        <f>IF(DONNEES_SOURCE!$CA39=TRUE,DONNEES_SOURCE!$BV39,"")</f>
        <v>4.3333000000000004</v>
      </c>
      <c r="Q39">
        <f>IF(DONNEES_SOURCE!$CA39=TRUE,IFERROR(MATCH(DONNEES_SOURCE!$B39,{"2. Très rarement (Moins d'une fois par mois)","3. Rarement (1 à 3 fois par mois)","4. Parfois (Environ une fois par semaine)","5. Régulièrement (Plusieurs fois par semaine)","6. Quotidiennement (Une fois par jour)","7. Très fréquemment (Plusieurs fois par jour)"},0)+1,""),"")</f>
        <v>6</v>
      </c>
      <c r="R39">
        <f>IF(DONNEES_SOURCE!$CA39=TRUE,DONNEES_SOURCE!$BW39,"")</f>
        <v>6.5</v>
      </c>
      <c r="S39">
        <f>IF(DONNEES_SOURCE!$CA39=TRUE,DONNEES_SOURCE!$AU39,"")</f>
        <v>6</v>
      </c>
      <c r="T39">
        <f>IF(DONNEES_SOURCE!$CA39=TRUE,DONNEES_SOURCE!$BW39,"")</f>
        <v>6.5</v>
      </c>
      <c r="U39">
        <f>IF(DONNEES_SOURCE!$CA39=TRUE,IFERROR(MATCH(DONNEES_SOURCE!$B39,{"2. Très rarement (Moins d'une fois par mois)","3. Rarement (1 à 3 fois par mois)","4. Parfois (Environ une fois par semaine)","5. Régulièrement (Plusieurs fois par semaine)","6. Quotidiennement (Une fois par jour)","7. Très fréquemment (Plusieurs fois par jour)"},0)+1,""),"")</f>
        <v>6</v>
      </c>
    </row>
    <row r="40" spans="1:21" x14ac:dyDescent="0.25">
      <c r="P40">
        <f>IF(DONNEES_SOURCE!$CA40=TRUE,DONNEES_SOURCE!$BV40,"")</f>
        <v>4</v>
      </c>
      <c r="Q40">
        <f>IF(DONNEES_SOURCE!$CA40=TRUE,IFERROR(MATCH(DONNEES_SOURCE!$B40,{"2. Très rarement (Moins d'une fois par mois)","3. Rarement (1 à 3 fois par mois)","4. Parfois (Environ une fois par semaine)","5. Régulièrement (Plusieurs fois par semaine)","6. Quotidiennement (Une fois par jour)","7. Très fréquemment (Plusieurs fois par jour)"},0)+1,""),"")</f>
        <v>4</v>
      </c>
      <c r="R40">
        <f>IF(DONNEES_SOURCE!$CA40=TRUE,DONNEES_SOURCE!$BW40,"")</f>
        <v>5.75</v>
      </c>
      <c r="S40">
        <f>IF(DONNEES_SOURCE!$CA40=TRUE,DONNEES_SOURCE!$AU40,"")</f>
        <v>3</v>
      </c>
      <c r="T40">
        <f>IF(DONNEES_SOURCE!$CA40=TRUE,DONNEES_SOURCE!$BW40,"")</f>
        <v>5.75</v>
      </c>
      <c r="U40">
        <f>IF(DONNEES_SOURCE!$CA40=TRUE,IFERROR(MATCH(DONNEES_SOURCE!$B40,{"2. Très rarement (Moins d'une fois par mois)","3. Rarement (1 à 3 fois par mois)","4. Parfois (Environ une fois par semaine)","5. Régulièrement (Plusieurs fois par semaine)","6. Quotidiennement (Une fois par jour)","7. Très fréquemment (Plusieurs fois par jour)"},0)+1,""),"")</f>
        <v>4</v>
      </c>
    </row>
    <row r="41" spans="1:21" x14ac:dyDescent="0.25">
      <c r="P41">
        <f>IF(DONNEES_SOURCE!$CA41=TRUE,DONNEES_SOURCE!$BV41,"")</f>
        <v>3.6667000000000001</v>
      </c>
      <c r="Q41">
        <f>IF(DONNEES_SOURCE!$CA41=TRUE,IFERROR(MATCH(DONNEES_SOURCE!$B41,{"2. Très rarement (Moins d'une fois par mois)","3. Rarement (1 à 3 fois par mois)","4. Parfois (Environ une fois par semaine)","5. Régulièrement (Plusieurs fois par semaine)","6. Quotidiennement (Une fois par jour)","7. Très fréquemment (Plusieurs fois par jour)"},0)+1,""),"")</f>
        <v>5</v>
      </c>
      <c r="R41">
        <f>IF(DONNEES_SOURCE!$CA41=TRUE,DONNEES_SOURCE!$BW41,"")</f>
        <v>6.25</v>
      </c>
      <c r="S41">
        <f>IF(DONNEES_SOURCE!$CA41=TRUE,DONNEES_SOURCE!$AU41,"")</f>
        <v>4</v>
      </c>
      <c r="T41">
        <f>IF(DONNEES_SOURCE!$CA41=TRUE,DONNEES_SOURCE!$BW41,"")</f>
        <v>6.25</v>
      </c>
      <c r="U41">
        <f>IF(DONNEES_SOURCE!$CA41=TRUE,IFERROR(MATCH(DONNEES_SOURCE!$B41,{"2. Très rarement (Moins d'une fois par mois)","3. Rarement (1 à 3 fois par mois)","4. Parfois (Environ une fois par semaine)","5. Régulièrement (Plusieurs fois par semaine)","6. Quotidiennement (Une fois par jour)","7. Très fréquemment (Plusieurs fois par jour)"},0)+1,""),"")</f>
        <v>5</v>
      </c>
    </row>
    <row r="42" spans="1:21" x14ac:dyDescent="0.25">
      <c r="P42">
        <f>IF(DONNEES_SOURCE!$CA42=TRUE,DONNEES_SOURCE!$BV42,"")</f>
        <v>4</v>
      </c>
      <c r="Q42">
        <f>IF(DONNEES_SOURCE!$CA42=TRUE,IFERROR(MATCH(DONNEES_SOURCE!$B42,{"2. Très rarement (Moins d'une fois par mois)","3. Rarement (1 à 3 fois par mois)","4. Parfois (Environ une fois par semaine)","5. Régulièrement (Plusieurs fois par semaine)","6. Quotidiennement (Une fois par jour)","7. Très fréquemment (Plusieurs fois par jour)"},0)+1,""),"")</f>
        <v>7</v>
      </c>
      <c r="R42">
        <f>IF(DONNEES_SOURCE!$CA42=TRUE,DONNEES_SOURCE!$BW42,"")</f>
        <v>4.5</v>
      </c>
      <c r="S42">
        <f>IF(DONNEES_SOURCE!$CA42=TRUE,DONNEES_SOURCE!$AU42,"")</f>
        <v>1</v>
      </c>
      <c r="T42">
        <f>IF(DONNEES_SOURCE!$CA42=TRUE,DONNEES_SOURCE!$BW42,"")</f>
        <v>4.5</v>
      </c>
      <c r="U42">
        <f>IF(DONNEES_SOURCE!$CA42=TRUE,IFERROR(MATCH(DONNEES_SOURCE!$B42,{"2. Très rarement (Moins d'une fois par mois)","3. Rarement (1 à 3 fois par mois)","4. Parfois (Environ une fois par semaine)","5. Régulièrement (Plusieurs fois par semaine)","6. Quotidiennement (Une fois par jour)","7. Très fréquemment (Plusieurs fois par jour)"},0)+1,""),"")</f>
        <v>7</v>
      </c>
    </row>
    <row r="43" spans="1:21" x14ac:dyDescent="0.25">
      <c r="P43">
        <f>IF(DONNEES_SOURCE!$CA43=TRUE,DONNEES_SOURCE!$BV43,"")</f>
        <v>5</v>
      </c>
      <c r="Q43">
        <f>IF(DONNEES_SOURCE!$CA43=TRUE,IFERROR(MATCH(DONNEES_SOURCE!$B43,{"2. Très rarement (Moins d'une fois par mois)","3. Rarement (1 à 3 fois par mois)","4. Parfois (Environ une fois par semaine)","5. Régulièrement (Plusieurs fois par semaine)","6. Quotidiennement (Une fois par jour)","7. Très fréquemment (Plusieurs fois par jour)"},0)+1,""),"")</f>
        <v>5</v>
      </c>
      <c r="R43">
        <f>IF(DONNEES_SOURCE!$CA43=TRUE,DONNEES_SOURCE!$BW43,"")</f>
        <v>6.75</v>
      </c>
      <c r="S43">
        <f>IF(DONNEES_SOURCE!$CA43=TRUE,DONNEES_SOURCE!$AU43,"")</f>
        <v>3</v>
      </c>
      <c r="T43">
        <f>IF(DONNEES_SOURCE!$CA43=TRUE,DONNEES_SOURCE!$BW43,"")</f>
        <v>6.75</v>
      </c>
      <c r="U43">
        <f>IF(DONNEES_SOURCE!$CA43=TRUE,IFERROR(MATCH(DONNEES_SOURCE!$B43,{"2. Très rarement (Moins d'une fois par mois)","3. Rarement (1 à 3 fois par mois)","4. Parfois (Environ une fois par semaine)","5. Régulièrement (Plusieurs fois par semaine)","6. Quotidiennement (Une fois par jour)","7. Très fréquemment (Plusieurs fois par jour)"},0)+1,""),"")</f>
        <v>5</v>
      </c>
    </row>
    <row r="44" spans="1:21" x14ac:dyDescent="0.25">
      <c r="P44">
        <f>IF(DONNEES_SOURCE!$CA44=TRUE,DONNEES_SOURCE!$BV44,"")</f>
        <v>4</v>
      </c>
      <c r="Q44">
        <f>IF(DONNEES_SOURCE!$CA44=TRUE,IFERROR(MATCH(DONNEES_SOURCE!$B44,{"2. Très rarement (Moins d'une fois par mois)","3. Rarement (1 à 3 fois par mois)","4. Parfois (Environ une fois par semaine)","5. Régulièrement (Plusieurs fois par semaine)","6. Quotidiennement (Une fois par jour)","7. Très fréquemment (Plusieurs fois par jour)"},0)+1,""),"")</f>
        <v>5</v>
      </c>
      <c r="R44">
        <f>IF(DONNEES_SOURCE!$CA44=TRUE,DONNEES_SOURCE!$BW44,"")</f>
        <v>5.75</v>
      </c>
      <c r="S44">
        <f>IF(DONNEES_SOURCE!$CA44=TRUE,DONNEES_SOURCE!$AU44,"")</f>
        <v>6</v>
      </c>
      <c r="T44">
        <f>IF(DONNEES_SOURCE!$CA44=TRUE,DONNEES_SOURCE!$BW44,"")</f>
        <v>5.75</v>
      </c>
      <c r="U44">
        <f>IF(DONNEES_SOURCE!$CA44=TRUE,IFERROR(MATCH(DONNEES_SOURCE!$B44,{"2. Très rarement (Moins d'une fois par mois)","3. Rarement (1 à 3 fois par mois)","4. Parfois (Environ une fois par semaine)","5. Régulièrement (Plusieurs fois par semaine)","6. Quotidiennement (Une fois par jour)","7. Très fréquemment (Plusieurs fois par jour)"},0)+1,""),"")</f>
        <v>5</v>
      </c>
    </row>
    <row r="45" spans="1:21" x14ac:dyDescent="0.25">
      <c r="P45">
        <f>IF(DONNEES_SOURCE!$CA45=TRUE,DONNEES_SOURCE!$BV45,"")</f>
        <v>4</v>
      </c>
      <c r="Q45">
        <f>IF(DONNEES_SOURCE!$CA45=TRUE,IFERROR(MATCH(DONNEES_SOURCE!$B45,{"2. Très rarement (Moins d'une fois par mois)","3. Rarement (1 à 3 fois par mois)","4. Parfois (Environ une fois par semaine)","5. Régulièrement (Plusieurs fois par semaine)","6. Quotidiennement (Une fois par jour)","7. Très fréquemment (Plusieurs fois par jour)"},0)+1,""),"")</f>
        <v>6</v>
      </c>
      <c r="R45">
        <f>IF(DONNEES_SOURCE!$CA45=TRUE,DONNEES_SOURCE!$BW45,"")</f>
        <v>5.25</v>
      </c>
      <c r="S45">
        <f>IF(DONNEES_SOURCE!$CA45=TRUE,DONNEES_SOURCE!$AU45,"")</f>
        <v>4</v>
      </c>
      <c r="T45">
        <f>IF(DONNEES_SOURCE!$CA45=TRUE,DONNEES_SOURCE!$BW45,"")</f>
        <v>5.25</v>
      </c>
      <c r="U45">
        <f>IF(DONNEES_SOURCE!$CA45=TRUE,IFERROR(MATCH(DONNEES_SOURCE!$B45,{"2. Très rarement (Moins d'une fois par mois)","3. Rarement (1 à 3 fois par mois)","4. Parfois (Environ une fois par semaine)","5. Régulièrement (Plusieurs fois par semaine)","6. Quotidiennement (Une fois par jour)","7. Très fréquemment (Plusieurs fois par jour)"},0)+1,""),"")</f>
        <v>6</v>
      </c>
    </row>
    <row r="46" spans="1:21" x14ac:dyDescent="0.25">
      <c r="P46">
        <f>IF(DONNEES_SOURCE!$CA46=TRUE,DONNEES_SOURCE!$BV46,"")</f>
        <v>4.6666999999999996</v>
      </c>
      <c r="Q46">
        <f>IF(DONNEES_SOURCE!$CA46=TRUE,IFERROR(MATCH(DONNEES_SOURCE!$B46,{"2. Très rarement (Moins d'une fois par mois)","3. Rarement (1 à 3 fois par mois)","4. Parfois (Environ une fois par semaine)","5. Régulièrement (Plusieurs fois par semaine)","6. Quotidiennement (Une fois par jour)","7. Très fréquemment (Plusieurs fois par jour)"},0)+1,""),"")</f>
        <v>6</v>
      </c>
      <c r="R46">
        <f>IF(DONNEES_SOURCE!$CA46=TRUE,DONNEES_SOURCE!$BW46,"")</f>
        <v>5.5</v>
      </c>
      <c r="S46">
        <f>IF(DONNEES_SOURCE!$CA46=TRUE,DONNEES_SOURCE!$AU46,"")</f>
        <v>1</v>
      </c>
      <c r="T46">
        <f>IF(DONNEES_SOURCE!$CA46=TRUE,DONNEES_SOURCE!$BW46,"")</f>
        <v>5.5</v>
      </c>
      <c r="U46">
        <f>IF(DONNEES_SOURCE!$CA46=TRUE,IFERROR(MATCH(DONNEES_SOURCE!$B46,{"2. Très rarement (Moins d'une fois par mois)","3. Rarement (1 à 3 fois par mois)","4. Parfois (Environ une fois par semaine)","5. Régulièrement (Plusieurs fois par semaine)","6. Quotidiennement (Une fois par jour)","7. Très fréquemment (Plusieurs fois par jour)"},0)+1,""),"")</f>
        <v>6</v>
      </c>
    </row>
    <row r="47" spans="1:21" x14ac:dyDescent="0.25">
      <c r="P47">
        <f>IF(DONNEES_SOURCE!$CA47=TRUE,DONNEES_SOURCE!$BV47,"")</f>
        <v>5.3333000000000004</v>
      </c>
      <c r="Q47">
        <f>IF(DONNEES_SOURCE!$CA47=TRUE,IFERROR(MATCH(DONNEES_SOURCE!$B47,{"2. Très rarement (Moins d'une fois par mois)","3. Rarement (1 à 3 fois par mois)","4. Parfois (Environ une fois par semaine)","5. Régulièrement (Plusieurs fois par semaine)","6. Quotidiennement (Une fois par jour)","7. Très fréquemment (Plusieurs fois par jour)"},0)+1,""),"")</f>
        <v>4</v>
      </c>
      <c r="R47">
        <f>IF(DONNEES_SOURCE!$CA47=TRUE,DONNEES_SOURCE!$BW47,"")</f>
        <v>5.5</v>
      </c>
      <c r="S47">
        <f>IF(DONNEES_SOURCE!$CA47=TRUE,DONNEES_SOURCE!$AU47,"")</f>
        <v>2</v>
      </c>
      <c r="T47">
        <f>IF(DONNEES_SOURCE!$CA47=TRUE,DONNEES_SOURCE!$BW47,"")</f>
        <v>5.5</v>
      </c>
      <c r="U47">
        <f>IF(DONNEES_SOURCE!$CA47=TRUE,IFERROR(MATCH(DONNEES_SOURCE!$B47,{"2. Très rarement (Moins d'une fois par mois)","3. Rarement (1 à 3 fois par mois)","4. Parfois (Environ une fois par semaine)","5. Régulièrement (Plusieurs fois par semaine)","6. Quotidiennement (Une fois par jour)","7. Très fréquemment (Plusieurs fois par jour)"},0)+1,""),"")</f>
        <v>4</v>
      </c>
    </row>
    <row r="48" spans="1:21" x14ac:dyDescent="0.25">
      <c r="P48">
        <f>IF(DONNEES_SOURCE!$CA48=TRUE,DONNEES_SOURCE!$BV48,"")</f>
        <v>5.6666999999999996</v>
      </c>
      <c r="Q48">
        <f>IF(DONNEES_SOURCE!$CA48=TRUE,IFERROR(MATCH(DONNEES_SOURCE!$B48,{"2. Très rarement (Moins d'une fois par mois)","3. Rarement (1 à 3 fois par mois)","4. Parfois (Environ une fois par semaine)","5. Régulièrement (Plusieurs fois par semaine)","6. Quotidiennement (Une fois par jour)","7. Très fréquemment (Plusieurs fois par jour)"},0)+1,""),"")</f>
        <v>5</v>
      </c>
      <c r="R48">
        <f>IF(DONNEES_SOURCE!$CA48=TRUE,DONNEES_SOURCE!$BW48,"")</f>
        <v>6</v>
      </c>
      <c r="S48">
        <f>IF(DONNEES_SOURCE!$CA48=TRUE,DONNEES_SOURCE!$AU48,"")</f>
        <v>3</v>
      </c>
      <c r="T48">
        <f>IF(DONNEES_SOURCE!$CA48=TRUE,DONNEES_SOURCE!$BW48,"")</f>
        <v>6</v>
      </c>
      <c r="U48">
        <f>IF(DONNEES_SOURCE!$CA48=TRUE,IFERROR(MATCH(DONNEES_SOURCE!$B48,{"2. Très rarement (Moins d'une fois par mois)","3. Rarement (1 à 3 fois par mois)","4. Parfois (Environ une fois par semaine)","5. Régulièrement (Plusieurs fois par semaine)","6. Quotidiennement (Une fois par jour)","7. Très fréquemment (Plusieurs fois par jour)"},0)+1,""),"")</f>
        <v>5</v>
      </c>
    </row>
    <row r="49" spans="16:21" x14ac:dyDescent="0.25">
      <c r="P49">
        <f>IF(DONNEES_SOURCE!$CA49=TRUE,DONNEES_SOURCE!$BV49,"")</f>
        <v>4.3333000000000004</v>
      </c>
      <c r="Q49">
        <f>IF(DONNEES_SOURCE!$CA49=TRUE,IFERROR(MATCH(DONNEES_SOURCE!$B49,{"2. Très rarement (Moins d'une fois par mois)","3. Rarement (1 à 3 fois par mois)","4. Parfois (Environ une fois par semaine)","5. Régulièrement (Plusieurs fois par semaine)","6. Quotidiennement (Une fois par jour)","7. Très fréquemment (Plusieurs fois par jour)"},0)+1,""),"")</f>
        <v>5</v>
      </c>
      <c r="R49">
        <f>IF(DONNEES_SOURCE!$CA49=TRUE,DONNEES_SOURCE!$BW49,"")</f>
        <v>5.25</v>
      </c>
      <c r="S49">
        <f>IF(DONNEES_SOURCE!$CA49=TRUE,DONNEES_SOURCE!$AU49,"")</f>
        <v>4</v>
      </c>
      <c r="T49">
        <f>IF(DONNEES_SOURCE!$CA49=TRUE,DONNEES_SOURCE!$BW49,"")</f>
        <v>5.25</v>
      </c>
      <c r="U49">
        <f>IF(DONNEES_SOURCE!$CA49=TRUE,IFERROR(MATCH(DONNEES_SOURCE!$B49,{"2. Très rarement (Moins d'une fois par mois)","3. Rarement (1 à 3 fois par mois)","4. Parfois (Environ une fois par semaine)","5. Régulièrement (Plusieurs fois par semaine)","6. Quotidiennement (Une fois par jour)","7. Très fréquemment (Plusieurs fois par jour)"},0)+1,""),"")</f>
        <v>5</v>
      </c>
    </row>
    <row r="50" spans="16:21" x14ac:dyDescent="0.25">
      <c r="P50">
        <f>IF(DONNEES_SOURCE!$CA50=TRUE,DONNEES_SOURCE!$BV50,"")</f>
        <v>4.3333000000000004</v>
      </c>
      <c r="Q50">
        <f>IF(DONNEES_SOURCE!$CA50=TRUE,IFERROR(MATCH(DONNEES_SOURCE!$B50,{"2. Très rarement (Moins d'une fois par mois)","3. Rarement (1 à 3 fois par mois)","4. Parfois (Environ une fois par semaine)","5. Régulièrement (Plusieurs fois par semaine)","6. Quotidiennement (Une fois par jour)","7. Très fréquemment (Plusieurs fois par jour)"},0)+1,""),"")</f>
        <v>5</v>
      </c>
      <c r="R50">
        <f>IF(DONNEES_SOURCE!$CA50=TRUE,DONNEES_SOURCE!$BW50,"")</f>
        <v>4.25</v>
      </c>
      <c r="S50">
        <f>IF(DONNEES_SOURCE!$CA50=TRUE,DONNEES_SOURCE!$AU50,"")</f>
        <v>2</v>
      </c>
      <c r="T50">
        <f>IF(DONNEES_SOURCE!$CA50=TRUE,DONNEES_SOURCE!$BW50,"")</f>
        <v>4.25</v>
      </c>
      <c r="U50">
        <f>IF(DONNEES_SOURCE!$CA50=TRUE,IFERROR(MATCH(DONNEES_SOURCE!$B50,{"2. Très rarement (Moins d'une fois par mois)","3. Rarement (1 à 3 fois par mois)","4. Parfois (Environ une fois par semaine)","5. Régulièrement (Plusieurs fois par semaine)","6. Quotidiennement (Une fois par jour)","7. Très fréquemment (Plusieurs fois par jour)"},0)+1,""),"")</f>
        <v>5</v>
      </c>
    </row>
    <row r="51" spans="16:21" x14ac:dyDescent="0.25">
      <c r="P51">
        <f>IF(DONNEES_SOURCE!$CA51=TRUE,DONNEES_SOURCE!$BV51,"")</f>
        <v>4.3333000000000004</v>
      </c>
      <c r="Q51">
        <f>IF(DONNEES_SOURCE!$CA51=TRUE,IFERROR(MATCH(DONNEES_SOURCE!$B51,{"2. Très rarement (Moins d'une fois par mois)","3. Rarement (1 à 3 fois par mois)","4. Parfois (Environ une fois par semaine)","5. Régulièrement (Plusieurs fois par semaine)","6. Quotidiennement (Une fois par jour)","7. Très fréquemment (Plusieurs fois par jour)"},0)+1,""),"")</f>
        <v>5</v>
      </c>
      <c r="R51">
        <f>IF(DONNEES_SOURCE!$CA51=TRUE,DONNEES_SOURCE!$BW51,"")</f>
        <v>5.5</v>
      </c>
      <c r="S51">
        <f>IF(DONNEES_SOURCE!$CA51=TRUE,DONNEES_SOURCE!$AU51,"")</f>
        <v>5</v>
      </c>
      <c r="T51">
        <f>IF(DONNEES_SOURCE!$CA51=TRUE,DONNEES_SOURCE!$BW51,"")</f>
        <v>5.5</v>
      </c>
      <c r="U51">
        <f>IF(DONNEES_SOURCE!$CA51=TRUE,IFERROR(MATCH(DONNEES_SOURCE!$B51,{"2. Très rarement (Moins d'une fois par mois)","3. Rarement (1 à 3 fois par mois)","4. Parfois (Environ une fois par semaine)","5. Régulièrement (Plusieurs fois par semaine)","6. Quotidiennement (Une fois par jour)","7. Très fréquemment (Plusieurs fois par jour)"},0)+1,""),"")</f>
        <v>5</v>
      </c>
    </row>
    <row r="52" spans="16:21" x14ac:dyDescent="0.25">
      <c r="P52">
        <f>IF(DONNEES_SOURCE!$CA52=TRUE,DONNEES_SOURCE!$BV52,"")</f>
        <v>5.6666999999999996</v>
      </c>
      <c r="Q52">
        <f>IF(DONNEES_SOURCE!$CA52=TRUE,IFERROR(MATCH(DONNEES_SOURCE!$B52,{"2. Très rarement (Moins d'une fois par mois)","3. Rarement (1 à 3 fois par mois)","4. Parfois (Environ une fois par semaine)","5. Régulièrement (Plusieurs fois par semaine)","6. Quotidiennement (Une fois par jour)","7. Très fréquemment (Plusieurs fois par jour)"},0)+1,""),"")</f>
        <v>4</v>
      </c>
      <c r="R52">
        <f>IF(DONNEES_SOURCE!$CA52=TRUE,DONNEES_SOURCE!$BW52,"")</f>
        <v>6.25</v>
      </c>
      <c r="S52">
        <f>IF(DONNEES_SOURCE!$CA52=TRUE,DONNEES_SOURCE!$AU52,"")</f>
        <v>4</v>
      </c>
      <c r="T52">
        <f>IF(DONNEES_SOURCE!$CA52=TRUE,DONNEES_SOURCE!$BW52,"")</f>
        <v>6.25</v>
      </c>
      <c r="U52">
        <f>IF(DONNEES_SOURCE!$CA52=TRUE,IFERROR(MATCH(DONNEES_SOURCE!$B52,{"2. Très rarement (Moins d'une fois par mois)","3. Rarement (1 à 3 fois par mois)","4. Parfois (Environ une fois par semaine)","5. Régulièrement (Plusieurs fois par semaine)","6. Quotidiennement (Une fois par jour)","7. Très fréquemment (Plusieurs fois par jour)"},0)+1,""),"")</f>
        <v>4</v>
      </c>
    </row>
    <row r="53" spans="16:21" x14ac:dyDescent="0.25">
      <c r="P53">
        <f>IF(DONNEES_SOURCE!$CA53=TRUE,DONNEES_SOURCE!$BV53,"")</f>
        <v>6.6666999999999996</v>
      </c>
      <c r="Q53">
        <f>IF(DONNEES_SOURCE!$CA53=TRUE,IFERROR(MATCH(DONNEES_SOURCE!$B53,{"2. Très rarement (Moins d'une fois par mois)","3. Rarement (1 à 3 fois par mois)","4. Parfois (Environ une fois par semaine)","5. Régulièrement (Plusieurs fois par semaine)","6. Quotidiennement (Une fois par jour)","7. Très fréquemment (Plusieurs fois par jour)"},0)+1,""),"")</f>
        <v>7</v>
      </c>
      <c r="R53">
        <f>IF(DONNEES_SOURCE!$CA53=TRUE,DONNEES_SOURCE!$BW53,"")</f>
        <v>5.5</v>
      </c>
      <c r="S53">
        <f>IF(DONNEES_SOURCE!$CA53=TRUE,DONNEES_SOURCE!$AU53,"")</f>
        <v>5</v>
      </c>
      <c r="T53">
        <f>IF(DONNEES_SOURCE!$CA53=TRUE,DONNEES_SOURCE!$BW53,"")</f>
        <v>5.5</v>
      </c>
      <c r="U53">
        <f>IF(DONNEES_SOURCE!$CA53=TRUE,IFERROR(MATCH(DONNEES_SOURCE!$B53,{"2. Très rarement (Moins d'une fois par mois)","3. Rarement (1 à 3 fois par mois)","4. Parfois (Environ une fois par semaine)","5. Régulièrement (Plusieurs fois par semaine)","6. Quotidiennement (Une fois par jour)","7. Très fréquemment (Plusieurs fois par jour)"},0)+1,""),"")</f>
        <v>7</v>
      </c>
    </row>
    <row r="54" spans="16:21" x14ac:dyDescent="0.25">
      <c r="P54">
        <f>IF(DONNEES_SOURCE!$CA54=TRUE,DONNEES_SOURCE!$BV54,"")</f>
        <v>4.3333000000000004</v>
      </c>
      <c r="Q54">
        <f>IF(DONNEES_SOURCE!$CA54=TRUE,IFERROR(MATCH(DONNEES_SOURCE!$B54,{"2. Très rarement (Moins d'une fois par mois)","3. Rarement (1 à 3 fois par mois)","4. Parfois (Environ une fois par semaine)","5. Régulièrement (Plusieurs fois par semaine)","6. Quotidiennement (Une fois par jour)","7. Très fréquemment (Plusieurs fois par jour)"},0)+1,""),"")</f>
        <v>7</v>
      </c>
      <c r="R54">
        <f>IF(DONNEES_SOURCE!$CA54=TRUE,DONNEES_SOURCE!$BW54,"")</f>
        <v>4.75</v>
      </c>
      <c r="S54">
        <f>IF(DONNEES_SOURCE!$CA54=TRUE,DONNEES_SOURCE!$AU54,"")</f>
        <v>3</v>
      </c>
      <c r="T54">
        <f>IF(DONNEES_SOURCE!$CA54=TRUE,DONNEES_SOURCE!$BW54,"")</f>
        <v>4.75</v>
      </c>
      <c r="U54">
        <f>IF(DONNEES_SOURCE!$CA54=TRUE,IFERROR(MATCH(DONNEES_SOURCE!$B54,{"2. Très rarement (Moins d'une fois par mois)","3. Rarement (1 à 3 fois par mois)","4. Parfois (Environ une fois par semaine)","5. Régulièrement (Plusieurs fois par semaine)","6. Quotidiennement (Une fois par jour)","7. Très fréquemment (Plusieurs fois par jour)"},0)+1,""),"")</f>
        <v>7</v>
      </c>
    </row>
    <row r="55" spans="16:21" x14ac:dyDescent="0.25">
      <c r="P55">
        <f>IF(DONNEES_SOURCE!$CA55=TRUE,DONNEES_SOURCE!$BV55,"")</f>
        <v>6.3333000000000004</v>
      </c>
      <c r="Q55">
        <f>IF(DONNEES_SOURCE!$CA55=TRUE,IFERROR(MATCH(DONNEES_SOURCE!$B55,{"2. Très rarement (Moins d'une fois par mois)","3. Rarement (1 à 3 fois par mois)","4. Parfois (Environ une fois par semaine)","5. Régulièrement (Plusieurs fois par semaine)","6. Quotidiennement (Une fois par jour)","7. Très fréquemment (Plusieurs fois par jour)"},0)+1,""),"")</f>
        <v>5</v>
      </c>
      <c r="R55">
        <f>IF(DONNEES_SOURCE!$CA55=TRUE,DONNEES_SOURCE!$BW55,"")</f>
        <v>4.5</v>
      </c>
      <c r="S55">
        <f>IF(DONNEES_SOURCE!$CA55=TRUE,DONNEES_SOURCE!$AU55,"")</f>
        <v>1</v>
      </c>
      <c r="T55">
        <f>IF(DONNEES_SOURCE!$CA55=TRUE,DONNEES_SOURCE!$BW55,"")</f>
        <v>4.5</v>
      </c>
      <c r="U55">
        <f>IF(DONNEES_SOURCE!$CA55=TRUE,IFERROR(MATCH(DONNEES_SOURCE!$B55,{"2. Très rarement (Moins d'une fois par mois)","3. Rarement (1 à 3 fois par mois)","4. Parfois (Environ une fois par semaine)","5. Régulièrement (Plusieurs fois par semaine)","6. Quotidiennement (Une fois par jour)","7. Très fréquemment (Plusieurs fois par jour)"},0)+1,""),"")</f>
        <v>5</v>
      </c>
    </row>
    <row r="56" spans="16:21" x14ac:dyDescent="0.25">
      <c r="P56">
        <f>IF(DONNEES_SOURCE!$CA56=TRUE,DONNEES_SOURCE!$BV56,"")</f>
        <v>4.6666999999999996</v>
      </c>
      <c r="Q56">
        <f>IF(DONNEES_SOURCE!$CA56=TRUE,IFERROR(MATCH(DONNEES_SOURCE!$B56,{"2. Très rarement (Moins d'une fois par mois)","3. Rarement (1 à 3 fois par mois)","4. Parfois (Environ une fois par semaine)","5. Régulièrement (Plusieurs fois par semaine)","6. Quotidiennement (Une fois par jour)","7. Très fréquemment (Plusieurs fois par jour)"},0)+1,""),"")</f>
        <v>5</v>
      </c>
      <c r="R56">
        <f>IF(DONNEES_SOURCE!$CA56=TRUE,DONNEES_SOURCE!$BW56,"")</f>
        <v>4.25</v>
      </c>
      <c r="S56">
        <f>IF(DONNEES_SOURCE!$CA56=TRUE,DONNEES_SOURCE!$AU56,"")</f>
        <v>5</v>
      </c>
      <c r="T56">
        <f>IF(DONNEES_SOURCE!$CA56=TRUE,DONNEES_SOURCE!$BW56,"")</f>
        <v>4.25</v>
      </c>
      <c r="U56">
        <f>IF(DONNEES_SOURCE!$CA56=TRUE,IFERROR(MATCH(DONNEES_SOURCE!$B56,{"2. Très rarement (Moins d'une fois par mois)","3. Rarement (1 à 3 fois par mois)","4. Parfois (Environ une fois par semaine)","5. Régulièrement (Plusieurs fois par semaine)","6. Quotidiennement (Une fois par jour)","7. Très fréquemment (Plusieurs fois par jour)"},0)+1,""),"")</f>
        <v>5</v>
      </c>
    </row>
    <row r="57" spans="16:21" x14ac:dyDescent="0.25">
      <c r="P57">
        <f>IF(DONNEES_SOURCE!$CA57=TRUE,DONNEES_SOURCE!$BV57,"")</f>
        <v>4.6666999999999996</v>
      </c>
      <c r="Q57">
        <f>IF(DONNEES_SOURCE!$CA57=TRUE,IFERROR(MATCH(DONNEES_SOURCE!$B57,{"2. Très rarement (Moins d'une fois par mois)","3. Rarement (1 à 3 fois par mois)","4. Parfois (Environ une fois par semaine)","5. Régulièrement (Plusieurs fois par semaine)","6. Quotidiennement (Une fois par jour)","7. Très fréquemment (Plusieurs fois par jour)"},0)+1,""),"")</f>
        <v>6</v>
      </c>
      <c r="R57">
        <f>IF(DONNEES_SOURCE!$CA57=TRUE,DONNEES_SOURCE!$BW57,"")</f>
        <v>5.75</v>
      </c>
      <c r="S57">
        <f>IF(DONNEES_SOURCE!$CA57=TRUE,DONNEES_SOURCE!$AU57,"")</f>
        <v>3</v>
      </c>
      <c r="T57">
        <f>IF(DONNEES_SOURCE!$CA57=TRUE,DONNEES_SOURCE!$BW57,"")</f>
        <v>5.75</v>
      </c>
      <c r="U57">
        <f>IF(DONNEES_SOURCE!$CA57=TRUE,IFERROR(MATCH(DONNEES_SOURCE!$B57,{"2. Très rarement (Moins d'une fois par mois)","3. Rarement (1 à 3 fois par mois)","4. Parfois (Environ une fois par semaine)","5. Régulièrement (Plusieurs fois par semaine)","6. Quotidiennement (Une fois par jour)","7. Très fréquemment (Plusieurs fois par jour)"},0)+1,""),"")</f>
        <v>6</v>
      </c>
    </row>
    <row r="58" spans="16:21" x14ac:dyDescent="0.25">
      <c r="P58">
        <f>IF(DONNEES_SOURCE!$CA58=TRUE,DONNEES_SOURCE!$BV58,"")</f>
        <v>4.3333000000000004</v>
      </c>
      <c r="Q58">
        <f>IF(DONNEES_SOURCE!$CA58=TRUE,IFERROR(MATCH(DONNEES_SOURCE!$B58,{"2. Très rarement (Moins d'une fois par mois)","3. Rarement (1 à 3 fois par mois)","4. Parfois (Environ une fois par semaine)","5. Régulièrement (Plusieurs fois par semaine)","6. Quotidiennement (Une fois par jour)","7. Très fréquemment (Plusieurs fois par jour)"},0)+1,""),"")</f>
        <v>5</v>
      </c>
      <c r="R58">
        <f>IF(DONNEES_SOURCE!$CA58=TRUE,DONNEES_SOURCE!$BW58,"")</f>
        <v>6.5</v>
      </c>
      <c r="S58">
        <f>IF(DONNEES_SOURCE!$CA58=TRUE,DONNEES_SOURCE!$AU58,"")</f>
        <v>7</v>
      </c>
      <c r="T58">
        <f>IF(DONNEES_SOURCE!$CA58=TRUE,DONNEES_SOURCE!$BW58,"")</f>
        <v>6.5</v>
      </c>
      <c r="U58">
        <f>IF(DONNEES_SOURCE!$CA58=TRUE,IFERROR(MATCH(DONNEES_SOURCE!$B58,{"2. Très rarement (Moins d'une fois par mois)","3. Rarement (1 à 3 fois par mois)","4. Parfois (Environ une fois par semaine)","5. Régulièrement (Plusieurs fois par semaine)","6. Quotidiennement (Une fois par jour)","7. Très fréquemment (Plusieurs fois par jour)"},0)+1,""),"")</f>
        <v>5</v>
      </c>
    </row>
    <row r="59" spans="16:21" x14ac:dyDescent="0.25">
      <c r="P59">
        <f>IF(DONNEES_SOURCE!$CA59=TRUE,DONNEES_SOURCE!$BV59,"")</f>
        <v>4.3333000000000004</v>
      </c>
      <c r="Q59">
        <f>IF(DONNEES_SOURCE!$CA59=TRUE,IFERROR(MATCH(DONNEES_SOURCE!$B59,{"2. Très rarement (Moins d'une fois par mois)","3. Rarement (1 à 3 fois par mois)","4. Parfois (Environ une fois par semaine)","5. Régulièrement (Plusieurs fois par semaine)","6. Quotidiennement (Une fois par jour)","7. Très fréquemment (Plusieurs fois par jour)"},0)+1,""),"")</f>
        <v>4</v>
      </c>
      <c r="R59">
        <f>IF(DONNEES_SOURCE!$CA59=TRUE,DONNEES_SOURCE!$BW59,"")</f>
        <v>6.5</v>
      </c>
      <c r="S59">
        <f>IF(DONNEES_SOURCE!$CA59=TRUE,DONNEES_SOURCE!$AU59,"")</f>
        <v>5</v>
      </c>
      <c r="T59">
        <f>IF(DONNEES_SOURCE!$CA59=TRUE,DONNEES_SOURCE!$BW59,"")</f>
        <v>6.5</v>
      </c>
      <c r="U59">
        <f>IF(DONNEES_SOURCE!$CA59=TRUE,IFERROR(MATCH(DONNEES_SOURCE!$B59,{"2. Très rarement (Moins d'une fois par mois)","3. Rarement (1 à 3 fois par mois)","4. Parfois (Environ une fois par semaine)","5. Régulièrement (Plusieurs fois par semaine)","6. Quotidiennement (Une fois par jour)","7. Très fréquemment (Plusieurs fois par jour)"},0)+1,""),"")</f>
        <v>4</v>
      </c>
    </row>
    <row r="60" spans="16:21" x14ac:dyDescent="0.25">
      <c r="P60">
        <f>IF(DONNEES_SOURCE!$CA60=TRUE,DONNEES_SOURCE!$BV60,"")</f>
        <v>5.6666999999999996</v>
      </c>
      <c r="Q60">
        <f>IF(DONNEES_SOURCE!$CA60=TRUE,IFERROR(MATCH(DONNEES_SOURCE!$B60,{"2. Très rarement (Moins d'une fois par mois)","3. Rarement (1 à 3 fois par mois)","4. Parfois (Environ une fois par semaine)","5. Régulièrement (Plusieurs fois par semaine)","6. Quotidiennement (Une fois par jour)","7. Très fréquemment (Plusieurs fois par jour)"},0)+1,""),"")</f>
        <v>6</v>
      </c>
      <c r="R60">
        <f>IF(DONNEES_SOURCE!$CA60=TRUE,DONNEES_SOURCE!$BW60,"")</f>
        <v>4.75</v>
      </c>
      <c r="S60">
        <f>IF(DONNEES_SOURCE!$CA60=TRUE,DONNEES_SOURCE!$AU60,"")</f>
        <v>1</v>
      </c>
      <c r="T60">
        <f>IF(DONNEES_SOURCE!$CA60=TRUE,DONNEES_SOURCE!$BW60,"")</f>
        <v>4.75</v>
      </c>
      <c r="U60">
        <f>IF(DONNEES_SOURCE!$CA60=TRUE,IFERROR(MATCH(DONNEES_SOURCE!$B60,{"2. Très rarement (Moins d'une fois par mois)","3. Rarement (1 à 3 fois par mois)","4. Parfois (Environ une fois par semaine)","5. Régulièrement (Plusieurs fois par semaine)","6. Quotidiennement (Une fois par jour)","7. Très fréquemment (Plusieurs fois par jour)"},0)+1,""),"")</f>
        <v>6</v>
      </c>
    </row>
    <row r="61" spans="16:21" x14ac:dyDescent="0.25">
      <c r="P61">
        <f>IF(DONNEES_SOURCE!$CA61=TRUE,DONNEES_SOURCE!$BV61,"")</f>
        <v>3</v>
      </c>
      <c r="Q61">
        <f>IF(DONNEES_SOURCE!$CA61=TRUE,IFERROR(MATCH(DONNEES_SOURCE!$B61,{"2. Très rarement (Moins d'une fois par mois)","3. Rarement (1 à 3 fois par mois)","4. Parfois (Environ une fois par semaine)","5. Régulièrement (Plusieurs fois par semaine)","6. Quotidiennement (Une fois par jour)","7. Très fréquemment (Plusieurs fois par jour)"},0)+1,""),"")</f>
        <v>5</v>
      </c>
      <c r="R61">
        <f>IF(DONNEES_SOURCE!$CA61=TRUE,DONNEES_SOURCE!$BW61,"")</f>
        <v>5.75</v>
      </c>
      <c r="S61">
        <f>IF(DONNEES_SOURCE!$CA61=TRUE,DONNEES_SOURCE!$AU61,"")</f>
        <v>4</v>
      </c>
      <c r="T61">
        <f>IF(DONNEES_SOURCE!$CA61=TRUE,DONNEES_SOURCE!$BW61,"")</f>
        <v>5.75</v>
      </c>
      <c r="U61">
        <f>IF(DONNEES_SOURCE!$CA61=TRUE,IFERROR(MATCH(DONNEES_SOURCE!$B61,{"2. Très rarement (Moins d'une fois par mois)","3. Rarement (1 à 3 fois par mois)","4. Parfois (Environ une fois par semaine)","5. Régulièrement (Plusieurs fois par semaine)","6. Quotidiennement (Une fois par jour)","7. Très fréquemment (Plusieurs fois par jour)"},0)+1,""),"")</f>
        <v>5</v>
      </c>
    </row>
    <row r="62" spans="16:21" x14ac:dyDescent="0.25">
      <c r="P62">
        <f>IF(DONNEES_SOURCE!$CA62=TRUE,DONNEES_SOURCE!$BV62,"")</f>
        <v>5.3333000000000004</v>
      </c>
      <c r="Q62">
        <f>IF(DONNEES_SOURCE!$CA62=TRUE,IFERROR(MATCH(DONNEES_SOURCE!$B62,{"2. Très rarement (Moins d'une fois par mois)","3. Rarement (1 à 3 fois par mois)","4. Parfois (Environ une fois par semaine)","5. Régulièrement (Plusieurs fois par semaine)","6. Quotidiennement (Une fois par jour)","7. Très fréquemment (Plusieurs fois par jour)"},0)+1,""),"")</f>
        <v>4</v>
      </c>
      <c r="R62">
        <f>IF(DONNEES_SOURCE!$CA62=TRUE,DONNEES_SOURCE!$BW62,"")</f>
        <v>5.25</v>
      </c>
      <c r="S62">
        <f>IF(DONNEES_SOURCE!$CA62=TRUE,DONNEES_SOURCE!$AU62,"")</f>
        <v>3</v>
      </c>
      <c r="T62">
        <f>IF(DONNEES_SOURCE!$CA62=TRUE,DONNEES_SOURCE!$BW62,"")</f>
        <v>5.25</v>
      </c>
      <c r="U62">
        <f>IF(DONNEES_SOURCE!$CA62=TRUE,IFERROR(MATCH(DONNEES_SOURCE!$B62,{"2. Très rarement (Moins d'une fois par mois)","3. Rarement (1 à 3 fois par mois)","4. Parfois (Environ une fois par semaine)","5. Régulièrement (Plusieurs fois par semaine)","6. Quotidiennement (Une fois par jour)","7. Très fréquemment (Plusieurs fois par jour)"},0)+1,""),"")</f>
        <v>4</v>
      </c>
    </row>
    <row r="63" spans="16:21" x14ac:dyDescent="0.25">
      <c r="P63">
        <f>IF(DONNEES_SOURCE!$CA63=TRUE,DONNEES_SOURCE!$BV63,"")</f>
        <v>2.6667000000000001</v>
      </c>
      <c r="Q63">
        <f>IF(DONNEES_SOURCE!$CA63=TRUE,IFERROR(MATCH(DONNEES_SOURCE!$B63,{"2. Très rarement (Moins d'une fois par mois)","3. Rarement (1 à 3 fois par mois)","4. Parfois (Environ une fois par semaine)","5. Régulièrement (Plusieurs fois par semaine)","6. Quotidiennement (Une fois par jour)","7. Très fréquemment (Plusieurs fois par jour)"},0)+1,""),"")</f>
        <v>5</v>
      </c>
      <c r="R63">
        <f>IF(DONNEES_SOURCE!$CA63=TRUE,DONNEES_SOURCE!$BW63,"")</f>
        <v>7</v>
      </c>
      <c r="S63">
        <f>IF(DONNEES_SOURCE!$CA63=TRUE,DONNEES_SOURCE!$AU63,"")</f>
        <v>7</v>
      </c>
      <c r="T63">
        <f>IF(DONNEES_SOURCE!$CA63=TRUE,DONNEES_SOURCE!$BW63,"")</f>
        <v>7</v>
      </c>
      <c r="U63">
        <f>IF(DONNEES_SOURCE!$CA63=TRUE,IFERROR(MATCH(DONNEES_SOURCE!$B63,{"2. Très rarement (Moins d'une fois par mois)","3. Rarement (1 à 3 fois par mois)","4. Parfois (Environ une fois par semaine)","5. Régulièrement (Plusieurs fois par semaine)","6. Quotidiennement (Une fois par jour)","7. Très fréquemment (Plusieurs fois par jour)"},0)+1,""),"")</f>
        <v>5</v>
      </c>
    </row>
    <row r="64" spans="16:21" x14ac:dyDescent="0.25">
      <c r="P64">
        <f>IF(DONNEES_SOURCE!$CA64=TRUE,DONNEES_SOURCE!$BV64,"")</f>
        <v>4</v>
      </c>
      <c r="Q64">
        <f>IF(DONNEES_SOURCE!$CA64=TRUE,IFERROR(MATCH(DONNEES_SOURCE!$B64,{"2. Très rarement (Moins d'une fois par mois)","3. Rarement (1 à 3 fois par mois)","4. Parfois (Environ une fois par semaine)","5. Régulièrement (Plusieurs fois par semaine)","6. Quotidiennement (Une fois par jour)","7. Très fréquemment (Plusieurs fois par jour)"},0)+1,""),"")</f>
        <v>3</v>
      </c>
      <c r="R64">
        <f>IF(DONNEES_SOURCE!$CA64=TRUE,DONNEES_SOURCE!$BW64,"")</f>
        <v>6.5</v>
      </c>
      <c r="S64">
        <f>IF(DONNEES_SOURCE!$CA64=TRUE,DONNEES_SOURCE!$AU64,"")</f>
        <v>5</v>
      </c>
      <c r="T64">
        <f>IF(DONNEES_SOURCE!$CA64=TRUE,DONNEES_SOURCE!$BW64,"")</f>
        <v>6.5</v>
      </c>
      <c r="U64">
        <f>IF(DONNEES_SOURCE!$CA64=TRUE,IFERROR(MATCH(DONNEES_SOURCE!$B64,{"2. Très rarement (Moins d'une fois par mois)","3. Rarement (1 à 3 fois par mois)","4. Parfois (Environ une fois par semaine)","5. Régulièrement (Plusieurs fois par semaine)","6. Quotidiennement (Une fois par jour)","7. Très fréquemment (Plusieurs fois par jour)"},0)+1,""),"")</f>
        <v>3</v>
      </c>
    </row>
    <row r="65" spans="16:21" x14ac:dyDescent="0.25">
      <c r="P65">
        <f>IF(DONNEES_SOURCE!$CA65=TRUE,DONNEES_SOURCE!$BV65,"")</f>
        <v>4.6666999999999996</v>
      </c>
      <c r="Q65">
        <f>IF(DONNEES_SOURCE!$CA65=TRUE,IFERROR(MATCH(DONNEES_SOURCE!$B65,{"2. Très rarement (Moins d'une fois par mois)","3. Rarement (1 à 3 fois par mois)","4. Parfois (Environ une fois par semaine)","5. Régulièrement (Plusieurs fois par semaine)","6. Quotidiennement (Une fois par jour)","7. Très fréquemment (Plusieurs fois par jour)"},0)+1,""),"")</f>
        <v>5</v>
      </c>
      <c r="R65">
        <f>IF(DONNEES_SOURCE!$CA65=TRUE,DONNEES_SOURCE!$BW65,"")</f>
        <v>5.25</v>
      </c>
      <c r="S65">
        <f>IF(DONNEES_SOURCE!$CA65=TRUE,DONNEES_SOURCE!$AU65,"")</f>
        <v>7</v>
      </c>
      <c r="T65">
        <f>IF(DONNEES_SOURCE!$CA65=TRUE,DONNEES_SOURCE!$BW65,"")</f>
        <v>5.25</v>
      </c>
      <c r="U65">
        <f>IF(DONNEES_SOURCE!$CA65=TRUE,IFERROR(MATCH(DONNEES_SOURCE!$B65,{"2. Très rarement (Moins d'une fois par mois)","3. Rarement (1 à 3 fois par mois)","4. Parfois (Environ une fois par semaine)","5. Régulièrement (Plusieurs fois par semaine)","6. Quotidiennement (Une fois par jour)","7. Très fréquemment (Plusieurs fois par jour)"},0)+1,""),"")</f>
        <v>5</v>
      </c>
    </row>
    <row r="66" spans="16:21" x14ac:dyDescent="0.25">
      <c r="P66">
        <f>IF(DONNEES_SOURCE!$CA66=TRUE,DONNEES_SOURCE!$BV66,"")</f>
        <v>4.6666999999999996</v>
      </c>
      <c r="Q66">
        <f>IF(DONNEES_SOURCE!$CA66=TRUE,IFERROR(MATCH(DONNEES_SOURCE!$B66,{"2. Très rarement (Moins d'une fois par mois)","3. Rarement (1 à 3 fois par mois)","4. Parfois (Environ une fois par semaine)","5. Régulièrement (Plusieurs fois par semaine)","6. Quotidiennement (Une fois par jour)","7. Très fréquemment (Plusieurs fois par jour)"},0)+1,""),"")</f>
        <v>5</v>
      </c>
      <c r="R66">
        <f>IF(DONNEES_SOURCE!$CA66=TRUE,DONNEES_SOURCE!$BW66,"")</f>
        <v>6</v>
      </c>
      <c r="S66">
        <f>IF(DONNEES_SOURCE!$CA66=TRUE,DONNEES_SOURCE!$AU66,"")</f>
        <v>5</v>
      </c>
      <c r="T66">
        <f>IF(DONNEES_SOURCE!$CA66=TRUE,DONNEES_SOURCE!$BW66,"")</f>
        <v>6</v>
      </c>
      <c r="U66">
        <f>IF(DONNEES_SOURCE!$CA66=TRUE,IFERROR(MATCH(DONNEES_SOURCE!$B66,{"2. Très rarement (Moins d'une fois par mois)","3. Rarement (1 à 3 fois par mois)","4. Parfois (Environ une fois par semaine)","5. Régulièrement (Plusieurs fois par semaine)","6. Quotidiennement (Une fois par jour)","7. Très fréquemment (Plusieurs fois par jour)"},0)+1,""),"")</f>
        <v>5</v>
      </c>
    </row>
    <row r="67" spans="16:21" x14ac:dyDescent="0.25">
      <c r="P67">
        <f>IF(DONNEES_SOURCE!$CA67=TRUE,DONNEES_SOURCE!$BV67,"")</f>
        <v>4</v>
      </c>
      <c r="Q67">
        <f>IF(DONNEES_SOURCE!$CA67=TRUE,IFERROR(MATCH(DONNEES_SOURCE!$B67,{"2. Très rarement (Moins d'une fois par mois)","3. Rarement (1 à 3 fois par mois)","4. Parfois (Environ une fois par semaine)","5. Régulièrement (Plusieurs fois par semaine)","6. Quotidiennement (Une fois par jour)","7. Très fréquemment (Plusieurs fois par jour)"},0)+1,""),"")</f>
        <v>4</v>
      </c>
      <c r="R67">
        <f>IF(DONNEES_SOURCE!$CA67=TRUE,DONNEES_SOURCE!$BW67,"")</f>
        <v>5.5</v>
      </c>
      <c r="S67">
        <f>IF(DONNEES_SOURCE!$CA67=TRUE,DONNEES_SOURCE!$AU67,"")</f>
        <v>5</v>
      </c>
      <c r="T67">
        <f>IF(DONNEES_SOURCE!$CA67=TRUE,DONNEES_SOURCE!$BW67,"")</f>
        <v>5.5</v>
      </c>
      <c r="U67">
        <f>IF(DONNEES_SOURCE!$CA67=TRUE,IFERROR(MATCH(DONNEES_SOURCE!$B67,{"2. Très rarement (Moins d'une fois par mois)","3. Rarement (1 à 3 fois par mois)","4. Parfois (Environ une fois par semaine)","5. Régulièrement (Plusieurs fois par semaine)","6. Quotidiennement (Une fois par jour)","7. Très fréquemment (Plusieurs fois par jour)"},0)+1,""),"")</f>
        <v>4</v>
      </c>
    </row>
    <row r="68" spans="16:21" x14ac:dyDescent="0.25">
      <c r="P68">
        <f>IF(DONNEES_SOURCE!$CA68=TRUE,DONNEES_SOURCE!$BV68,"")</f>
        <v>6</v>
      </c>
      <c r="Q68">
        <f>IF(DONNEES_SOURCE!$CA68=TRUE,IFERROR(MATCH(DONNEES_SOURCE!$B68,{"2. Très rarement (Moins d'une fois par mois)","3. Rarement (1 à 3 fois par mois)","4. Parfois (Environ une fois par semaine)","5. Régulièrement (Plusieurs fois par semaine)","6. Quotidiennement (Une fois par jour)","7. Très fréquemment (Plusieurs fois par jour)"},0)+1,""),"")</f>
        <v>6</v>
      </c>
      <c r="R68">
        <f>IF(DONNEES_SOURCE!$CA68=TRUE,DONNEES_SOURCE!$BW68,"")</f>
        <v>6.25</v>
      </c>
      <c r="S68">
        <f>IF(DONNEES_SOURCE!$CA68=TRUE,DONNEES_SOURCE!$AU68,"")</f>
        <v>7</v>
      </c>
      <c r="T68">
        <f>IF(DONNEES_SOURCE!$CA68=TRUE,DONNEES_SOURCE!$BW68,"")</f>
        <v>6.25</v>
      </c>
      <c r="U68">
        <f>IF(DONNEES_SOURCE!$CA68=TRUE,IFERROR(MATCH(DONNEES_SOURCE!$B68,{"2. Très rarement (Moins d'une fois par mois)","3. Rarement (1 à 3 fois par mois)","4. Parfois (Environ une fois par semaine)","5. Régulièrement (Plusieurs fois par semaine)","6. Quotidiennement (Une fois par jour)","7. Très fréquemment (Plusieurs fois par jour)"},0)+1,""),"")</f>
        <v>6</v>
      </c>
    </row>
    <row r="69" spans="16:21" x14ac:dyDescent="0.25">
      <c r="P69" t="str">
        <f>IF(DONNEES_SOURCE!$CA69=TRUE,DONNEES_SOURCE!$BV69,"")</f>
        <v/>
      </c>
      <c r="Q69" t="str">
        <f>IF(DONNEES_SOURCE!$CA69=TRUE,IFERROR(MATCH(DONNEES_SOURCE!$B69,{"2. Très rarement (Moins d'une fois par mois)","3. Rarement (1 à 3 fois par mois)","4. Parfois (Environ une fois par semaine)","5. Régulièrement (Plusieurs fois par semaine)","6. Quotidiennement (Une fois par jour)","7. Très fréquemment (Plusieurs fois par jour)"},0)+1,""),"")</f>
        <v/>
      </c>
      <c r="R69" t="str">
        <f>IF(DONNEES_SOURCE!$CA69=TRUE,DONNEES_SOURCE!$BW69,"")</f>
        <v/>
      </c>
      <c r="S69" t="str">
        <f>IF(DONNEES_SOURCE!$CA69=TRUE,DONNEES_SOURCE!$AU69,"")</f>
        <v/>
      </c>
      <c r="T69" t="str">
        <f>IF(DONNEES_SOURCE!$CA69=TRUE,DONNEES_SOURCE!$BW69,"")</f>
        <v/>
      </c>
      <c r="U69" t="str">
        <f>IF(DONNEES_SOURCE!$CA69=TRUE,IFERROR(MATCH(DONNEES_SOURCE!$B69,{"2. Très rarement (Moins d'une fois par mois)","3. Rarement (1 à 3 fois par mois)","4. Parfois (Environ une fois par semaine)","5. Régulièrement (Plusieurs fois par semaine)","6. Quotidiennement (Une fois par jour)","7. Très fréquemment (Plusieurs fois par jour)"},0)+1,""),"")</f>
        <v/>
      </c>
    </row>
    <row r="70" spans="16:21" x14ac:dyDescent="0.25">
      <c r="P70" t="str">
        <f>IF(DONNEES_SOURCE!$CA70=TRUE,DONNEES_SOURCE!$BV70,"")</f>
        <v/>
      </c>
      <c r="Q70" t="str">
        <f>IF(DONNEES_SOURCE!$CA70=TRUE,IFERROR(MATCH(DONNEES_SOURCE!$B70,{"2. Très rarement (Moins d'une fois par mois)","3. Rarement (1 à 3 fois par mois)","4. Parfois (Environ une fois par semaine)","5. Régulièrement (Plusieurs fois par semaine)","6. Quotidiennement (Une fois par jour)","7. Très fréquemment (Plusieurs fois par jour)"},0)+1,""),"")</f>
        <v/>
      </c>
      <c r="R70" t="str">
        <f>IF(DONNEES_SOURCE!$CA70=TRUE,DONNEES_SOURCE!$BW70,"")</f>
        <v/>
      </c>
      <c r="S70" t="str">
        <f>IF(DONNEES_SOURCE!$CA70=TRUE,DONNEES_SOURCE!$AU70,"")</f>
        <v/>
      </c>
      <c r="T70" t="str">
        <f>IF(DONNEES_SOURCE!$CA70=TRUE,DONNEES_SOURCE!$BW70,"")</f>
        <v/>
      </c>
      <c r="U70" t="str">
        <f>IF(DONNEES_SOURCE!$CA70=TRUE,IFERROR(MATCH(DONNEES_SOURCE!$B70,{"2. Très rarement (Moins d'une fois par mois)","3. Rarement (1 à 3 fois par mois)","4. Parfois (Environ une fois par semaine)","5. Régulièrement (Plusieurs fois par semaine)","6. Quotidiennement (Une fois par jour)","7. Très fréquemment (Plusieurs fois par jour)"},0)+1,""),"")</f>
        <v/>
      </c>
    </row>
    <row r="71" spans="16:21" x14ac:dyDescent="0.25">
      <c r="P71" t="str">
        <f>IF(DONNEES_SOURCE!$CA71=TRUE,DONNEES_SOURCE!$BV71,"")</f>
        <v/>
      </c>
      <c r="Q71" t="str">
        <f>IF(DONNEES_SOURCE!$CA71=TRUE,IFERROR(MATCH(DONNEES_SOURCE!$B71,{"2. Très rarement (Moins d'une fois par mois)","3. Rarement (1 à 3 fois par mois)","4. Parfois (Environ une fois par semaine)","5. Régulièrement (Plusieurs fois par semaine)","6. Quotidiennement (Une fois par jour)","7. Très fréquemment (Plusieurs fois par jour)"},0)+1,""),"")</f>
        <v/>
      </c>
      <c r="R71" t="str">
        <f>IF(DONNEES_SOURCE!$CA71=TRUE,DONNEES_SOURCE!$BW71,"")</f>
        <v/>
      </c>
      <c r="S71" t="str">
        <f>IF(DONNEES_SOURCE!$CA71=TRUE,DONNEES_SOURCE!$AU71,"")</f>
        <v/>
      </c>
      <c r="T71" t="str">
        <f>IF(DONNEES_SOURCE!$CA71=TRUE,DONNEES_SOURCE!$BW71,"")</f>
        <v/>
      </c>
      <c r="U71" t="str">
        <f>IF(DONNEES_SOURCE!$CA71=TRUE,IFERROR(MATCH(DONNEES_SOURCE!$B71,{"2. Très rarement (Moins d'une fois par mois)","3. Rarement (1 à 3 fois par mois)","4. Parfois (Environ une fois par semaine)","5. Régulièrement (Plusieurs fois par semaine)","6. Quotidiennement (Une fois par jour)","7. Très fréquemment (Plusieurs fois par jour)"},0)+1,""),"")</f>
        <v/>
      </c>
    </row>
    <row r="72" spans="16:21" x14ac:dyDescent="0.25">
      <c r="P72" t="str">
        <f>IF(DONNEES_SOURCE!$CA72=TRUE,DONNEES_SOURCE!$BV72,"")</f>
        <v/>
      </c>
      <c r="Q72" t="str">
        <f>IF(DONNEES_SOURCE!$CA72=TRUE,IFERROR(MATCH(DONNEES_SOURCE!$B72,{"2. Très rarement (Moins d'une fois par mois)","3. Rarement (1 à 3 fois par mois)","4. Parfois (Environ une fois par semaine)","5. Régulièrement (Plusieurs fois par semaine)","6. Quotidiennement (Une fois par jour)","7. Très fréquemment (Plusieurs fois par jour)"},0)+1,""),"")</f>
        <v/>
      </c>
      <c r="R72" t="str">
        <f>IF(DONNEES_SOURCE!$CA72=TRUE,DONNEES_SOURCE!$BW72,"")</f>
        <v/>
      </c>
      <c r="S72" t="str">
        <f>IF(DONNEES_SOURCE!$CA72=TRUE,DONNEES_SOURCE!$AU72,"")</f>
        <v/>
      </c>
      <c r="T72" t="str">
        <f>IF(DONNEES_SOURCE!$CA72=TRUE,DONNEES_SOURCE!$BW72,"")</f>
        <v/>
      </c>
      <c r="U72" t="str">
        <f>IF(DONNEES_SOURCE!$CA72=TRUE,IFERROR(MATCH(DONNEES_SOURCE!$B72,{"2. Très rarement (Moins d'une fois par mois)","3. Rarement (1 à 3 fois par mois)","4. Parfois (Environ une fois par semaine)","5. Régulièrement (Plusieurs fois par semaine)","6. Quotidiennement (Une fois par jour)","7. Très fréquemment (Plusieurs fois par jour)"},0)+1,""),"")</f>
        <v/>
      </c>
    </row>
    <row r="73" spans="16:21" x14ac:dyDescent="0.25">
      <c r="P73" t="str">
        <f>IF(DONNEES_SOURCE!$CA73=TRUE,DONNEES_SOURCE!$BV73,"")</f>
        <v/>
      </c>
      <c r="Q73" t="str">
        <f>IF(DONNEES_SOURCE!$CA73=TRUE,IFERROR(MATCH(DONNEES_SOURCE!$B73,{"2. Très rarement (Moins d'une fois par mois)","3. Rarement (1 à 3 fois par mois)","4. Parfois (Environ une fois par semaine)","5. Régulièrement (Plusieurs fois par semaine)","6. Quotidiennement (Une fois par jour)","7. Très fréquemment (Plusieurs fois par jour)"},0)+1,""),"")</f>
        <v/>
      </c>
      <c r="R73" t="str">
        <f>IF(DONNEES_SOURCE!$CA73=TRUE,DONNEES_SOURCE!$BW73,"")</f>
        <v/>
      </c>
      <c r="S73" t="str">
        <f>IF(DONNEES_SOURCE!$CA73=TRUE,DONNEES_SOURCE!$AU73,"")</f>
        <v/>
      </c>
      <c r="T73" t="str">
        <f>IF(DONNEES_SOURCE!$CA73=TRUE,DONNEES_SOURCE!$BW73,"")</f>
        <v/>
      </c>
      <c r="U73" t="str">
        <f>IF(DONNEES_SOURCE!$CA73=TRUE,IFERROR(MATCH(DONNEES_SOURCE!$B73,{"2. Très rarement (Moins d'une fois par mois)","3. Rarement (1 à 3 fois par mois)","4. Parfois (Environ une fois par semaine)","5. Régulièrement (Plusieurs fois par semaine)","6. Quotidiennement (Une fois par jour)","7. Très fréquemment (Plusieurs fois par jour)"},0)+1,""),"")</f>
        <v/>
      </c>
    </row>
    <row r="74" spans="16:21" x14ac:dyDescent="0.25">
      <c r="P74" t="str">
        <f>IF(DONNEES_SOURCE!$CA74=TRUE,DONNEES_SOURCE!$BV74,"")</f>
        <v/>
      </c>
      <c r="Q74" t="str">
        <f>IF(DONNEES_SOURCE!$CA74=TRUE,IFERROR(MATCH(DONNEES_SOURCE!$B74,{"2. Très rarement (Moins d'une fois par mois)","3. Rarement (1 à 3 fois par mois)","4. Parfois (Environ une fois par semaine)","5. Régulièrement (Plusieurs fois par semaine)","6. Quotidiennement (Une fois par jour)","7. Très fréquemment (Plusieurs fois par jour)"},0)+1,""),"")</f>
        <v/>
      </c>
      <c r="R74" t="str">
        <f>IF(DONNEES_SOURCE!$CA74=TRUE,DONNEES_SOURCE!$BW74,"")</f>
        <v/>
      </c>
      <c r="S74" t="str">
        <f>IF(DONNEES_SOURCE!$CA74=TRUE,DONNEES_SOURCE!$AU74,"")</f>
        <v/>
      </c>
      <c r="T74" t="str">
        <f>IF(DONNEES_SOURCE!$CA74=TRUE,DONNEES_SOURCE!$BW74,"")</f>
        <v/>
      </c>
      <c r="U74" t="str">
        <f>IF(DONNEES_SOURCE!$CA74=TRUE,IFERROR(MATCH(DONNEES_SOURCE!$B74,{"2. Très rarement (Moins d'une fois par mois)","3. Rarement (1 à 3 fois par mois)","4. Parfois (Environ une fois par semaine)","5. Régulièrement (Plusieurs fois par semaine)","6. Quotidiennement (Une fois par jour)","7. Très fréquemment (Plusieurs fois par jour)"},0)+1,""),"")</f>
        <v/>
      </c>
    </row>
    <row r="75" spans="16:21" x14ac:dyDescent="0.25">
      <c r="P75" t="str">
        <f>IF(DONNEES_SOURCE!$CA75=TRUE,DONNEES_SOURCE!$BV75,"")</f>
        <v/>
      </c>
      <c r="Q75" t="str">
        <f>IF(DONNEES_SOURCE!$CA75=TRUE,IFERROR(MATCH(DONNEES_SOURCE!$B75,{"2. Très rarement (Moins d'une fois par mois)","3. Rarement (1 à 3 fois par mois)","4. Parfois (Environ une fois par semaine)","5. Régulièrement (Plusieurs fois par semaine)","6. Quotidiennement (Une fois par jour)","7. Très fréquemment (Plusieurs fois par jour)"},0)+1,""),"")</f>
        <v/>
      </c>
      <c r="R75" t="str">
        <f>IF(DONNEES_SOURCE!$CA75=TRUE,DONNEES_SOURCE!$BW75,"")</f>
        <v/>
      </c>
      <c r="S75" t="str">
        <f>IF(DONNEES_SOURCE!$CA75=TRUE,DONNEES_SOURCE!$AU75,"")</f>
        <v/>
      </c>
      <c r="T75" t="str">
        <f>IF(DONNEES_SOURCE!$CA75=TRUE,DONNEES_SOURCE!$BW75,"")</f>
        <v/>
      </c>
      <c r="U75" t="str">
        <f>IF(DONNEES_SOURCE!$CA75=TRUE,IFERROR(MATCH(DONNEES_SOURCE!$B75,{"2. Très rarement (Moins d'une fois par mois)","3. Rarement (1 à 3 fois par mois)","4. Parfois (Environ une fois par semaine)","5. Régulièrement (Plusieurs fois par semaine)","6. Quotidiennement (Une fois par jour)","7. Très fréquemment (Plusieurs fois par jour)"},0)+1,""),"")</f>
        <v/>
      </c>
    </row>
    <row r="76" spans="16:21" x14ac:dyDescent="0.25">
      <c r="P76" t="str">
        <f>IF(DONNEES_SOURCE!$CA76=TRUE,DONNEES_SOURCE!$BV76,"")</f>
        <v/>
      </c>
      <c r="Q76" t="str">
        <f>IF(DONNEES_SOURCE!$CA76=TRUE,IFERROR(MATCH(DONNEES_SOURCE!$B76,{"2. Très rarement (Moins d'une fois par mois)","3. Rarement (1 à 3 fois par mois)","4. Parfois (Environ une fois par semaine)","5. Régulièrement (Plusieurs fois par semaine)","6. Quotidiennement (Une fois par jour)","7. Très fréquemment (Plusieurs fois par jour)"},0)+1,""),"")</f>
        <v/>
      </c>
      <c r="R76" t="str">
        <f>IF(DONNEES_SOURCE!$CA76=TRUE,DONNEES_SOURCE!$BW76,"")</f>
        <v/>
      </c>
      <c r="S76" t="str">
        <f>IF(DONNEES_SOURCE!$CA76=TRUE,DONNEES_SOURCE!$AU76,"")</f>
        <v/>
      </c>
      <c r="T76" t="str">
        <f>IF(DONNEES_SOURCE!$CA76=TRUE,DONNEES_SOURCE!$BW76,"")</f>
        <v/>
      </c>
      <c r="U76" t="str">
        <f>IF(DONNEES_SOURCE!$CA76=TRUE,IFERROR(MATCH(DONNEES_SOURCE!$B76,{"2. Très rarement (Moins d'une fois par mois)","3. Rarement (1 à 3 fois par mois)","4. Parfois (Environ une fois par semaine)","5. Régulièrement (Plusieurs fois par semaine)","6. Quotidiennement (Une fois par jour)","7. Très fréquemment (Plusieurs fois par jour)"},0)+1,""),"")</f>
        <v/>
      </c>
    </row>
    <row r="77" spans="16:21" x14ac:dyDescent="0.25">
      <c r="P77" t="str">
        <f>IF(DONNEES_SOURCE!$CA77=TRUE,DONNEES_SOURCE!$BV77,"")</f>
        <v/>
      </c>
      <c r="Q77" t="str">
        <f>IF(DONNEES_SOURCE!$CA77=TRUE,IFERROR(MATCH(DONNEES_SOURCE!$B77,{"2. Très rarement (Moins d'une fois par mois)","3. Rarement (1 à 3 fois par mois)","4. Parfois (Environ une fois par semaine)","5. Régulièrement (Plusieurs fois par semaine)","6. Quotidiennement (Une fois par jour)","7. Très fréquemment (Plusieurs fois par jour)"},0)+1,""),"")</f>
        <v/>
      </c>
      <c r="R77" t="str">
        <f>IF(DONNEES_SOURCE!$CA77=TRUE,DONNEES_SOURCE!$BW77,"")</f>
        <v/>
      </c>
      <c r="S77" t="str">
        <f>IF(DONNEES_SOURCE!$CA77=TRUE,DONNEES_SOURCE!$AU77,"")</f>
        <v/>
      </c>
      <c r="T77" t="str">
        <f>IF(DONNEES_SOURCE!$CA77=TRUE,DONNEES_SOURCE!$BW77,"")</f>
        <v/>
      </c>
      <c r="U77" t="str">
        <f>IF(DONNEES_SOURCE!$CA77=TRUE,IFERROR(MATCH(DONNEES_SOURCE!$B77,{"2. Très rarement (Moins d'une fois par mois)","3. Rarement (1 à 3 fois par mois)","4. Parfois (Environ une fois par semaine)","5. Régulièrement (Plusieurs fois par semaine)","6. Quotidiennement (Une fois par jour)","7. Très fréquemment (Plusieurs fois par jour)"},0)+1,""),"")</f>
        <v/>
      </c>
    </row>
    <row r="78" spans="16:21" x14ac:dyDescent="0.25">
      <c r="P78" t="str">
        <f>IF(DONNEES_SOURCE!$CA78=TRUE,DONNEES_SOURCE!$BV78,"")</f>
        <v/>
      </c>
      <c r="Q78" t="str">
        <f>IF(DONNEES_SOURCE!$CA78=TRUE,IFERROR(MATCH(DONNEES_SOURCE!$B78,{"2. Très rarement (Moins d'une fois par mois)","3. Rarement (1 à 3 fois par mois)","4. Parfois (Environ une fois par semaine)","5. Régulièrement (Plusieurs fois par semaine)","6. Quotidiennement (Une fois par jour)","7. Très fréquemment (Plusieurs fois par jour)"},0)+1,""),"")</f>
        <v/>
      </c>
      <c r="R78" t="str">
        <f>IF(DONNEES_SOURCE!$CA78=TRUE,DONNEES_SOURCE!$BW78,"")</f>
        <v/>
      </c>
      <c r="S78" t="str">
        <f>IF(DONNEES_SOURCE!$CA78=TRUE,DONNEES_SOURCE!$AU78,"")</f>
        <v/>
      </c>
      <c r="T78" t="str">
        <f>IF(DONNEES_SOURCE!$CA78=TRUE,DONNEES_SOURCE!$BW78,"")</f>
        <v/>
      </c>
      <c r="U78" t="str">
        <f>IF(DONNEES_SOURCE!$CA78=TRUE,IFERROR(MATCH(DONNEES_SOURCE!$B78,{"2. Très rarement (Moins d'une fois par mois)","3. Rarement (1 à 3 fois par mois)","4. Parfois (Environ une fois par semaine)","5. Régulièrement (Plusieurs fois par semaine)","6. Quotidiennement (Une fois par jour)","7. Très fréquemment (Plusieurs fois par jour)"},0)+1,""),"")</f>
        <v/>
      </c>
    </row>
    <row r="79" spans="16:21" x14ac:dyDescent="0.25">
      <c r="P79" t="str">
        <f>IF(DONNEES_SOURCE!$CA79=TRUE,DONNEES_SOURCE!$BV79,"")</f>
        <v/>
      </c>
      <c r="Q79" t="str">
        <f>IF(DONNEES_SOURCE!$CA79=TRUE,IFERROR(MATCH(DONNEES_SOURCE!$B79,{"2. Très rarement (Moins d'une fois par mois)","3. Rarement (1 à 3 fois par mois)","4. Parfois (Environ une fois par semaine)","5. Régulièrement (Plusieurs fois par semaine)","6. Quotidiennement (Une fois par jour)","7. Très fréquemment (Plusieurs fois par jour)"},0)+1,""),"")</f>
        <v/>
      </c>
      <c r="R79" t="str">
        <f>IF(DONNEES_SOURCE!$CA79=TRUE,DONNEES_SOURCE!$BW79,"")</f>
        <v/>
      </c>
      <c r="S79" t="str">
        <f>IF(DONNEES_SOURCE!$CA79=TRUE,DONNEES_SOURCE!$AU79,"")</f>
        <v/>
      </c>
      <c r="T79" t="str">
        <f>IF(DONNEES_SOURCE!$CA79=TRUE,DONNEES_SOURCE!$BW79,"")</f>
        <v/>
      </c>
      <c r="U79" t="str">
        <f>IF(DONNEES_SOURCE!$CA79=TRUE,IFERROR(MATCH(DONNEES_SOURCE!$B79,{"2. Très rarement (Moins d'une fois par mois)","3. Rarement (1 à 3 fois par mois)","4. Parfois (Environ une fois par semaine)","5. Régulièrement (Plusieurs fois par semaine)","6. Quotidiennement (Une fois par jour)","7. Très fréquemment (Plusieurs fois par jour)"},0)+1,""),"")</f>
        <v/>
      </c>
    </row>
    <row r="80" spans="16:21" x14ac:dyDescent="0.25">
      <c r="P80" t="str">
        <f>IF(DONNEES_SOURCE!$CA80=TRUE,DONNEES_SOURCE!$BV80,"")</f>
        <v/>
      </c>
      <c r="Q80" t="str">
        <f>IF(DONNEES_SOURCE!$CA80=TRUE,IFERROR(MATCH(DONNEES_SOURCE!$B80,{"2. Très rarement (Moins d'une fois par mois)","3. Rarement (1 à 3 fois par mois)","4. Parfois (Environ une fois par semaine)","5. Régulièrement (Plusieurs fois par semaine)","6. Quotidiennement (Une fois par jour)","7. Très fréquemment (Plusieurs fois par jour)"},0)+1,""),"")</f>
        <v/>
      </c>
      <c r="R80" t="str">
        <f>IF(DONNEES_SOURCE!$CA80=TRUE,DONNEES_SOURCE!$BW80,"")</f>
        <v/>
      </c>
      <c r="S80" t="str">
        <f>IF(DONNEES_SOURCE!$CA80=TRUE,DONNEES_SOURCE!$AU80,"")</f>
        <v/>
      </c>
      <c r="T80" t="str">
        <f>IF(DONNEES_SOURCE!$CA80=TRUE,DONNEES_SOURCE!$BW80,"")</f>
        <v/>
      </c>
      <c r="U80" t="str">
        <f>IF(DONNEES_SOURCE!$CA80=TRUE,IFERROR(MATCH(DONNEES_SOURCE!$B80,{"2. Très rarement (Moins d'une fois par mois)","3. Rarement (1 à 3 fois par mois)","4. Parfois (Environ une fois par semaine)","5. Régulièrement (Plusieurs fois par semaine)","6. Quotidiennement (Une fois par jour)","7. Très fréquemment (Plusieurs fois par jour)"},0)+1,""),"")</f>
        <v/>
      </c>
    </row>
    <row r="81" spans="16:21" x14ac:dyDescent="0.25">
      <c r="P81" t="str">
        <f>IF(DONNEES_SOURCE!$CA81=TRUE,DONNEES_SOURCE!$BV81,"")</f>
        <v/>
      </c>
      <c r="Q81" t="str">
        <f>IF(DONNEES_SOURCE!$CA81=TRUE,IFERROR(MATCH(DONNEES_SOURCE!$B81,{"2. Très rarement (Moins d'une fois par mois)","3. Rarement (1 à 3 fois par mois)","4. Parfois (Environ une fois par semaine)","5. Régulièrement (Plusieurs fois par semaine)","6. Quotidiennement (Une fois par jour)","7. Très fréquemment (Plusieurs fois par jour)"},0)+1,""),"")</f>
        <v/>
      </c>
      <c r="R81" t="str">
        <f>IF(DONNEES_SOURCE!$CA81=TRUE,DONNEES_SOURCE!$BW81,"")</f>
        <v/>
      </c>
      <c r="S81" t="str">
        <f>IF(DONNEES_SOURCE!$CA81=TRUE,DONNEES_SOURCE!$AU81,"")</f>
        <v/>
      </c>
      <c r="T81" t="str">
        <f>IF(DONNEES_SOURCE!$CA81=TRUE,DONNEES_SOURCE!$BW81,"")</f>
        <v/>
      </c>
      <c r="U81" t="str">
        <f>IF(DONNEES_SOURCE!$CA81=TRUE,IFERROR(MATCH(DONNEES_SOURCE!$B81,{"2. Très rarement (Moins d'une fois par mois)","3. Rarement (1 à 3 fois par mois)","4. Parfois (Environ une fois par semaine)","5. Régulièrement (Plusieurs fois par semaine)","6. Quotidiennement (Une fois par jour)","7. Très fréquemment (Plusieurs fois par jour)"},0)+1,""),"")</f>
        <v/>
      </c>
    </row>
    <row r="82" spans="16:21" x14ac:dyDescent="0.25">
      <c r="P82" t="str">
        <f>IF(DONNEES_SOURCE!$CA82=TRUE,DONNEES_SOURCE!$BV82,"")</f>
        <v/>
      </c>
      <c r="Q82" t="str">
        <f>IF(DONNEES_SOURCE!$CA82=TRUE,IFERROR(MATCH(DONNEES_SOURCE!$B82,{"2. Très rarement (Moins d'une fois par mois)","3. Rarement (1 à 3 fois par mois)","4. Parfois (Environ une fois par semaine)","5. Régulièrement (Plusieurs fois par semaine)","6. Quotidiennement (Une fois par jour)","7. Très fréquemment (Plusieurs fois par jour)"},0)+1,""),"")</f>
        <v/>
      </c>
      <c r="R82" t="str">
        <f>IF(DONNEES_SOURCE!$CA82=TRUE,DONNEES_SOURCE!$BW82,"")</f>
        <v/>
      </c>
      <c r="S82" t="str">
        <f>IF(DONNEES_SOURCE!$CA82=TRUE,DONNEES_SOURCE!$AU82,"")</f>
        <v/>
      </c>
      <c r="T82" t="str">
        <f>IF(DONNEES_SOURCE!$CA82=TRUE,DONNEES_SOURCE!$BW82,"")</f>
        <v/>
      </c>
      <c r="U82" t="str">
        <f>IF(DONNEES_SOURCE!$CA82=TRUE,IFERROR(MATCH(DONNEES_SOURCE!$B82,{"2. Très rarement (Moins d'une fois par mois)","3. Rarement (1 à 3 fois par mois)","4. Parfois (Environ une fois par semaine)","5. Régulièrement (Plusieurs fois par semaine)","6. Quotidiennement (Une fois par jour)","7. Très fréquemment (Plusieurs fois par jour)"},0)+1,""),"")</f>
        <v/>
      </c>
    </row>
    <row r="83" spans="16:21" x14ac:dyDescent="0.25">
      <c r="P83" t="str">
        <f>IF(DONNEES_SOURCE!$CA83=TRUE,DONNEES_SOURCE!$BV83,"")</f>
        <v/>
      </c>
      <c r="Q83" t="str">
        <f>IF(DONNEES_SOURCE!$CA83=TRUE,IFERROR(MATCH(DONNEES_SOURCE!$B83,{"2. Très rarement (Moins d'une fois par mois)","3. Rarement (1 à 3 fois par mois)","4. Parfois (Environ une fois par semaine)","5. Régulièrement (Plusieurs fois par semaine)","6. Quotidiennement (Une fois par jour)","7. Très fréquemment (Plusieurs fois par jour)"},0)+1,""),"")</f>
        <v/>
      </c>
      <c r="R83" t="str">
        <f>IF(DONNEES_SOURCE!$CA83=TRUE,DONNEES_SOURCE!$BW83,"")</f>
        <v/>
      </c>
      <c r="S83" t="str">
        <f>IF(DONNEES_SOURCE!$CA83=TRUE,DONNEES_SOURCE!$AU83,"")</f>
        <v/>
      </c>
      <c r="T83" t="str">
        <f>IF(DONNEES_SOURCE!$CA83=TRUE,DONNEES_SOURCE!$BW83,"")</f>
        <v/>
      </c>
      <c r="U83" t="str">
        <f>IF(DONNEES_SOURCE!$CA83=TRUE,IFERROR(MATCH(DONNEES_SOURCE!$B83,{"2. Très rarement (Moins d'une fois par mois)","3. Rarement (1 à 3 fois par mois)","4. Parfois (Environ une fois par semaine)","5. Régulièrement (Plusieurs fois par semaine)","6. Quotidiennement (Une fois par jour)","7. Très fréquemment (Plusieurs fois par jour)"},0)+1,""),"")</f>
        <v/>
      </c>
    </row>
    <row r="84" spans="16:21" x14ac:dyDescent="0.25">
      <c r="P84" t="str">
        <f>IF(DONNEES_SOURCE!$CA84=TRUE,DONNEES_SOURCE!$BV84,"")</f>
        <v/>
      </c>
      <c r="Q84" t="str">
        <f>IF(DONNEES_SOURCE!$CA84=TRUE,IFERROR(MATCH(DONNEES_SOURCE!$B84,{"2. Très rarement (Moins d'une fois par mois)","3. Rarement (1 à 3 fois par mois)","4. Parfois (Environ une fois par semaine)","5. Régulièrement (Plusieurs fois par semaine)","6. Quotidiennement (Une fois par jour)","7. Très fréquemment (Plusieurs fois par jour)"},0)+1,""),"")</f>
        <v/>
      </c>
      <c r="R84" t="str">
        <f>IF(DONNEES_SOURCE!$CA84=TRUE,DONNEES_SOURCE!$BW84,"")</f>
        <v/>
      </c>
      <c r="S84" t="str">
        <f>IF(DONNEES_SOURCE!$CA84=TRUE,DONNEES_SOURCE!$AU84,"")</f>
        <v/>
      </c>
      <c r="T84" t="str">
        <f>IF(DONNEES_SOURCE!$CA84=TRUE,DONNEES_SOURCE!$BW84,"")</f>
        <v/>
      </c>
      <c r="U84" t="str">
        <f>IF(DONNEES_SOURCE!$CA84=TRUE,IFERROR(MATCH(DONNEES_SOURCE!$B84,{"2. Très rarement (Moins d'une fois par mois)","3. Rarement (1 à 3 fois par mois)","4. Parfois (Environ une fois par semaine)","5. Régulièrement (Plusieurs fois par semaine)","6. Quotidiennement (Une fois par jour)","7. Très fréquemment (Plusieurs fois par jour)"},0)+1,""),"")</f>
        <v/>
      </c>
    </row>
    <row r="85" spans="16:21" x14ac:dyDescent="0.25">
      <c r="P85" t="str">
        <f>IF(DONNEES_SOURCE!$CA85=TRUE,DONNEES_SOURCE!$BV85,"")</f>
        <v/>
      </c>
      <c r="Q85" t="str">
        <f>IF(DONNEES_SOURCE!$CA85=TRUE,IFERROR(MATCH(DONNEES_SOURCE!$B85,{"2. Très rarement (Moins d'une fois par mois)","3. Rarement (1 à 3 fois par mois)","4. Parfois (Environ une fois par semaine)","5. Régulièrement (Plusieurs fois par semaine)","6. Quotidiennement (Une fois par jour)","7. Très fréquemment (Plusieurs fois par jour)"},0)+1,""),"")</f>
        <v/>
      </c>
      <c r="R85" t="str">
        <f>IF(DONNEES_SOURCE!$CA85=TRUE,DONNEES_SOURCE!$BW85,"")</f>
        <v/>
      </c>
      <c r="S85" t="str">
        <f>IF(DONNEES_SOURCE!$CA85=TRUE,DONNEES_SOURCE!$AU85,"")</f>
        <v/>
      </c>
      <c r="T85" t="str">
        <f>IF(DONNEES_SOURCE!$CA85=TRUE,DONNEES_SOURCE!$BW85,"")</f>
        <v/>
      </c>
      <c r="U85" t="str">
        <f>IF(DONNEES_SOURCE!$CA85=TRUE,IFERROR(MATCH(DONNEES_SOURCE!$B85,{"2. Très rarement (Moins d'une fois par mois)","3. Rarement (1 à 3 fois par mois)","4. Parfois (Environ une fois par semaine)","5. Régulièrement (Plusieurs fois par semaine)","6. Quotidiennement (Une fois par jour)","7. Très fréquemment (Plusieurs fois par jour)"},0)+1,""),"")</f>
        <v/>
      </c>
    </row>
    <row r="86" spans="16:21" x14ac:dyDescent="0.25">
      <c r="P86" t="str">
        <f>IF(DONNEES_SOURCE!$CA86=TRUE,DONNEES_SOURCE!$BV86,"")</f>
        <v/>
      </c>
      <c r="Q86" t="str">
        <f>IF(DONNEES_SOURCE!$CA86=TRUE,IFERROR(MATCH(DONNEES_SOURCE!$B86,{"2. Très rarement (Moins d'une fois par mois)","3. Rarement (1 à 3 fois par mois)","4. Parfois (Environ une fois par semaine)","5. Régulièrement (Plusieurs fois par semaine)","6. Quotidiennement (Une fois par jour)","7. Très fréquemment (Plusieurs fois par jour)"},0)+1,""),"")</f>
        <v/>
      </c>
      <c r="R86" t="str">
        <f>IF(DONNEES_SOURCE!$CA86=TRUE,DONNEES_SOURCE!$BW86,"")</f>
        <v/>
      </c>
      <c r="S86" t="str">
        <f>IF(DONNEES_SOURCE!$CA86=TRUE,DONNEES_SOURCE!$AU86,"")</f>
        <v/>
      </c>
      <c r="T86" t="str">
        <f>IF(DONNEES_SOURCE!$CA86=TRUE,DONNEES_SOURCE!$BW86,"")</f>
        <v/>
      </c>
      <c r="U86" t="str">
        <f>IF(DONNEES_SOURCE!$CA86=TRUE,IFERROR(MATCH(DONNEES_SOURCE!$B86,{"2. Très rarement (Moins d'une fois par mois)","3. Rarement (1 à 3 fois par mois)","4. Parfois (Environ une fois par semaine)","5. Régulièrement (Plusieurs fois par semaine)","6. Quotidiennement (Une fois par jour)","7. Très fréquemment (Plusieurs fois par jour)"},0)+1,""),"")</f>
        <v/>
      </c>
    </row>
    <row r="87" spans="16:21" x14ac:dyDescent="0.25">
      <c r="P87" t="str">
        <f>IF(DONNEES_SOURCE!$CA87=TRUE,DONNEES_SOURCE!$BV87,"")</f>
        <v/>
      </c>
      <c r="Q87" t="str">
        <f>IF(DONNEES_SOURCE!$CA87=TRUE,IFERROR(MATCH(DONNEES_SOURCE!$B87,{"2. Très rarement (Moins d'une fois par mois)","3. Rarement (1 à 3 fois par mois)","4. Parfois (Environ une fois par semaine)","5. Régulièrement (Plusieurs fois par semaine)","6. Quotidiennement (Une fois par jour)","7. Très fréquemment (Plusieurs fois par jour)"},0)+1,""),"")</f>
        <v/>
      </c>
      <c r="R87" t="str">
        <f>IF(DONNEES_SOURCE!$CA87=TRUE,DONNEES_SOURCE!$BW87,"")</f>
        <v/>
      </c>
      <c r="S87" t="str">
        <f>IF(DONNEES_SOURCE!$CA87=TRUE,DONNEES_SOURCE!$AU87,"")</f>
        <v/>
      </c>
      <c r="T87" t="str">
        <f>IF(DONNEES_SOURCE!$CA87=TRUE,DONNEES_SOURCE!$BW87,"")</f>
        <v/>
      </c>
      <c r="U87" t="str">
        <f>IF(DONNEES_SOURCE!$CA87=TRUE,IFERROR(MATCH(DONNEES_SOURCE!$B87,{"2. Très rarement (Moins d'une fois par mois)","3. Rarement (1 à 3 fois par mois)","4. Parfois (Environ une fois par semaine)","5. Régulièrement (Plusieurs fois par semaine)","6. Quotidiennement (Une fois par jour)","7. Très fréquemment (Plusieurs fois par jour)"},0)+1,""),"")</f>
        <v/>
      </c>
    </row>
    <row r="88" spans="16:21" x14ac:dyDescent="0.25">
      <c r="P88" t="str">
        <f>IF(DONNEES_SOURCE!$CA88=TRUE,DONNEES_SOURCE!$BV88,"")</f>
        <v/>
      </c>
      <c r="Q88" t="str">
        <f>IF(DONNEES_SOURCE!$CA88=TRUE,IFERROR(MATCH(DONNEES_SOURCE!$B88,{"2. Très rarement (Moins d'une fois par mois)","3. Rarement (1 à 3 fois par mois)","4. Parfois (Environ une fois par semaine)","5. Régulièrement (Plusieurs fois par semaine)","6. Quotidiennement (Une fois par jour)","7. Très fréquemment (Plusieurs fois par jour)"},0)+1,""),"")</f>
        <v/>
      </c>
      <c r="R88" t="str">
        <f>IF(DONNEES_SOURCE!$CA88=TRUE,DONNEES_SOURCE!$BW88,"")</f>
        <v/>
      </c>
      <c r="S88" t="str">
        <f>IF(DONNEES_SOURCE!$CA88=TRUE,DONNEES_SOURCE!$AU88,"")</f>
        <v/>
      </c>
      <c r="T88" t="str">
        <f>IF(DONNEES_SOURCE!$CA88=TRUE,DONNEES_SOURCE!$BW88,"")</f>
        <v/>
      </c>
      <c r="U88" t="str">
        <f>IF(DONNEES_SOURCE!$CA88=TRUE,IFERROR(MATCH(DONNEES_SOURCE!$B88,{"2. Très rarement (Moins d'une fois par mois)","3. Rarement (1 à 3 fois par mois)","4. Parfois (Environ une fois par semaine)","5. Régulièrement (Plusieurs fois par semaine)","6. Quotidiennement (Une fois par jour)","7. Très fréquemment (Plusieurs fois par jour)"},0)+1,""),"")</f>
        <v/>
      </c>
    </row>
    <row r="89" spans="16:21" x14ac:dyDescent="0.25">
      <c r="P89" t="str">
        <f>IF(DONNEES_SOURCE!$CA89=TRUE,DONNEES_SOURCE!$BV89,"")</f>
        <v/>
      </c>
      <c r="Q89" t="str">
        <f>IF(DONNEES_SOURCE!$CA89=TRUE,IFERROR(MATCH(DONNEES_SOURCE!$B89,{"2. Très rarement (Moins d'une fois par mois)","3. Rarement (1 à 3 fois par mois)","4. Parfois (Environ une fois par semaine)","5. Régulièrement (Plusieurs fois par semaine)","6. Quotidiennement (Une fois par jour)","7. Très fréquemment (Plusieurs fois par jour)"},0)+1,""),"")</f>
        <v/>
      </c>
      <c r="R89" t="str">
        <f>IF(DONNEES_SOURCE!$CA89=TRUE,DONNEES_SOURCE!$BW89,"")</f>
        <v/>
      </c>
      <c r="S89" t="str">
        <f>IF(DONNEES_SOURCE!$CA89=TRUE,DONNEES_SOURCE!$AU89,"")</f>
        <v/>
      </c>
      <c r="T89" t="str">
        <f>IF(DONNEES_SOURCE!$CA89=TRUE,DONNEES_SOURCE!$BW89,"")</f>
        <v/>
      </c>
      <c r="U89" t="str">
        <f>IF(DONNEES_SOURCE!$CA89=TRUE,IFERROR(MATCH(DONNEES_SOURCE!$B89,{"2. Très rarement (Moins d'une fois par mois)","3. Rarement (1 à 3 fois par mois)","4. Parfois (Environ une fois par semaine)","5. Régulièrement (Plusieurs fois par semaine)","6. Quotidiennement (Une fois par jour)","7. Très fréquemment (Plusieurs fois par jour)"},0)+1,""),"")</f>
        <v/>
      </c>
    </row>
    <row r="90" spans="16:21" x14ac:dyDescent="0.25">
      <c r="P90" t="str">
        <f>IF(DONNEES_SOURCE!$CA90=TRUE,DONNEES_SOURCE!$BV90,"")</f>
        <v/>
      </c>
      <c r="Q90" t="str">
        <f>IF(DONNEES_SOURCE!$CA90=TRUE,IFERROR(MATCH(DONNEES_SOURCE!$B90,{"2. Très rarement (Moins d'une fois par mois)","3. Rarement (1 à 3 fois par mois)","4. Parfois (Environ une fois par semaine)","5. Régulièrement (Plusieurs fois par semaine)","6. Quotidiennement (Une fois par jour)","7. Très fréquemment (Plusieurs fois par jour)"},0)+1,""),"")</f>
        <v/>
      </c>
      <c r="R90" t="str">
        <f>IF(DONNEES_SOURCE!$CA90=TRUE,DONNEES_SOURCE!$BW90,"")</f>
        <v/>
      </c>
      <c r="S90" t="str">
        <f>IF(DONNEES_SOURCE!$CA90=TRUE,DONNEES_SOURCE!$AU90,"")</f>
        <v/>
      </c>
      <c r="T90" t="str">
        <f>IF(DONNEES_SOURCE!$CA90=TRUE,DONNEES_SOURCE!$BW90,"")</f>
        <v/>
      </c>
      <c r="U90" t="str">
        <f>IF(DONNEES_SOURCE!$CA90=TRUE,IFERROR(MATCH(DONNEES_SOURCE!$B90,{"2. Très rarement (Moins d'une fois par mois)","3. Rarement (1 à 3 fois par mois)","4. Parfois (Environ une fois par semaine)","5. Régulièrement (Plusieurs fois par semaine)","6. Quotidiennement (Une fois par jour)","7. Très fréquemment (Plusieurs fois par jour)"},0)+1,""),"")</f>
        <v/>
      </c>
    </row>
    <row r="91" spans="16:21" x14ac:dyDescent="0.25">
      <c r="P91" t="str">
        <f>IF(DONNEES_SOURCE!$CA91=TRUE,DONNEES_SOURCE!$BV91,"")</f>
        <v/>
      </c>
      <c r="Q91" t="str">
        <f>IF(DONNEES_SOURCE!$CA91=TRUE,IFERROR(MATCH(DONNEES_SOURCE!$B91,{"2. Très rarement (Moins d'une fois par mois)","3. Rarement (1 à 3 fois par mois)","4. Parfois (Environ une fois par semaine)","5. Régulièrement (Plusieurs fois par semaine)","6. Quotidiennement (Une fois par jour)","7. Très fréquemment (Plusieurs fois par jour)"},0)+1,""),"")</f>
        <v/>
      </c>
      <c r="R91" t="str">
        <f>IF(DONNEES_SOURCE!$CA91=TRUE,DONNEES_SOURCE!$BW91,"")</f>
        <v/>
      </c>
      <c r="S91" t="str">
        <f>IF(DONNEES_SOURCE!$CA91=TRUE,DONNEES_SOURCE!$AU91,"")</f>
        <v/>
      </c>
      <c r="T91" t="str">
        <f>IF(DONNEES_SOURCE!$CA91=TRUE,DONNEES_SOURCE!$BW91,"")</f>
        <v/>
      </c>
      <c r="U91" t="str">
        <f>IF(DONNEES_SOURCE!$CA91=TRUE,IFERROR(MATCH(DONNEES_SOURCE!$B91,{"2. Très rarement (Moins d'une fois par mois)","3. Rarement (1 à 3 fois par mois)","4. Parfois (Environ une fois par semaine)","5. Régulièrement (Plusieurs fois par semaine)","6. Quotidiennement (Une fois par jour)","7. Très fréquemment (Plusieurs fois par jour)"},0)+1,""),"")</f>
        <v/>
      </c>
    </row>
    <row r="92" spans="16:21" x14ac:dyDescent="0.25">
      <c r="P92" t="str">
        <f>IF(DONNEES_SOURCE!$CA92=TRUE,DONNEES_SOURCE!$BV92,"")</f>
        <v/>
      </c>
      <c r="Q92" t="str">
        <f>IF(DONNEES_SOURCE!$CA92=TRUE,IFERROR(MATCH(DONNEES_SOURCE!$B92,{"2. Très rarement (Moins d'une fois par mois)","3. Rarement (1 à 3 fois par mois)","4. Parfois (Environ une fois par semaine)","5. Régulièrement (Plusieurs fois par semaine)","6. Quotidiennement (Une fois par jour)","7. Très fréquemment (Plusieurs fois par jour)"},0)+1,""),"")</f>
        <v/>
      </c>
      <c r="R92" t="str">
        <f>IF(DONNEES_SOURCE!$CA92=TRUE,DONNEES_SOURCE!$BW92,"")</f>
        <v/>
      </c>
      <c r="S92" t="str">
        <f>IF(DONNEES_SOURCE!$CA92=TRUE,DONNEES_SOURCE!$AU92,"")</f>
        <v/>
      </c>
      <c r="T92" t="str">
        <f>IF(DONNEES_SOURCE!$CA92=TRUE,DONNEES_SOURCE!$BW92,"")</f>
        <v/>
      </c>
      <c r="U92" t="str">
        <f>IF(DONNEES_SOURCE!$CA92=TRUE,IFERROR(MATCH(DONNEES_SOURCE!$B92,{"2. Très rarement (Moins d'une fois par mois)","3. Rarement (1 à 3 fois par mois)","4. Parfois (Environ une fois par semaine)","5. Régulièrement (Plusieurs fois par semaine)","6. Quotidiennement (Une fois par jour)","7. Très fréquemment (Plusieurs fois par jour)"},0)+1,""),"")</f>
        <v/>
      </c>
    </row>
    <row r="93" spans="16:21" x14ac:dyDescent="0.25">
      <c r="P93" t="str">
        <f>IF(DONNEES_SOURCE!$CA93=TRUE,DONNEES_SOURCE!$BV93,"")</f>
        <v/>
      </c>
      <c r="Q93" t="str">
        <f>IF(DONNEES_SOURCE!$CA93=TRUE,IFERROR(MATCH(DONNEES_SOURCE!$B93,{"2. Très rarement (Moins d'une fois par mois)","3. Rarement (1 à 3 fois par mois)","4. Parfois (Environ une fois par semaine)","5. Régulièrement (Plusieurs fois par semaine)","6. Quotidiennement (Une fois par jour)","7. Très fréquemment (Plusieurs fois par jour)"},0)+1,""),"")</f>
        <v/>
      </c>
      <c r="R93" t="str">
        <f>IF(DONNEES_SOURCE!$CA93=TRUE,DONNEES_SOURCE!$BW93,"")</f>
        <v/>
      </c>
      <c r="S93" t="str">
        <f>IF(DONNEES_SOURCE!$CA93=TRUE,DONNEES_SOURCE!$AU93,"")</f>
        <v/>
      </c>
      <c r="T93" t="str">
        <f>IF(DONNEES_SOURCE!$CA93=TRUE,DONNEES_SOURCE!$BW93,"")</f>
        <v/>
      </c>
      <c r="U93" t="str">
        <f>IF(DONNEES_SOURCE!$CA93=TRUE,IFERROR(MATCH(DONNEES_SOURCE!$B93,{"2. Très rarement (Moins d'une fois par mois)","3. Rarement (1 à 3 fois par mois)","4. Parfois (Environ une fois par semaine)","5. Régulièrement (Plusieurs fois par semaine)","6. Quotidiennement (Une fois par jour)","7. Très fréquemment (Plusieurs fois par jour)"},0)+1,""),"")</f>
        <v/>
      </c>
    </row>
    <row r="94" spans="16:21" x14ac:dyDescent="0.25">
      <c r="P94" t="str">
        <f>IF(DONNEES_SOURCE!$CA94=TRUE,DONNEES_SOURCE!$BV94,"")</f>
        <v/>
      </c>
      <c r="Q94" t="str">
        <f>IF(DONNEES_SOURCE!$CA94=TRUE,IFERROR(MATCH(DONNEES_SOURCE!$B94,{"2. Très rarement (Moins d'une fois par mois)","3. Rarement (1 à 3 fois par mois)","4. Parfois (Environ une fois par semaine)","5. Régulièrement (Plusieurs fois par semaine)","6. Quotidiennement (Une fois par jour)","7. Très fréquemment (Plusieurs fois par jour)"},0)+1,""),"")</f>
        <v/>
      </c>
      <c r="R94" t="str">
        <f>IF(DONNEES_SOURCE!$CA94=TRUE,DONNEES_SOURCE!$BW94,"")</f>
        <v/>
      </c>
      <c r="S94" t="str">
        <f>IF(DONNEES_SOURCE!$CA94=TRUE,DONNEES_SOURCE!$AU94,"")</f>
        <v/>
      </c>
      <c r="T94" t="str">
        <f>IF(DONNEES_SOURCE!$CA94=TRUE,DONNEES_SOURCE!$BW94,"")</f>
        <v/>
      </c>
      <c r="U94" t="str">
        <f>IF(DONNEES_SOURCE!$CA94=TRUE,IFERROR(MATCH(DONNEES_SOURCE!$B94,{"2. Très rarement (Moins d'une fois par mois)","3. Rarement (1 à 3 fois par mois)","4. Parfois (Environ une fois par semaine)","5. Régulièrement (Plusieurs fois par semaine)","6. Quotidiennement (Une fois par jour)","7. Très fréquemment (Plusieurs fois par jour)"},0)+1,""),"")</f>
        <v/>
      </c>
    </row>
    <row r="95" spans="16:21" x14ac:dyDescent="0.25">
      <c r="P95" t="str">
        <f>IF(DONNEES_SOURCE!$CA95=TRUE,DONNEES_SOURCE!$BV95,"")</f>
        <v/>
      </c>
      <c r="Q95" t="str">
        <f>IF(DONNEES_SOURCE!$CA95=TRUE,IFERROR(MATCH(DONNEES_SOURCE!$B95,{"2. Très rarement (Moins d'une fois par mois)","3. Rarement (1 à 3 fois par mois)","4. Parfois (Environ une fois par semaine)","5. Régulièrement (Plusieurs fois par semaine)","6. Quotidiennement (Une fois par jour)","7. Très fréquemment (Plusieurs fois par jour)"},0)+1,""),"")</f>
        <v/>
      </c>
      <c r="R95" t="str">
        <f>IF(DONNEES_SOURCE!$CA95=TRUE,DONNEES_SOURCE!$BW95,"")</f>
        <v/>
      </c>
      <c r="S95" t="str">
        <f>IF(DONNEES_SOURCE!$CA95=TRUE,DONNEES_SOURCE!$AU95,"")</f>
        <v/>
      </c>
      <c r="T95" t="str">
        <f>IF(DONNEES_SOURCE!$CA95=TRUE,DONNEES_SOURCE!$BW95,"")</f>
        <v/>
      </c>
      <c r="U95" t="str">
        <f>IF(DONNEES_SOURCE!$CA95=TRUE,IFERROR(MATCH(DONNEES_SOURCE!$B95,{"2. Très rarement (Moins d'une fois par mois)","3. Rarement (1 à 3 fois par mois)","4. Parfois (Environ une fois par semaine)","5. Régulièrement (Plusieurs fois par semaine)","6. Quotidiennement (Une fois par jour)","7. Très fréquemment (Plusieurs fois par jour)"},0)+1,""),"")</f>
        <v/>
      </c>
    </row>
    <row r="96" spans="16:21" x14ac:dyDescent="0.25">
      <c r="P96" t="str">
        <f>IF(DONNEES_SOURCE!$CA96=TRUE,DONNEES_SOURCE!$BV96,"")</f>
        <v/>
      </c>
      <c r="Q96" t="str">
        <f>IF(DONNEES_SOURCE!$CA96=TRUE,IFERROR(MATCH(DONNEES_SOURCE!$B96,{"2. Très rarement (Moins d'une fois par mois)","3. Rarement (1 à 3 fois par mois)","4. Parfois (Environ une fois par semaine)","5. Régulièrement (Plusieurs fois par semaine)","6. Quotidiennement (Une fois par jour)","7. Très fréquemment (Plusieurs fois par jour)"},0)+1,""),"")</f>
        <v/>
      </c>
      <c r="R96" t="str">
        <f>IF(DONNEES_SOURCE!$CA96=TRUE,DONNEES_SOURCE!$BW96,"")</f>
        <v/>
      </c>
      <c r="S96" t="str">
        <f>IF(DONNEES_SOURCE!$CA96=TRUE,DONNEES_SOURCE!$AU96,"")</f>
        <v/>
      </c>
      <c r="T96" t="str">
        <f>IF(DONNEES_SOURCE!$CA96=TRUE,DONNEES_SOURCE!$BW96,"")</f>
        <v/>
      </c>
      <c r="U96" t="str">
        <f>IF(DONNEES_SOURCE!$CA96=TRUE,IFERROR(MATCH(DONNEES_SOURCE!$B96,{"2. Très rarement (Moins d'une fois par mois)","3. Rarement (1 à 3 fois par mois)","4. Parfois (Environ une fois par semaine)","5. Régulièrement (Plusieurs fois par semaine)","6. Quotidiennement (Une fois par jour)","7. Très fréquemment (Plusieurs fois par jour)"},0)+1,""),"")</f>
        <v/>
      </c>
    </row>
    <row r="97" spans="16:21" x14ac:dyDescent="0.25">
      <c r="P97" t="str">
        <f>IF(DONNEES_SOURCE!$CA97=TRUE,DONNEES_SOURCE!$BV97,"")</f>
        <v/>
      </c>
      <c r="Q97" t="str">
        <f>IF(DONNEES_SOURCE!$CA97=TRUE,IFERROR(MATCH(DONNEES_SOURCE!$B97,{"2. Très rarement (Moins d'une fois par mois)","3. Rarement (1 à 3 fois par mois)","4. Parfois (Environ une fois par semaine)","5. Régulièrement (Plusieurs fois par semaine)","6. Quotidiennement (Une fois par jour)","7. Très fréquemment (Plusieurs fois par jour)"},0)+1,""),"")</f>
        <v/>
      </c>
      <c r="R97" t="str">
        <f>IF(DONNEES_SOURCE!$CA97=TRUE,DONNEES_SOURCE!$BW97,"")</f>
        <v/>
      </c>
      <c r="S97" t="str">
        <f>IF(DONNEES_SOURCE!$CA97=TRUE,DONNEES_SOURCE!$AU97,"")</f>
        <v/>
      </c>
      <c r="T97" t="str">
        <f>IF(DONNEES_SOURCE!$CA97=TRUE,DONNEES_SOURCE!$BW97,"")</f>
        <v/>
      </c>
      <c r="U97" t="str">
        <f>IF(DONNEES_SOURCE!$CA97=TRUE,IFERROR(MATCH(DONNEES_SOURCE!$B97,{"2. Très rarement (Moins d'une fois par mois)","3. Rarement (1 à 3 fois par mois)","4. Parfois (Environ une fois par semaine)","5. Régulièrement (Plusieurs fois par semaine)","6. Quotidiennement (Une fois par jour)","7. Très fréquemment (Plusieurs fois par jour)"},0)+1,""),"")</f>
        <v/>
      </c>
    </row>
    <row r="98" spans="16:21" x14ac:dyDescent="0.25">
      <c r="P98" t="str">
        <f>IF(DONNEES_SOURCE!$CA98=TRUE,DONNEES_SOURCE!$BV98,"")</f>
        <v/>
      </c>
      <c r="Q98" t="str">
        <f>IF(DONNEES_SOURCE!$CA98=TRUE,IFERROR(MATCH(DONNEES_SOURCE!$B98,{"2. Très rarement (Moins d'une fois par mois)","3. Rarement (1 à 3 fois par mois)","4. Parfois (Environ une fois par semaine)","5. Régulièrement (Plusieurs fois par semaine)","6. Quotidiennement (Une fois par jour)","7. Très fréquemment (Plusieurs fois par jour)"},0)+1,""),"")</f>
        <v/>
      </c>
      <c r="R98" t="str">
        <f>IF(DONNEES_SOURCE!$CA98=TRUE,DONNEES_SOURCE!$BW98,"")</f>
        <v/>
      </c>
      <c r="S98" t="str">
        <f>IF(DONNEES_SOURCE!$CA98=TRUE,DONNEES_SOURCE!$AU98,"")</f>
        <v/>
      </c>
      <c r="T98" t="str">
        <f>IF(DONNEES_SOURCE!$CA98=TRUE,DONNEES_SOURCE!$BW98,"")</f>
        <v/>
      </c>
      <c r="U98" t="str">
        <f>IF(DONNEES_SOURCE!$CA98=TRUE,IFERROR(MATCH(DONNEES_SOURCE!$B98,{"2. Très rarement (Moins d'une fois par mois)","3. Rarement (1 à 3 fois par mois)","4. Parfois (Environ une fois par semaine)","5. Régulièrement (Plusieurs fois par semaine)","6. Quotidiennement (Une fois par jour)","7. Très fréquemment (Plusieurs fois par jour)"},0)+1,""),"")</f>
        <v/>
      </c>
    </row>
    <row r="99" spans="16:21" x14ac:dyDescent="0.25">
      <c r="P99" t="str">
        <f>IF(DONNEES_SOURCE!$CA99=TRUE,DONNEES_SOURCE!$BV99,"")</f>
        <v/>
      </c>
      <c r="Q99" t="str">
        <f>IF(DONNEES_SOURCE!$CA99=TRUE,IFERROR(MATCH(DONNEES_SOURCE!$B99,{"2. Très rarement (Moins d'une fois par mois)","3. Rarement (1 à 3 fois par mois)","4. Parfois (Environ une fois par semaine)","5. Régulièrement (Plusieurs fois par semaine)","6. Quotidiennement (Une fois par jour)","7. Très fréquemment (Plusieurs fois par jour)"},0)+1,""),"")</f>
        <v/>
      </c>
      <c r="R99" t="str">
        <f>IF(DONNEES_SOURCE!$CA99=TRUE,DONNEES_SOURCE!$BW99,"")</f>
        <v/>
      </c>
      <c r="S99" t="str">
        <f>IF(DONNEES_SOURCE!$CA99=TRUE,DONNEES_SOURCE!$AU99,"")</f>
        <v/>
      </c>
      <c r="T99" t="str">
        <f>IF(DONNEES_SOURCE!$CA99=TRUE,DONNEES_SOURCE!$BW99,"")</f>
        <v/>
      </c>
      <c r="U99" t="str">
        <f>IF(DONNEES_SOURCE!$CA99=TRUE,IFERROR(MATCH(DONNEES_SOURCE!$B99,{"2. Très rarement (Moins d'une fois par mois)","3. Rarement (1 à 3 fois par mois)","4. Parfois (Environ une fois par semaine)","5. Régulièrement (Plusieurs fois par semaine)","6. Quotidiennement (Une fois par jour)","7. Très fréquemment (Plusieurs fois par jour)"},0)+1,""),"")</f>
        <v/>
      </c>
    </row>
    <row r="100" spans="16:21" x14ac:dyDescent="0.25">
      <c r="P100" t="str">
        <f>IF(DONNEES_SOURCE!$CA100=TRUE,DONNEES_SOURCE!$BV100,"")</f>
        <v/>
      </c>
      <c r="Q100" t="str">
        <f>IF(DONNEES_SOURCE!$CA100=TRUE,IFERROR(MATCH(DONNEES_SOURCE!$B100,{"2. Très rarement (Moins d'une fois par mois)","3. Rarement (1 à 3 fois par mois)","4. Parfois (Environ une fois par semaine)","5. Régulièrement (Plusieurs fois par semaine)","6. Quotidiennement (Une fois par jour)","7. Très fréquemment (Plusieurs fois par jour)"},0)+1,""),"")</f>
        <v/>
      </c>
      <c r="R100" t="str">
        <f>IF(DONNEES_SOURCE!$CA100=TRUE,DONNEES_SOURCE!$BW100,"")</f>
        <v/>
      </c>
      <c r="S100" t="str">
        <f>IF(DONNEES_SOURCE!$CA100=TRUE,DONNEES_SOURCE!$AU100,"")</f>
        <v/>
      </c>
      <c r="T100" t="str">
        <f>IF(DONNEES_SOURCE!$CA100=TRUE,DONNEES_SOURCE!$BW100,"")</f>
        <v/>
      </c>
      <c r="U100" t="str">
        <f>IF(DONNEES_SOURCE!$CA100=TRUE,IFERROR(MATCH(DONNEES_SOURCE!$B100,{"2. Très rarement (Moins d'une fois par mois)","3. Rarement (1 à 3 fois par mois)","4. Parfois (Environ une fois par semaine)","5. Régulièrement (Plusieurs fois par semaine)","6. Quotidiennement (Une fois par jour)","7. Très fréquemment (Plusieurs fois par jour)"},0)+1,""),"")</f>
        <v/>
      </c>
    </row>
    <row r="101" spans="16:21" x14ac:dyDescent="0.25">
      <c r="P101" t="str">
        <f>IF(DONNEES_SOURCE!$CA101=TRUE,DONNEES_SOURCE!$BV101,"")</f>
        <v/>
      </c>
      <c r="Q101" t="str">
        <f>IF(DONNEES_SOURCE!$CA101=TRUE,IFERROR(MATCH(DONNEES_SOURCE!$B101,{"2. Très rarement (Moins d'une fois par mois)","3. Rarement (1 à 3 fois par mois)","4. Parfois (Environ une fois par semaine)","5. Régulièrement (Plusieurs fois par semaine)","6. Quotidiennement (Une fois par jour)","7. Très fréquemment (Plusieurs fois par jour)"},0)+1,""),"")</f>
        <v/>
      </c>
      <c r="R101" t="str">
        <f>IF(DONNEES_SOURCE!$CA101=TRUE,DONNEES_SOURCE!$BW101,"")</f>
        <v/>
      </c>
      <c r="S101" t="str">
        <f>IF(DONNEES_SOURCE!$CA101=TRUE,DONNEES_SOURCE!$AU101,"")</f>
        <v/>
      </c>
      <c r="T101" t="str">
        <f>IF(DONNEES_SOURCE!$CA101=TRUE,DONNEES_SOURCE!$BW101,"")</f>
        <v/>
      </c>
      <c r="U101" t="str">
        <f>IF(DONNEES_SOURCE!$CA101=TRUE,IFERROR(MATCH(DONNEES_SOURCE!$B101,{"2. Très rarement (Moins d'une fois par mois)","3. Rarement (1 à 3 fois par mois)","4. Parfois (Environ une fois par semaine)","5. Régulièrement (Plusieurs fois par semaine)","6. Quotidiennement (Une fois par jour)","7. Très fréquemment (Plusieurs fois par jour)"},0)+1,""),"")</f>
        <v/>
      </c>
    </row>
    <row r="102" spans="16:21" x14ac:dyDescent="0.25">
      <c r="P102" t="str">
        <f>IF(DONNEES_SOURCE!$CA102=TRUE,DONNEES_SOURCE!$BV102,"")</f>
        <v/>
      </c>
      <c r="Q102" t="str">
        <f>IF(DONNEES_SOURCE!$CA102=TRUE,IFERROR(MATCH(DONNEES_SOURCE!$B102,{"2. Très rarement (Moins d'une fois par mois)","3. Rarement (1 à 3 fois par mois)","4. Parfois (Environ une fois par semaine)","5. Régulièrement (Plusieurs fois par semaine)","6. Quotidiennement (Une fois par jour)","7. Très fréquemment (Plusieurs fois par jour)"},0)+1,""),"")</f>
        <v/>
      </c>
      <c r="R102" t="str">
        <f>IF(DONNEES_SOURCE!$CA102=TRUE,DONNEES_SOURCE!$BW102,"")</f>
        <v/>
      </c>
      <c r="S102" t="str">
        <f>IF(DONNEES_SOURCE!$CA102=TRUE,DONNEES_SOURCE!$AU102,"")</f>
        <v/>
      </c>
      <c r="T102" t="str">
        <f>IF(DONNEES_SOURCE!$CA102=TRUE,DONNEES_SOURCE!$BW102,"")</f>
        <v/>
      </c>
      <c r="U102" t="str">
        <f>IF(DONNEES_SOURCE!$CA102=TRUE,IFERROR(MATCH(DONNEES_SOURCE!$B102,{"2. Très rarement (Moins d'une fois par mois)","3. Rarement (1 à 3 fois par mois)","4. Parfois (Environ une fois par semaine)","5. Régulièrement (Plusieurs fois par semaine)","6. Quotidiennement (Une fois par jour)","7. Très fréquemment (Plusieurs fois par jour)"},0)+1,""),"")</f>
        <v/>
      </c>
    </row>
    <row r="103" spans="16:21" x14ac:dyDescent="0.25">
      <c r="P103" t="str">
        <f>IF(DONNEES_SOURCE!$CA103=TRUE,DONNEES_SOURCE!$BV103,"")</f>
        <v/>
      </c>
      <c r="Q103" t="str">
        <f>IF(DONNEES_SOURCE!$CA103=TRUE,IFERROR(MATCH(DONNEES_SOURCE!$B103,{"2. Très rarement (Moins d'une fois par mois)","3. Rarement (1 à 3 fois par mois)","4. Parfois (Environ une fois par semaine)","5. Régulièrement (Plusieurs fois par semaine)","6. Quotidiennement (Une fois par jour)","7. Très fréquemment (Plusieurs fois par jour)"},0)+1,""),"")</f>
        <v/>
      </c>
      <c r="R103" t="str">
        <f>IF(DONNEES_SOURCE!$CA103=TRUE,DONNEES_SOURCE!$BW103,"")</f>
        <v/>
      </c>
      <c r="S103" t="str">
        <f>IF(DONNEES_SOURCE!$CA103=TRUE,DONNEES_SOURCE!$AU103,"")</f>
        <v/>
      </c>
      <c r="T103" t="str">
        <f>IF(DONNEES_SOURCE!$CA103=TRUE,DONNEES_SOURCE!$BW103,"")</f>
        <v/>
      </c>
      <c r="U103" t="str">
        <f>IF(DONNEES_SOURCE!$CA103=TRUE,IFERROR(MATCH(DONNEES_SOURCE!$B103,{"2. Très rarement (Moins d'une fois par mois)","3. Rarement (1 à 3 fois par mois)","4. Parfois (Environ une fois par semaine)","5. Régulièrement (Plusieurs fois par semaine)","6. Quotidiennement (Une fois par jour)","7. Très fréquemment (Plusieurs fois par jour)"},0)+1,""),"")</f>
        <v/>
      </c>
    </row>
    <row r="104" spans="16:21" x14ac:dyDescent="0.25">
      <c r="P104" t="str">
        <f>IF(DONNEES_SOURCE!$CA104=TRUE,DONNEES_SOURCE!$BV104,"")</f>
        <v/>
      </c>
      <c r="Q104" t="str">
        <f>IF(DONNEES_SOURCE!$CA104=TRUE,IFERROR(MATCH(DONNEES_SOURCE!$B104,{"2. Très rarement (Moins d'une fois par mois)","3. Rarement (1 à 3 fois par mois)","4. Parfois (Environ une fois par semaine)","5. Régulièrement (Plusieurs fois par semaine)","6. Quotidiennement (Une fois par jour)","7. Très fréquemment (Plusieurs fois par jour)"},0)+1,""),"")</f>
        <v/>
      </c>
      <c r="R104" t="str">
        <f>IF(DONNEES_SOURCE!$CA104=TRUE,DONNEES_SOURCE!$BW104,"")</f>
        <v/>
      </c>
      <c r="S104" t="str">
        <f>IF(DONNEES_SOURCE!$CA104=TRUE,DONNEES_SOURCE!$AU104,"")</f>
        <v/>
      </c>
      <c r="T104" t="str">
        <f>IF(DONNEES_SOURCE!$CA104=TRUE,DONNEES_SOURCE!$BW104,"")</f>
        <v/>
      </c>
      <c r="U104" t="str">
        <f>IF(DONNEES_SOURCE!$CA104=TRUE,IFERROR(MATCH(DONNEES_SOURCE!$B104,{"2. Très rarement (Moins d'une fois par mois)","3. Rarement (1 à 3 fois par mois)","4. Parfois (Environ une fois par semaine)","5. Régulièrement (Plusieurs fois par semaine)","6. Quotidiennement (Une fois par jour)","7. Très fréquemment (Plusieurs fois par jour)"},0)+1,""),"")</f>
        <v/>
      </c>
    </row>
    <row r="105" spans="16:21" x14ac:dyDescent="0.25">
      <c r="P105" t="str">
        <f>IF(DONNEES_SOURCE!$CA105=TRUE,DONNEES_SOURCE!$BV105,"")</f>
        <v/>
      </c>
      <c r="Q105" t="str">
        <f>IF(DONNEES_SOURCE!$CA105=TRUE,IFERROR(MATCH(DONNEES_SOURCE!$B105,{"2. Très rarement (Moins d'une fois par mois)","3. Rarement (1 à 3 fois par mois)","4. Parfois (Environ une fois par semaine)","5. Régulièrement (Plusieurs fois par semaine)","6. Quotidiennement (Une fois par jour)","7. Très fréquemment (Plusieurs fois par jour)"},0)+1,""),"")</f>
        <v/>
      </c>
      <c r="R105" t="str">
        <f>IF(DONNEES_SOURCE!$CA105=TRUE,DONNEES_SOURCE!$BW105,"")</f>
        <v/>
      </c>
      <c r="S105" t="str">
        <f>IF(DONNEES_SOURCE!$CA105=TRUE,DONNEES_SOURCE!$AU105,"")</f>
        <v/>
      </c>
      <c r="T105" t="str">
        <f>IF(DONNEES_SOURCE!$CA105=TRUE,DONNEES_SOURCE!$BW105,"")</f>
        <v/>
      </c>
      <c r="U105" t="str">
        <f>IF(DONNEES_SOURCE!$CA105=TRUE,IFERROR(MATCH(DONNEES_SOURCE!$B105,{"2. Très rarement (Moins d'une fois par mois)","3. Rarement (1 à 3 fois par mois)","4. Parfois (Environ une fois par semaine)","5. Régulièrement (Plusieurs fois par semaine)","6. Quotidiennement (Une fois par jour)","7. Très fréquemment (Plusieurs fois par jour)"},0)+1,""),"")</f>
        <v/>
      </c>
    </row>
    <row r="106" spans="16:21" x14ac:dyDescent="0.25">
      <c r="P106" t="str">
        <f>IF(DONNEES_SOURCE!$CA106=TRUE,DONNEES_SOURCE!$BV106,"")</f>
        <v/>
      </c>
      <c r="Q106" t="str">
        <f>IF(DONNEES_SOURCE!$CA106=TRUE,IFERROR(MATCH(DONNEES_SOURCE!$B106,{"2. Très rarement (Moins d'une fois par mois)","3. Rarement (1 à 3 fois par mois)","4. Parfois (Environ une fois par semaine)","5. Régulièrement (Plusieurs fois par semaine)","6. Quotidiennement (Une fois par jour)","7. Très fréquemment (Plusieurs fois par jour)"},0)+1,""),"")</f>
        <v/>
      </c>
      <c r="R106" t="str">
        <f>IF(DONNEES_SOURCE!$CA106=TRUE,DONNEES_SOURCE!$BW106,"")</f>
        <v/>
      </c>
      <c r="S106" t="str">
        <f>IF(DONNEES_SOURCE!$CA106=TRUE,DONNEES_SOURCE!$AU106,"")</f>
        <v/>
      </c>
      <c r="T106" t="str">
        <f>IF(DONNEES_SOURCE!$CA106=TRUE,DONNEES_SOURCE!$BW106,"")</f>
        <v/>
      </c>
      <c r="U106" t="str">
        <f>IF(DONNEES_SOURCE!$CA106=TRUE,IFERROR(MATCH(DONNEES_SOURCE!$B106,{"2. Très rarement (Moins d'une fois par mois)","3. Rarement (1 à 3 fois par mois)","4. Parfois (Environ une fois par semaine)","5. Régulièrement (Plusieurs fois par semaine)","6. Quotidiennement (Une fois par jour)","7. Très fréquemment (Plusieurs fois par jour)"},0)+1,""),"")</f>
        <v/>
      </c>
    </row>
    <row r="107" spans="16:21" x14ac:dyDescent="0.25">
      <c r="P107" t="str">
        <f>IF(DONNEES_SOURCE!$CA107=TRUE,DONNEES_SOURCE!$BV107,"")</f>
        <v/>
      </c>
      <c r="Q107" t="str">
        <f>IF(DONNEES_SOURCE!$CA107=TRUE,IFERROR(MATCH(DONNEES_SOURCE!$B107,{"2. Très rarement (Moins d'une fois par mois)","3. Rarement (1 à 3 fois par mois)","4. Parfois (Environ une fois par semaine)","5. Régulièrement (Plusieurs fois par semaine)","6. Quotidiennement (Une fois par jour)","7. Très fréquemment (Plusieurs fois par jour)"},0)+1,""),"")</f>
        <v/>
      </c>
      <c r="R107" t="str">
        <f>IF(DONNEES_SOURCE!$CA107=TRUE,DONNEES_SOURCE!$BW107,"")</f>
        <v/>
      </c>
      <c r="S107" t="str">
        <f>IF(DONNEES_SOURCE!$CA107=TRUE,DONNEES_SOURCE!$AU107,"")</f>
        <v/>
      </c>
      <c r="T107" t="str">
        <f>IF(DONNEES_SOURCE!$CA107=TRUE,DONNEES_SOURCE!$BW107,"")</f>
        <v/>
      </c>
      <c r="U107" t="str">
        <f>IF(DONNEES_SOURCE!$CA107=TRUE,IFERROR(MATCH(DONNEES_SOURCE!$B107,{"2. Très rarement (Moins d'une fois par mois)","3. Rarement (1 à 3 fois par mois)","4. Parfois (Environ une fois par semaine)","5. Régulièrement (Plusieurs fois par semaine)","6. Quotidiennement (Une fois par jour)","7. Très fréquemment (Plusieurs fois par jour)"},0)+1,""),"")</f>
        <v/>
      </c>
    </row>
    <row r="108" spans="16:21" x14ac:dyDescent="0.25">
      <c r="P108" t="str">
        <f>IF(DONNEES_SOURCE!$CA108=TRUE,DONNEES_SOURCE!$BV108,"")</f>
        <v/>
      </c>
      <c r="Q108" t="str">
        <f>IF(DONNEES_SOURCE!$CA108=TRUE,IFERROR(MATCH(DONNEES_SOURCE!$B108,{"2. Très rarement (Moins d'une fois par mois)","3. Rarement (1 à 3 fois par mois)","4. Parfois (Environ une fois par semaine)","5. Régulièrement (Plusieurs fois par semaine)","6. Quotidiennement (Une fois par jour)","7. Très fréquemment (Plusieurs fois par jour)"},0)+1,""),"")</f>
        <v/>
      </c>
      <c r="R108" t="str">
        <f>IF(DONNEES_SOURCE!$CA108=TRUE,DONNEES_SOURCE!$BW108,"")</f>
        <v/>
      </c>
      <c r="S108" t="str">
        <f>IF(DONNEES_SOURCE!$CA108=TRUE,DONNEES_SOURCE!$AU108,"")</f>
        <v/>
      </c>
      <c r="T108" t="str">
        <f>IF(DONNEES_SOURCE!$CA108=TRUE,DONNEES_SOURCE!$BW108,"")</f>
        <v/>
      </c>
      <c r="U108" t="str">
        <f>IF(DONNEES_SOURCE!$CA108=TRUE,IFERROR(MATCH(DONNEES_SOURCE!$B108,{"2. Très rarement (Moins d'une fois par mois)","3. Rarement (1 à 3 fois par mois)","4. Parfois (Environ une fois par semaine)","5. Régulièrement (Plusieurs fois par semaine)","6. Quotidiennement (Une fois par jour)","7. Très fréquemment (Plusieurs fois par jour)"},0)+1,""),"")</f>
        <v/>
      </c>
    </row>
    <row r="109" spans="16:21" x14ac:dyDescent="0.25">
      <c r="P109" t="str">
        <f>IF(DONNEES_SOURCE!$CA109=TRUE,DONNEES_SOURCE!$BV109,"")</f>
        <v/>
      </c>
      <c r="Q109" t="str">
        <f>IF(DONNEES_SOURCE!$CA109=TRUE,IFERROR(MATCH(DONNEES_SOURCE!$B109,{"2. Très rarement (Moins d'une fois par mois)","3. Rarement (1 à 3 fois par mois)","4. Parfois (Environ une fois par semaine)","5. Régulièrement (Plusieurs fois par semaine)","6. Quotidiennement (Une fois par jour)","7. Très fréquemment (Plusieurs fois par jour)"},0)+1,""),"")</f>
        <v/>
      </c>
      <c r="R109" t="str">
        <f>IF(DONNEES_SOURCE!$CA109=TRUE,DONNEES_SOURCE!$BW109,"")</f>
        <v/>
      </c>
      <c r="S109" t="str">
        <f>IF(DONNEES_SOURCE!$CA109=TRUE,DONNEES_SOURCE!$AU109,"")</f>
        <v/>
      </c>
      <c r="T109" t="str">
        <f>IF(DONNEES_SOURCE!$CA109=TRUE,DONNEES_SOURCE!$BW109,"")</f>
        <v/>
      </c>
      <c r="U109" t="str">
        <f>IF(DONNEES_SOURCE!$CA109=TRUE,IFERROR(MATCH(DONNEES_SOURCE!$B109,{"2. Très rarement (Moins d'une fois par mois)","3. Rarement (1 à 3 fois par mois)","4. Parfois (Environ une fois par semaine)","5. Régulièrement (Plusieurs fois par semaine)","6. Quotidiennement (Une fois par jour)","7. Très fréquemment (Plusieurs fois par jour)"},0)+1,""),"")</f>
        <v/>
      </c>
    </row>
    <row r="110" spans="16:21" x14ac:dyDescent="0.25">
      <c r="P110" t="str">
        <f>IF(DONNEES_SOURCE!$CA110=TRUE,DONNEES_SOURCE!$BV110,"")</f>
        <v/>
      </c>
      <c r="Q110" t="str">
        <f>IF(DONNEES_SOURCE!$CA110=TRUE,IFERROR(MATCH(DONNEES_SOURCE!$B110,{"2. Très rarement (Moins d'une fois par mois)","3. Rarement (1 à 3 fois par mois)","4. Parfois (Environ une fois par semaine)","5. Régulièrement (Plusieurs fois par semaine)","6. Quotidiennement (Une fois par jour)","7. Très fréquemment (Plusieurs fois par jour)"},0)+1,""),"")</f>
        <v/>
      </c>
      <c r="R110" t="str">
        <f>IF(DONNEES_SOURCE!$CA110=TRUE,DONNEES_SOURCE!$BW110,"")</f>
        <v/>
      </c>
      <c r="S110" t="str">
        <f>IF(DONNEES_SOURCE!$CA110=TRUE,DONNEES_SOURCE!$AU110,"")</f>
        <v/>
      </c>
      <c r="T110" t="str">
        <f>IF(DONNEES_SOURCE!$CA110=TRUE,DONNEES_SOURCE!$BW110,"")</f>
        <v/>
      </c>
      <c r="U110" t="str">
        <f>IF(DONNEES_SOURCE!$CA110=TRUE,IFERROR(MATCH(DONNEES_SOURCE!$B110,{"2. Très rarement (Moins d'une fois par mois)","3. Rarement (1 à 3 fois par mois)","4. Parfois (Environ une fois par semaine)","5. Régulièrement (Plusieurs fois par semaine)","6. Quotidiennement (Une fois par jour)","7. Très fréquemment (Plusieurs fois par jour)"},0)+1,""),"")</f>
        <v/>
      </c>
    </row>
    <row r="111" spans="16:21" x14ac:dyDescent="0.25">
      <c r="P111" t="str">
        <f>IF(DONNEES_SOURCE!$CA111=TRUE,DONNEES_SOURCE!$BV111,"")</f>
        <v/>
      </c>
      <c r="Q111" t="str">
        <f>IF(DONNEES_SOURCE!$CA111=TRUE,IFERROR(MATCH(DONNEES_SOURCE!$B111,{"2. Très rarement (Moins d'une fois par mois)","3. Rarement (1 à 3 fois par mois)","4. Parfois (Environ une fois par semaine)","5. Régulièrement (Plusieurs fois par semaine)","6. Quotidiennement (Une fois par jour)","7. Très fréquemment (Plusieurs fois par jour)"},0)+1,""),"")</f>
        <v/>
      </c>
      <c r="R111" t="str">
        <f>IF(DONNEES_SOURCE!$CA111=TRUE,DONNEES_SOURCE!$BW111,"")</f>
        <v/>
      </c>
      <c r="S111" t="str">
        <f>IF(DONNEES_SOURCE!$CA111=TRUE,DONNEES_SOURCE!$AU111,"")</f>
        <v/>
      </c>
      <c r="T111" t="str">
        <f>IF(DONNEES_SOURCE!$CA111=TRUE,DONNEES_SOURCE!$BW111,"")</f>
        <v/>
      </c>
      <c r="U111" t="str">
        <f>IF(DONNEES_SOURCE!$CA111=TRUE,IFERROR(MATCH(DONNEES_SOURCE!$B111,{"2. Très rarement (Moins d'une fois par mois)","3. Rarement (1 à 3 fois par mois)","4. Parfois (Environ une fois par semaine)","5. Régulièrement (Plusieurs fois par semaine)","6. Quotidiennement (Une fois par jour)","7. Très fréquemment (Plusieurs fois par jour)"},0)+1,""),"")</f>
        <v/>
      </c>
    </row>
    <row r="112" spans="16:21" x14ac:dyDescent="0.25">
      <c r="P112" t="str">
        <f>IF(DONNEES_SOURCE!$CA112=TRUE,DONNEES_SOURCE!$BV112,"")</f>
        <v/>
      </c>
      <c r="Q112" t="str">
        <f>IF(DONNEES_SOURCE!$CA112=TRUE,IFERROR(MATCH(DONNEES_SOURCE!$B112,{"2. Très rarement (Moins d'une fois par mois)","3. Rarement (1 à 3 fois par mois)","4. Parfois (Environ une fois par semaine)","5. Régulièrement (Plusieurs fois par semaine)","6. Quotidiennement (Une fois par jour)","7. Très fréquemment (Plusieurs fois par jour)"},0)+1,""),"")</f>
        <v/>
      </c>
      <c r="R112" t="str">
        <f>IF(DONNEES_SOURCE!$CA112=TRUE,DONNEES_SOURCE!$BW112,"")</f>
        <v/>
      </c>
      <c r="S112" t="str">
        <f>IF(DONNEES_SOURCE!$CA112=TRUE,DONNEES_SOURCE!$AU112,"")</f>
        <v/>
      </c>
      <c r="T112" t="str">
        <f>IF(DONNEES_SOURCE!$CA112=TRUE,DONNEES_SOURCE!$BW112,"")</f>
        <v/>
      </c>
      <c r="U112" t="str">
        <f>IF(DONNEES_SOURCE!$CA112=TRUE,IFERROR(MATCH(DONNEES_SOURCE!$B112,{"2. Très rarement (Moins d'une fois par mois)","3. Rarement (1 à 3 fois par mois)","4. Parfois (Environ une fois par semaine)","5. Régulièrement (Plusieurs fois par semaine)","6. Quotidiennement (Une fois par jour)","7. Très fréquemment (Plusieurs fois par jour)"},0)+1,""),"")</f>
        <v/>
      </c>
    </row>
    <row r="113" spans="16:21" x14ac:dyDescent="0.25">
      <c r="P113" t="str">
        <f>IF(DONNEES_SOURCE!$CA113=TRUE,DONNEES_SOURCE!$BV113,"")</f>
        <v/>
      </c>
      <c r="Q113" t="str">
        <f>IF(DONNEES_SOURCE!$CA113=TRUE,IFERROR(MATCH(DONNEES_SOURCE!$B113,{"2. Très rarement (Moins d'une fois par mois)","3. Rarement (1 à 3 fois par mois)","4. Parfois (Environ une fois par semaine)","5. Régulièrement (Plusieurs fois par semaine)","6. Quotidiennement (Une fois par jour)","7. Très fréquemment (Plusieurs fois par jour)"},0)+1,""),"")</f>
        <v/>
      </c>
      <c r="R113" t="str">
        <f>IF(DONNEES_SOURCE!$CA113=TRUE,DONNEES_SOURCE!$BW113,"")</f>
        <v/>
      </c>
      <c r="S113" t="str">
        <f>IF(DONNEES_SOURCE!$CA113=TRUE,DONNEES_SOURCE!$AU113,"")</f>
        <v/>
      </c>
      <c r="T113" t="str">
        <f>IF(DONNEES_SOURCE!$CA113=TRUE,DONNEES_SOURCE!$BW113,"")</f>
        <v/>
      </c>
      <c r="U113" t="str">
        <f>IF(DONNEES_SOURCE!$CA113=TRUE,IFERROR(MATCH(DONNEES_SOURCE!$B113,{"2. Très rarement (Moins d'une fois par mois)","3. Rarement (1 à 3 fois par mois)","4. Parfois (Environ une fois par semaine)","5. Régulièrement (Plusieurs fois par semaine)","6. Quotidiennement (Une fois par jour)","7. Très fréquemment (Plusieurs fois par jour)"},0)+1,""),"")</f>
        <v/>
      </c>
    </row>
    <row r="114" spans="16:21" x14ac:dyDescent="0.25">
      <c r="P114" t="str">
        <f>IF(DONNEES_SOURCE!$CA114=TRUE,DONNEES_SOURCE!$BV114,"")</f>
        <v/>
      </c>
      <c r="Q114" t="str">
        <f>IF(DONNEES_SOURCE!$CA114=TRUE,IFERROR(MATCH(DONNEES_SOURCE!$B114,{"2. Très rarement (Moins d'une fois par mois)","3. Rarement (1 à 3 fois par mois)","4. Parfois (Environ une fois par semaine)","5. Régulièrement (Plusieurs fois par semaine)","6. Quotidiennement (Une fois par jour)","7. Très fréquemment (Plusieurs fois par jour)"},0)+1,""),"")</f>
        <v/>
      </c>
      <c r="R114" t="str">
        <f>IF(DONNEES_SOURCE!$CA114=TRUE,DONNEES_SOURCE!$BW114,"")</f>
        <v/>
      </c>
      <c r="S114" t="str">
        <f>IF(DONNEES_SOURCE!$CA114=TRUE,DONNEES_SOURCE!$AU114,"")</f>
        <v/>
      </c>
      <c r="T114" t="str">
        <f>IF(DONNEES_SOURCE!$CA114=TRUE,DONNEES_SOURCE!$BW114,"")</f>
        <v/>
      </c>
      <c r="U114" t="str">
        <f>IF(DONNEES_SOURCE!$CA114=TRUE,IFERROR(MATCH(DONNEES_SOURCE!$B114,{"2. Très rarement (Moins d'une fois par mois)","3. Rarement (1 à 3 fois par mois)","4. Parfois (Environ une fois par semaine)","5. Régulièrement (Plusieurs fois par semaine)","6. Quotidiennement (Une fois par jour)","7. Très fréquemment (Plusieurs fois par jour)"},0)+1,""),"")</f>
        <v/>
      </c>
    </row>
    <row r="115" spans="16:21" x14ac:dyDescent="0.25">
      <c r="P115" t="str">
        <f>IF(DONNEES_SOURCE!$CA115=TRUE,DONNEES_SOURCE!$BV115,"")</f>
        <v/>
      </c>
      <c r="Q115" t="str">
        <f>IF(DONNEES_SOURCE!$CA115=TRUE,IFERROR(MATCH(DONNEES_SOURCE!$B115,{"2. Très rarement (Moins d'une fois par mois)","3. Rarement (1 à 3 fois par mois)","4. Parfois (Environ une fois par semaine)","5. Régulièrement (Plusieurs fois par semaine)","6. Quotidiennement (Une fois par jour)","7. Très fréquemment (Plusieurs fois par jour)"},0)+1,""),"")</f>
        <v/>
      </c>
      <c r="R115" t="str">
        <f>IF(DONNEES_SOURCE!$CA115=TRUE,DONNEES_SOURCE!$BW115,"")</f>
        <v/>
      </c>
      <c r="S115" t="str">
        <f>IF(DONNEES_SOURCE!$CA115=TRUE,DONNEES_SOURCE!$AU115,"")</f>
        <v/>
      </c>
      <c r="T115" t="str">
        <f>IF(DONNEES_SOURCE!$CA115=TRUE,DONNEES_SOURCE!$BW115,"")</f>
        <v/>
      </c>
      <c r="U115" t="str">
        <f>IF(DONNEES_SOURCE!$CA115=TRUE,IFERROR(MATCH(DONNEES_SOURCE!$B115,{"2. Très rarement (Moins d'une fois par mois)","3. Rarement (1 à 3 fois par mois)","4. Parfois (Environ une fois par semaine)","5. Régulièrement (Plusieurs fois par semaine)","6. Quotidiennement (Une fois par jour)","7. Très fréquemment (Plusieurs fois par jour)"},0)+1,""),"")</f>
        <v/>
      </c>
    </row>
    <row r="116" spans="16:21" x14ac:dyDescent="0.25">
      <c r="P116" t="str">
        <f>IF(DONNEES_SOURCE!$CA116=TRUE,DONNEES_SOURCE!$BV116,"")</f>
        <v/>
      </c>
      <c r="Q116" t="str">
        <f>IF(DONNEES_SOURCE!$CA116=TRUE,IFERROR(MATCH(DONNEES_SOURCE!$B116,{"2. Très rarement (Moins d'une fois par mois)","3. Rarement (1 à 3 fois par mois)","4. Parfois (Environ une fois par semaine)","5. Régulièrement (Plusieurs fois par semaine)","6. Quotidiennement (Une fois par jour)","7. Très fréquemment (Plusieurs fois par jour)"},0)+1,""),"")</f>
        <v/>
      </c>
      <c r="R116" t="str">
        <f>IF(DONNEES_SOURCE!$CA116=TRUE,DONNEES_SOURCE!$BW116,"")</f>
        <v/>
      </c>
      <c r="S116" t="str">
        <f>IF(DONNEES_SOURCE!$CA116=TRUE,DONNEES_SOURCE!$AU116,"")</f>
        <v/>
      </c>
      <c r="T116" t="str">
        <f>IF(DONNEES_SOURCE!$CA116=TRUE,DONNEES_SOURCE!$BW116,"")</f>
        <v/>
      </c>
      <c r="U116" t="str">
        <f>IF(DONNEES_SOURCE!$CA116=TRUE,IFERROR(MATCH(DONNEES_SOURCE!$B116,{"2. Très rarement (Moins d'une fois par mois)","3. Rarement (1 à 3 fois par mois)","4. Parfois (Environ une fois par semaine)","5. Régulièrement (Plusieurs fois par semaine)","6. Quotidiennement (Une fois par jour)","7. Très fréquemment (Plusieurs fois par jour)"},0)+1,""),"")</f>
        <v/>
      </c>
    </row>
    <row r="117" spans="16:21" x14ac:dyDescent="0.25">
      <c r="P117" t="str">
        <f>IF(DONNEES_SOURCE!$CA117=TRUE,DONNEES_SOURCE!$BV117,"")</f>
        <v/>
      </c>
      <c r="Q117" t="str">
        <f>IF(DONNEES_SOURCE!$CA117=TRUE,IFERROR(MATCH(DONNEES_SOURCE!$B117,{"2. Très rarement (Moins d'une fois par mois)","3. Rarement (1 à 3 fois par mois)","4. Parfois (Environ une fois par semaine)","5. Régulièrement (Plusieurs fois par semaine)","6. Quotidiennement (Une fois par jour)","7. Très fréquemment (Plusieurs fois par jour)"},0)+1,""),"")</f>
        <v/>
      </c>
      <c r="R117" t="str">
        <f>IF(DONNEES_SOURCE!$CA117=TRUE,DONNEES_SOURCE!$BW117,"")</f>
        <v/>
      </c>
      <c r="S117" t="str">
        <f>IF(DONNEES_SOURCE!$CA117=TRUE,DONNEES_SOURCE!$AU117,"")</f>
        <v/>
      </c>
      <c r="T117" t="str">
        <f>IF(DONNEES_SOURCE!$CA117=TRUE,DONNEES_SOURCE!$BW117,"")</f>
        <v/>
      </c>
      <c r="U117" t="str">
        <f>IF(DONNEES_SOURCE!$CA117=TRUE,IFERROR(MATCH(DONNEES_SOURCE!$B117,{"2. Très rarement (Moins d'une fois par mois)","3. Rarement (1 à 3 fois par mois)","4. Parfois (Environ une fois par semaine)","5. Régulièrement (Plusieurs fois par semaine)","6. Quotidiennement (Une fois par jour)","7. Très fréquemment (Plusieurs fois par jour)"},0)+1,""),"")</f>
        <v/>
      </c>
    </row>
    <row r="118" spans="16:21" x14ac:dyDescent="0.25">
      <c r="P118" t="str">
        <f>IF(DONNEES_SOURCE!$CA118=TRUE,DONNEES_SOURCE!$BV118,"")</f>
        <v/>
      </c>
      <c r="Q118" t="str">
        <f>IF(DONNEES_SOURCE!$CA118=TRUE,IFERROR(MATCH(DONNEES_SOURCE!$B118,{"2. Très rarement (Moins d'une fois par mois)","3. Rarement (1 à 3 fois par mois)","4. Parfois (Environ une fois par semaine)","5. Régulièrement (Plusieurs fois par semaine)","6. Quotidiennement (Une fois par jour)","7. Très fréquemment (Plusieurs fois par jour)"},0)+1,""),"")</f>
        <v/>
      </c>
      <c r="R118" t="str">
        <f>IF(DONNEES_SOURCE!$CA118=TRUE,DONNEES_SOURCE!$BW118,"")</f>
        <v/>
      </c>
      <c r="S118" t="str">
        <f>IF(DONNEES_SOURCE!$CA118=TRUE,DONNEES_SOURCE!$AU118,"")</f>
        <v/>
      </c>
      <c r="T118" t="str">
        <f>IF(DONNEES_SOURCE!$CA118=TRUE,DONNEES_SOURCE!$BW118,"")</f>
        <v/>
      </c>
      <c r="U118" t="str">
        <f>IF(DONNEES_SOURCE!$CA118=TRUE,IFERROR(MATCH(DONNEES_SOURCE!$B118,{"2. Très rarement (Moins d'une fois par mois)","3. Rarement (1 à 3 fois par mois)","4. Parfois (Environ une fois par semaine)","5. Régulièrement (Plusieurs fois par semaine)","6. Quotidiennement (Une fois par jour)","7. Très fréquemment (Plusieurs fois par jour)"},0)+1,""),"")</f>
        <v/>
      </c>
    </row>
    <row r="119" spans="16:21" x14ac:dyDescent="0.25">
      <c r="P119" t="str">
        <f>IF(DONNEES_SOURCE!$CA119=TRUE,DONNEES_SOURCE!$BV119,"")</f>
        <v/>
      </c>
      <c r="Q119" t="str">
        <f>IF(DONNEES_SOURCE!$CA119=TRUE,IFERROR(MATCH(DONNEES_SOURCE!$B119,{"2. Très rarement (Moins d'une fois par mois)","3. Rarement (1 à 3 fois par mois)","4. Parfois (Environ une fois par semaine)","5. Régulièrement (Plusieurs fois par semaine)","6. Quotidiennement (Une fois par jour)","7. Très fréquemment (Plusieurs fois par jour)"},0)+1,""),"")</f>
        <v/>
      </c>
      <c r="R119" t="str">
        <f>IF(DONNEES_SOURCE!$CA119=TRUE,DONNEES_SOURCE!$BW119,"")</f>
        <v/>
      </c>
      <c r="S119" t="str">
        <f>IF(DONNEES_SOURCE!$CA119=TRUE,DONNEES_SOURCE!$AU119,"")</f>
        <v/>
      </c>
      <c r="T119" t="str">
        <f>IF(DONNEES_SOURCE!$CA119=TRUE,DONNEES_SOURCE!$BW119,"")</f>
        <v/>
      </c>
      <c r="U119" t="str">
        <f>IF(DONNEES_SOURCE!$CA119=TRUE,IFERROR(MATCH(DONNEES_SOURCE!$B119,{"2. Très rarement (Moins d'une fois par mois)","3. Rarement (1 à 3 fois par mois)","4. Parfois (Environ une fois par semaine)","5. Régulièrement (Plusieurs fois par semaine)","6. Quotidiennement (Une fois par jour)","7. Très fréquemment (Plusieurs fois par jour)"},0)+1,""),"")</f>
        <v/>
      </c>
    </row>
    <row r="120" spans="16:21" x14ac:dyDescent="0.25">
      <c r="P120" t="str">
        <f>IF(DONNEES_SOURCE!$CA120=TRUE,DONNEES_SOURCE!$BV120,"")</f>
        <v/>
      </c>
      <c r="Q120" t="str">
        <f>IF(DONNEES_SOURCE!$CA120=TRUE,IFERROR(MATCH(DONNEES_SOURCE!$B120,{"2. Très rarement (Moins d'une fois par mois)","3. Rarement (1 à 3 fois par mois)","4. Parfois (Environ une fois par semaine)","5. Régulièrement (Plusieurs fois par semaine)","6. Quotidiennement (Une fois par jour)","7. Très fréquemment (Plusieurs fois par jour)"},0)+1,""),"")</f>
        <v/>
      </c>
      <c r="R120" t="str">
        <f>IF(DONNEES_SOURCE!$CA120=TRUE,DONNEES_SOURCE!$BW120,"")</f>
        <v/>
      </c>
      <c r="S120" t="str">
        <f>IF(DONNEES_SOURCE!$CA120=TRUE,DONNEES_SOURCE!$AU120,"")</f>
        <v/>
      </c>
      <c r="T120" t="str">
        <f>IF(DONNEES_SOURCE!$CA120=TRUE,DONNEES_SOURCE!$BW120,"")</f>
        <v/>
      </c>
      <c r="U120" t="str">
        <f>IF(DONNEES_SOURCE!$CA120=TRUE,IFERROR(MATCH(DONNEES_SOURCE!$B120,{"2. Très rarement (Moins d'une fois par mois)","3. Rarement (1 à 3 fois par mois)","4. Parfois (Environ une fois par semaine)","5. Régulièrement (Plusieurs fois par semaine)","6. Quotidiennement (Une fois par jour)","7. Très fréquemment (Plusieurs fois par jour)"},0)+1,""),"")</f>
        <v/>
      </c>
    </row>
    <row r="121" spans="16:21" x14ac:dyDescent="0.25">
      <c r="P121" t="str">
        <f>IF(DONNEES_SOURCE!$CA121=TRUE,DONNEES_SOURCE!$BV121,"")</f>
        <v/>
      </c>
      <c r="Q121" t="str">
        <f>IF(DONNEES_SOURCE!$CA121=TRUE,IFERROR(MATCH(DONNEES_SOURCE!$B121,{"2. Très rarement (Moins d'une fois par mois)","3. Rarement (1 à 3 fois par mois)","4. Parfois (Environ une fois par semaine)","5. Régulièrement (Plusieurs fois par semaine)","6. Quotidiennement (Une fois par jour)","7. Très fréquemment (Plusieurs fois par jour)"},0)+1,""),"")</f>
        <v/>
      </c>
      <c r="R121" t="str">
        <f>IF(DONNEES_SOURCE!$CA121=TRUE,DONNEES_SOURCE!$BW121,"")</f>
        <v/>
      </c>
      <c r="S121" t="str">
        <f>IF(DONNEES_SOURCE!$CA121=TRUE,DONNEES_SOURCE!$AU121,"")</f>
        <v/>
      </c>
      <c r="T121" t="str">
        <f>IF(DONNEES_SOURCE!$CA121=TRUE,DONNEES_SOURCE!$BW121,"")</f>
        <v/>
      </c>
      <c r="U121" t="str">
        <f>IF(DONNEES_SOURCE!$CA121=TRUE,IFERROR(MATCH(DONNEES_SOURCE!$B121,{"2. Très rarement (Moins d'une fois par mois)","3. Rarement (1 à 3 fois par mois)","4. Parfois (Environ une fois par semaine)","5. Régulièrement (Plusieurs fois par semaine)","6. Quotidiennement (Une fois par jour)","7. Très fréquemment (Plusieurs fois par jour)"},0)+1,""),"")</f>
        <v/>
      </c>
    </row>
    <row r="122" spans="16:21" x14ac:dyDescent="0.25">
      <c r="P122" t="str">
        <f>IF(DONNEES_SOURCE!$CA122=TRUE,DONNEES_SOURCE!$BV122,"")</f>
        <v/>
      </c>
      <c r="Q122" t="str">
        <f>IF(DONNEES_SOURCE!$CA122=TRUE,IFERROR(MATCH(DONNEES_SOURCE!$B122,{"2. Très rarement (Moins d'une fois par mois)","3. Rarement (1 à 3 fois par mois)","4. Parfois (Environ une fois par semaine)","5. Régulièrement (Plusieurs fois par semaine)","6. Quotidiennement (Une fois par jour)","7. Très fréquemment (Plusieurs fois par jour)"},0)+1,""),"")</f>
        <v/>
      </c>
      <c r="R122" t="str">
        <f>IF(DONNEES_SOURCE!$CA122=TRUE,DONNEES_SOURCE!$BW122,"")</f>
        <v/>
      </c>
      <c r="S122" t="str">
        <f>IF(DONNEES_SOURCE!$CA122=TRUE,DONNEES_SOURCE!$AU122,"")</f>
        <v/>
      </c>
      <c r="T122" t="str">
        <f>IF(DONNEES_SOURCE!$CA122=TRUE,DONNEES_SOURCE!$BW122,"")</f>
        <v/>
      </c>
      <c r="U122" t="str">
        <f>IF(DONNEES_SOURCE!$CA122=TRUE,IFERROR(MATCH(DONNEES_SOURCE!$B122,{"2. Très rarement (Moins d'une fois par mois)","3. Rarement (1 à 3 fois par mois)","4. Parfois (Environ une fois par semaine)","5. Régulièrement (Plusieurs fois par semaine)","6. Quotidiennement (Une fois par jour)","7. Très fréquemment (Plusieurs fois par jour)"},0)+1,""),"")</f>
        <v/>
      </c>
    </row>
    <row r="123" spans="16:21" x14ac:dyDescent="0.25">
      <c r="P123" t="str">
        <f>IF(DONNEES_SOURCE!$CA123=TRUE,DONNEES_SOURCE!$BV123,"")</f>
        <v/>
      </c>
      <c r="Q123" t="str">
        <f>IF(DONNEES_SOURCE!$CA123=TRUE,IFERROR(MATCH(DONNEES_SOURCE!$B123,{"2. Très rarement (Moins d'une fois par mois)","3. Rarement (1 à 3 fois par mois)","4. Parfois (Environ une fois par semaine)","5. Régulièrement (Plusieurs fois par semaine)","6. Quotidiennement (Une fois par jour)","7. Très fréquemment (Plusieurs fois par jour)"},0)+1,""),"")</f>
        <v/>
      </c>
      <c r="R123" t="str">
        <f>IF(DONNEES_SOURCE!$CA123=TRUE,DONNEES_SOURCE!$BW123,"")</f>
        <v/>
      </c>
      <c r="S123" t="str">
        <f>IF(DONNEES_SOURCE!$CA123=TRUE,DONNEES_SOURCE!$AU123,"")</f>
        <v/>
      </c>
      <c r="T123" t="str">
        <f>IF(DONNEES_SOURCE!$CA123=TRUE,DONNEES_SOURCE!$BW123,"")</f>
        <v/>
      </c>
      <c r="U123" t="str">
        <f>IF(DONNEES_SOURCE!$CA123=TRUE,IFERROR(MATCH(DONNEES_SOURCE!$B123,{"2. Très rarement (Moins d'une fois par mois)","3. Rarement (1 à 3 fois par mois)","4. Parfois (Environ une fois par semaine)","5. Régulièrement (Plusieurs fois par semaine)","6. Quotidiennement (Une fois par jour)","7. Très fréquemment (Plusieurs fois par jour)"},0)+1,""),"")</f>
        <v/>
      </c>
    </row>
    <row r="124" spans="16:21" x14ac:dyDescent="0.25">
      <c r="P124" t="str">
        <f>IF(DONNEES_SOURCE!$CA124=TRUE,DONNEES_SOURCE!$BV124,"")</f>
        <v/>
      </c>
      <c r="Q124" t="str">
        <f>IF(DONNEES_SOURCE!$CA124=TRUE,IFERROR(MATCH(DONNEES_SOURCE!$B124,{"2. Très rarement (Moins d'une fois par mois)","3. Rarement (1 à 3 fois par mois)","4. Parfois (Environ une fois par semaine)","5. Régulièrement (Plusieurs fois par semaine)","6. Quotidiennement (Une fois par jour)","7. Très fréquemment (Plusieurs fois par jour)"},0)+1,""),"")</f>
        <v/>
      </c>
      <c r="R124" t="str">
        <f>IF(DONNEES_SOURCE!$CA124=TRUE,DONNEES_SOURCE!$BW124,"")</f>
        <v/>
      </c>
      <c r="S124" t="str">
        <f>IF(DONNEES_SOURCE!$CA124=TRUE,DONNEES_SOURCE!$AU124,"")</f>
        <v/>
      </c>
      <c r="T124" t="str">
        <f>IF(DONNEES_SOURCE!$CA124=TRUE,DONNEES_SOURCE!$BW124,"")</f>
        <v/>
      </c>
      <c r="U124" t="str">
        <f>IF(DONNEES_SOURCE!$CA124=TRUE,IFERROR(MATCH(DONNEES_SOURCE!$B124,{"2. Très rarement (Moins d'une fois par mois)","3. Rarement (1 à 3 fois par mois)","4. Parfois (Environ une fois par semaine)","5. Régulièrement (Plusieurs fois par semaine)","6. Quotidiennement (Une fois par jour)","7. Très fréquemment (Plusieurs fois par jour)"},0)+1,""),"")</f>
        <v/>
      </c>
    </row>
    <row r="125" spans="16:21" x14ac:dyDescent="0.25">
      <c r="P125" t="str">
        <f>IF(DONNEES_SOURCE!$CA125=TRUE,DONNEES_SOURCE!$BV125,"")</f>
        <v/>
      </c>
      <c r="Q125" t="str">
        <f>IF(DONNEES_SOURCE!$CA125=TRUE,IFERROR(MATCH(DONNEES_SOURCE!$B125,{"2. Très rarement (Moins d'une fois par mois)","3. Rarement (1 à 3 fois par mois)","4. Parfois (Environ une fois par semaine)","5. Régulièrement (Plusieurs fois par semaine)","6. Quotidiennement (Une fois par jour)","7. Très fréquemment (Plusieurs fois par jour)"},0)+1,""),"")</f>
        <v/>
      </c>
      <c r="R125" t="str">
        <f>IF(DONNEES_SOURCE!$CA125=TRUE,DONNEES_SOURCE!$BW125,"")</f>
        <v/>
      </c>
      <c r="S125" t="str">
        <f>IF(DONNEES_SOURCE!$CA125=TRUE,DONNEES_SOURCE!$AU125,"")</f>
        <v/>
      </c>
      <c r="T125" t="str">
        <f>IF(DONNEES_SOURCE!$CA125=TRUE,DONNEES_SOURCE!$BW125,"")</f>
        <v/>
      </c>
      <c r="U125" t="str">
        <f>IF(DONNEES_SOURCE!$CA125=TRUE,IFERROR(MATCH(DONNEES_SOURCE!$B125,{"2. Très rarement (Moins d'une fois par mois)","3. Rarement (1 à 3 fois par mois)","4. Parfois (Environ une fois par semaine)","5. Régulièrement (Plusieurs fois par semaine)","6. Quotidiennement (Une fois par jour)","7. Très fréquemment (Plusieurs fois par jour)"},0)+1,""),"")</f>
        <v/>
      </c>
    </row>
    <row r="126" spans="16:21" x14ac:dyDescent="0.25">
      <c r="P126" t="str">
        <f>IF(DONNEES_SOURCE!$CA126=TRUE,DONNEES_SOURCE!$BV126,"")</f>
        <v/>
      </c>
      <c r="Q126" t="str">
        <f>IF(DONNEES_SOURCE!$CA126=TRUE,IFERROR(MATCH(DONNEES_SOURCE!$B126,{"2. Très rarement (Moins d'une fois par mois)","3. Rarement (1 à 3 fois par mois)","4. Parfois (Environ une fois par semaine)","5. Régulièrement (Plusieurs fois par semaine)","6. Quotidiennement (Une fois par jour)","7. Très fréquemment (Plusieurs fois par jour)"},0)+1,""),"")</f>
        <v/>
      </c>
      <c r="R126" t="str">
        <f>IF(DONNEES_SOURCE!$CA126=TRUE,DONNEES_SOURCE!$BW126,"")</f>
        <v/>
      </c>
      <c r="S126" t="str">
        <f>IF(DONNEES_SOURCE!$CA126=TRUE,DONNEES_SOURCE!$AU126,"")</f>
        <v/>
      </c>
      <c r="T126" t="str">
        <f>IF(DONNEES_SOURCE!$CA126=TRUE,DONNEES_SOURCE!$BW126,"")</f>
        <v/>
      </c>
      <c r="U126" t="str">
        <f>IF(DONNEES_SOURCE!$CA126=TRUE,IFERROR(MATCH(DONNEES_SOURCE!$B126,{"2. Très rarement (Moins d'une fois par mois)","3. Rarement (1 à 3 fois par mois)","4. Parfois (Environ une fois par semaine)","5. Régulièrement (Plusieurs fois par semaine)","6. Quotidiennement (Une fois par jour)","7. Très fréquemment (Plusieurs fois par jour)"},0)+1,""),"")</f>
        <v/>
      </c>
    </row>
    <row r="127" spans="16:21" x14ac:dyDescent="0.25">
      <c r="P127" t="str">
        <f>IF(DONNEES_SOURCE!$CA127=TRUE,DONNEES_SOURCE!$BV127,"")</f>
        <v/>
      </c>
      <c r="Q127" t="str">
        <f>IF(DONNEES_SOURCE!$CA127=TRUE,IFERROR(MATCH(DONNEES_SOURCE!$B127,{"2. Très rarement (Moins d'une fois par mois)","3. Rarement (1 à 3 fois par mois)","4. Parfois (Environ une fois par semaine)","5. Régulièrement (Plusieurs fois par semaine)","6. Quotidiennement (Une fois par jour)","7. Très fréquemment (Plusieurs fois par jour)"},0)+1,""),"")</f>
        <v/>
      </c>
      <c r="R127" t="str">
        <f>IF(DONNEES_SOURCE!$CA127=TRUE,DONNEES_SOURCE!$BW127,"")</f>
        <v/>
      </c>
      <c r="S127" t="str">
        <f>IF(DONNEES_SOURCE!$CA127=TRUE,DONNEES_SOURCE!$AU127,"")</f>
        <v/>
      </c>
      <c r="T127" t="str">
        <f>IF(DONNEES_SOURCE!$CA127=TRUE,DONNEES_SOURCE!$BW127,"")</f>
        <v/>
      </c>
      <c r="U127" t="str">
        <f>IF(DONNEES_SOURCE!$CA127=TRUE,IFERROR(MATCH(DONNEES_SOURCE!$B127,{"2. Très rarement (Moins d'une fois par mois)","3. Rarement (1 à 3 fois par mois)","4. Parfois (Environ une fois par semaine)","5. Régulièrement (Plusieurs fois par semaine)","6. Quotidiennement (Une fois par jour)","7. Très fréquemment (Plusieurs fois par jour)"},0)+1,""),"")</f>
        <v/>
      </c>
    </row>
    <row r="128" spans="16:21" x14ac:dyDescent="0.25">
      <c r="P128" t="str">
        <f>IF(DONNEES_SOURCE!$CA128=TRUE,DONNEES_SOURCE!$BV128,"")</f>
        <v/>
      </c>
      <c r="Q128" t="str">
        <f>IF(DONNEES_SOURCE!$CA128=TRUE,IFERROR(MATCH(DONNEES_SOURCE!$B128,{"2. Très rarement (Moins d'une fois par mois)","3. Rarement (1 à 3 fois par mois)","4. Parfois (Environ une fois par semaine)","5. Régulièrement (Plusieurs fois par semaine)","6. Quotidiennement (Une fois par jour)","7. Très fréquemment (Plusieurs fois par jour)"},0)+1,""),"")</f>
        <v/>
      </c>
      <c r="R128" t="str">
        <f>IF(DONNEES_SOURCE!$CA128=TRUE,DONNEES_SOURCE!$BW128,"")</f>
        <v/>
      </c>
      <c r="S128" t="str">
        <f>IF(DONNEES_SOURCE!$CA128=TRUE,DONNEES_SOURCE!$AU128,"")</f>
        <v/>
      </c>
      <c r="T128" t="str">
        <f>IF(DONNEES_SOURCE!$CA128=TRUE,DONNEES_SOURCE!$BW128,"")</f>
        <v/>
      </c>
      <c r="U128" t="str">
        <f>IF(DONNEES_SOURCE!$CA128=TRUE,IFERROR(MATCH(DONNEES_SOURCE!$B128,{"2. Très rarement (Moins d'une fois par mois)","3. Rarement (1 à 3 fois par mois)","4. Parfois (Environ une fois par semaine)","5. Régulièrement (Plusieurs fois par semaine)","6. Quotidiennement (Une fois par jour)","7. Très fréquemment (Plusieurs fois par jour)"},0)+1,""),"")</f>
        <v/>
      </c>
    </row>
    <row r="129" spans="16:21" x14ac:dyDescent="0.25">
      <c r="P129" t="str">
        <f>IF(DONNEES_SOURCE!$CA129=TRUE,DONNEES_SOURCE!$BV129,"")</f>
        <v/>
      </c>
      <c r="Q129" t="str">
        <f>IF(DONNEES_SOURCE!$CA129=TRUE,IFERROR(MATCH(DONNEES_SOURCE!$B129,{"2. Très rarement (Moins d'une fois par mois)","3. Rarement (1 à 3 fois par mois)","4. Parfois (Environ une fois par semaine)","5. Régulièrement (Plusieurs fois par semaine)","6. Quotidiennement (Une fois par jour)","7. Très fréquemment (Plusieurs fois par jour)"},0)+1,""),"")</f>
        <v/>
      </c>
      <c r="R129" t="str">
        <f>IF(DONNEES_SOURCE!$CA129=TRUE,DONNEES_SOURCE!$BW129,"")</f>
        <v/>
      </c>
      <c r="S129" t="str">
        <f>IF(DONNEES_SOURCE!$CA129=TRUE,DONNEES_SOURCE!$AU129,"")</f>
        <v/>
      </c>
      <c r="T129" t="str">
        <f>IF(DONNEES_SOURCE!$CA129=TRUE,DONNEES_SOURCE!$BW129,"")</f>
        <v/>
      </c>
      <c r="U129" t="str">
        <f>IF(DONNEES_SOURCE!$CA129=TRUE,IFERROR(MATCH(DONNEES_SOURCE!$B129,{"2. Très rarement (Moins d'une fois par mois)","3. Rarement (1 à 3 fois par mois)","4. Parfois (Environ une fois par semaine)","5. Régulièrement (Plusieurs fois par semaine)","6. Quotidiennement (Une fois par jour)","7. Très fréquemment (Plusieurs fois par jour)"},0)+1,""),"")</f>
        <v/>
      </c>
    </row>
    <row r="130" spans="16:21" x14ac:dyDescent="0.25">
      <c r="P130" t="str">
        <f>IF(DONNEES_SOURCE!$CA130=TRUE,DONNEES_SOURCE!$BV130,"")</f>
        <v/>
      </c>
      <c r="Q130" t="str">
        <f>IF(DONNEES_SOURCE!$CA130=TRUE,IFERROR(MATCH(DONNEES_SOURCE!$B130,{"2. Très rarement (Moins d'une fois par mois)","3. Rarement (1 à 3 fois par mois)","4. Parfois (Environ une fois par semaine)","5. Régulièrement (Plusieurs fois par semaine)","6. Quotidiennement (Une fois par jour)","7. Très fréquemment (Plusieurs fois par jour)"},0)+1,""),"")</f>
        <v/>
      </c>
      <c r="R130" t="str">
        <f>IF(DONNEES_SOURCE!$CA130=TRUE,DONNEES_SOURCE!$BW130,"")</f>
        <v/>
      </c>
      <c r="S130" t="str">
        <f>IF(DONNEES_SOURCE!$CA130=TRUE,DONNEES_SOURCE!$AU130,"")</f>
        <v/>
      </c>
      <c r="T130" t="str">
        <f>IF(DONNEES_SOURCE!$CA130=TRUE,DONNEES_SOURCE!$BW130,"")</f>
        <v/>
      </c>
      <c r="U130" t="str">
        <f>IF(DONNEES_SOURCE!$CA130=TRUE,IFERROR(MATCH(DONNEES_SOURCE!$B130,{"2. Très rarement (Moins d'une fois par mois)","3. Rarement (1 à 3 fois par mois)","4. Parfois (Environ une fois par semaine)","5. Régulièrement (Plusieurs fois par semaine)","6. Quotidiennement (Une fois par jour)","7. Très fréquemment (Plusieurs fois par jour)"},0)+1,""),"")</f>
        <v/>
      </c>
    </row>
    <row r="131" spans="16:21" x14ac:dyDescent="0.25">
      <c r="P131" t="str">
        <f>IF(DONNEES_SOURCE!$CA131=TRUE,DONNEES_SOURCE!$BV131,"")</f>
        <v/>
      </c>
      <c r="Q131" t="str">
        <f>IF(DONNEES_SOURCE!$CA131=TRUE,IFERROR(MATCH(DONNEES_SOURCE!$B131,{"2. Très rarement (Moins d'une fois par mois)","3. Rarement (1 à 3 fois par mois)","4. Parfois (Environ une fois par semaine)","5. Régulièrement (Plusieurs fois par semaine)","6. Quotidiennement (Une fois par jour)","7. Très fréquemment (Plusieurs fois par jour)"},0)+1,""),"")</f>
        <v/>
      </c>
      <c r="R131" t="str">
        <f>IF(DONNEES_SOURCE!$CA131=TRUE,DONNEES_SOURCE!$BW131,"")</f>
        <v/>
      </c>
      <c r="S131" t="str">
        <f>IF(DONNEES_SOURCE!$CA131=TRUE,DONNEES_SOURCE!$AU131,"")</f>
        <v/>
      </c>
      <c r="T131" t="str">
        <f>IF(DONNEES_SOURCE!$CA131=TRUE,DONNEES_SOURCE!$BW131,"")</f>
        <v/>
      </c>
      <c r="U131" t="str">
        <f>IF(DONNEES_SOURCE!$CA131=TRUE,IFERROR(MATCH(DONNEES_SOURCE!$B131,{"2. Très rarement (Moins d'une fois par mois)","3. Rarement (1 à 3 fois par mois)","4. Parfois (Environ une fois par semaine)","5. Régulièrement (Plusieurs fois par semaine)","6. Quotidiennement (Une fois par jour)","7. Très fréquemment (Plusieurs fois par jour)"},0)+1,""),"")</f>
        <v/>
      </c>
    </row>
    <row r="132" spans="16:21" x14ac:dyDescent="0.25">
      <c r="P132" t="str">
        <f>IF(DONNEES_SOURCE!$CA132=TRUE,DONNEES_SOURCE!$BV132,"")</f>
        <v/>
      </c>
      <c r="Q132" t="str">
        <f>IF(DONNEES_SOURCE!$CA132=TRUE,IFERROR(MATCH(DONNEES_SOURCE!$B132,{"2. Très rarement (Moins d'une fois par mois)","3. Rarement (1 à 3 fois par mois)","4. Parfois (Environ une fois par semaine)","5. Régulièrement (Plusieurs fois par semaine)","6. Quotidiennement (Une fois par jour)","7. Très fréquemment (Plusieurs fois par jour)"},0)+1,""),"")</f>
        <v/>
      </c>
      <c r="R132" t="str">
        <f>IF(DONNEES_SOURCE!$CA132=TRUE,DONNEES_SOURCE!$BW132,"")</f>
        <v/>
      </c>
      <c r="S132" t="str">
        <f>IF(DONNEES_SOURCE!$CA132=TRUE,DONNEES_SOURCE!$AU132,"")</f>
        <v/>
      </c>
      <c r="T132" t="str">
        <f>IF(DONNEES_SOURCE!$CA132=TRUE,DONNEES_SOURCE!$BW132,"")</f>
        <v/>
      </c>
      <c r="U132" t="str">
        <f>IF(DONNEES_SOURCE!$CA132=TRUE,IFERROR(MATCH(DONNEES_SOURCE!$B132,{"2. Très rarement (Moins d'une fois par mois)","3. Rarement (1 à 3 fois par mois)","4. Parfois (Environ une fois par semaine)","5. Régulièrement (Plusieurs fois par semaine)","6. Quotidiennement (Une fois par jour)","7. Très fréquemment (Plusieurs fois par jour)"},0)+1,""),"")</f>
        <v/>
      </c>
    </row>
    <row r="133" spans="16:21" x14ac:dyDescent="0.25">
      <c r="P133" t="str">
        <f>IF(DONNEES_SOURCE!$CA133=TRUE,DONNEES_SOURCE!$BV133,"")</f>
        <v/>
      </c>
      <c r="Q133" t="str">
        <f>IF(DONNEES_SOURCE!$CA133=TRUE,IFERROR(MATCH(DONNEES_SOURCE!$B133,{"2. Très rarement (Moins d'une fois par mois)","3. Rarement (1 à 3 fois par mois)","4. Parfois (Environ une fois par semaine)","5. Régulièrement (Plusieurs fois par semaine)","6. Quotidiennement (Une fois par jour)","7. Très fréquemment (Plusieurs fois par jour)"},0)+1,""),"")</f>
        <v/>
      </c>
      <c r="R133" t="str">
        <f>IF(DONNEES_SOURCE!$CA133=TRUE,DONNEES_SOURCE!$BW133,"")</f>
        <v/>
      </c>
      <c r="S133" t="str">
        <f>IF(DONNEES_SOURCE!$CA133=TRUE,DONNEES_SOURCE!$AU133,"")</f>
        <v/>
      </c>
      <c r="T133" t="str">
        <f>IF(DONNEES_SOURCE!$CA133=TRUE,DONNEES_SOURCE!$BW133,"")</f>
        <v/>
      </c>
      <c r="U133" t="str">
        <f>IF(DONNEES_SOURCE!$CA133=TRUE,IFERROR(MATCH(DONNEES_SOURCE!$B133,{"2. Très rarement (Moins d'une fois par mois)","3. Rarement (1 à 3 fois par mois)","4. Parfois (Environ une fois par semaine)","5. Régulièrement (Plusieurs fois par semaine)","6. Quotidiennement (Une fois par jour)","7. Très fréquemment (Plusieurs fois par jour)"},0)+1,""),"")</f>
        <v/>
      </c>
    </row>
    <row r="134" spans="16:21" x14ac:dyDescent="0.25">
      <c r="P134" t="str">
        <f>IF(DONNEES_SOURCE!$CA134=TRUE,DONNEES_SOURCE!$BV134,"")</f>
        <v/>
      </c>
      <c r="Q134" t="str">
        <f>IF(DONNEES_SOURCE!$CA134=TRUE,IFERROR(MATCH(DONNEES_SOURCE!$B134,{"2. Très rarement (Moins d'une fois par mois)","3. Rarement (1 à 3 fois par mois)","4. Parfois (Environ une fois par semaine)","5. Régulièrement (Plusieurs fois par semaine)","6. Quotidiennement (Une fois par jour)","7. Très fréquemment (Plusieurs fois par jour)"},0)+1,""),"")</f>
        <v/>
      </c>
      <c r="R134" t="str">
        <f>IF(DONNEES_SOURCE!$CA134=TRUE,DONNEES_SOURCE!$BW134,"")</f>
        <v/>
      </c>
      <c r="S134" t="str">
        <f>IF(DONNEES_SOURCE!$CA134=TRUE,DONNEES_SOURCE!$AU134,"")</f>
        <v/>
      </c>
      <c r="T134" t="str">
        <f>IF(DONNEES_SOURCE!$CA134=TRUE,DONNEES_SOURCE!$BW134,"")</f>
        <v/>
      </c>
      <c r="U134" t="str">
        <f>IF(DONNEES_SOURCE!$CA134=TRUE,IFERROR(MATCH(DONNEES_SOURCE!$B134,{"2. Très rarement (Moins d'une fois par mois)","3. Rarement (1 à 3 fois par mois)","4. Parfois (Environ une fois par semaine)","5. Régulièrement (Plusieurs fois par semaine)","6. Quotidiennement (Une fois par jour)","7. Très fréquemment (Plusieurs fois par jour)"},0)+1,""),"")</f>
        <v/>
      </c>
    </row>
    <row r="135" spans="16:21" x14ac:dyDescent="0.25">
      <c r="P135" t="str">
        <f>IF(DONNEES_SOURCE!$CA135=TRUE,DONNEES_SOURCE!$BV135,"")</f>
        <v/>
      </c>
      <c r="Q135" t="str">
        <f>IF(DONNEES_SOURCE!$CA135=TRUE,IFERROR(MATCH(DONNEES_SOURCE!$B135,{"2. Très rarement (Moins d'une fois par mois)","3. Rarement (1 à 3 fois par mois)","4. Parfois (Environ une fois par semaine)","5. Régulièrement (Plusieurs fois par semaine)","6. Quotidiennement (Une fois par jour)","7. Très fréquemment (Plusieurs fois par jour)"},0)+1,""),"")</f>
        <v/>
      </c>
      <c r="R135" t="str">
        <f>IF(DONNEES_SOURCE!$CA135=TRUE,DONNEES_SOURCE!$BW135,"")</f>
        <v/>
      </c>
      <c r="S135" t="str">
        <f>IF(DONNEES_SOURCE!$CA135=TRUE,DONNEES_SOURCE!$AU135,"")</f>
        <v/>
      </c>
      <c r="T135" t="str">
        <f>IF(DONNEES_SOURCE!$CA135=TRUE,DONNEES_SOURCE!$BW135,"")</f>
        <v/>
      </c>
      <c r="U135" t="str">
        <f>IF(DONNEES_SOURCE!$CA135=TRUE,IFERROR(MATCH(DONNEES_SOURCE!$B135,{"2. Très rarement (Moins d'une fois par mois)","3. Rarement (1 à 3 fois par mois)","4. Parfois (Environ une fois par semaine)","5. Régulièrement (Plusieurs fois par semaine)","6. Quotidiennement (Une fois par jour)","7. Très fréquemment (Plusieurs fois par jour)"},0)+1,""),"")</f>
        <v/>
      </c>
    </row>
    <row r="136" spans="16:21" x14ac:dyDescent="0.25">
      <c r="P136" t="str">
        <f>IF(DONNEES_SOURCE!$CA136=TRUE,DONNEES_SOURCE!$BV136,"")</f>
        <v/>
      </c>
      <c r="Q136" t="str">
        <f>IF(DONNEES_SOURCE!$CA136=TRUE,IFERROR(MATCH(DONNEES_SOURCE!$B136,{"2. Très rarement (Moins d'une fois par mois)","3. Rarement (1 à 3 fois par mois)","4. Parfois (Environ une fois par semaine)","5. Régulièrement (Plusieurs fois par semaine)","6. Quotidiennement (Une fois par jour)","7. Très fréquemment (Plusieurs fois par jour)"},0)+1,""),"")</f>
        <v/>
      </c>
      <c r="R136" t="str">
        <f>IF(DONNEES_SOURCE!$CA136=TRUE,DONNEES_SOURCE!$BW136,"")</f>
        <v/>
      </c>
      <c r="S136" t="str">
        <f>IF(DONNEES_SOURCE!$CA136=TRUE,DONNEES_SOURCE!$AU136,"")</f>
        <v/>
      </c>
      <c r="T136" t="str">
        <f>IF(DONNEES_SOURCE!$CA136=TRUE,DONNEES_SOURCE!$BW136,"")</f>
        <v/>
      </c>
      <c r="U136" t="str">
        <f>IF(DONNEES_SOURCE!$CA136=TRUE,IFERROR(MATCH(DONNEES_SOURCE!$B136,{"2. Très rarement (Moins d'une fois par mois)","3. Rarement (1 à 3 fois par mois)","4. Parfois (Environ une fois par semaine)","5. Régulièrement (Plusieurs fois par semaine)","6. Quotidiennement (Une fois par jour)","7. Très fréquemment (Plusieurs fois par jour)"},0)+1,""),"")</f>
        <v/>
      </c>
    </row>
    <row r="137" spans="16:21" x14ac:dyDescent="0.25">
      <c r="P137" t="str">
        <f>IF(DONNEES_SOURCE!$CA137=TRUE,DONNEES_SOURCE!$BV137,"")</f>
        <v/>
      </c>
      <c r="Q137" t="str">
        <f>IF(DONNEES_SOURCE!$CA137=TRUE,IFERROR(MATCH(DONNEES_SOURCE!$B137,{"2. Très rarement (Moins d'une fois par mois)","3. Rarement (1 à 3 fois par mois)","4. Parfois (Environ une fois par semaine)","5. Régulièrement (Plusieurs fois par semaine)","6. Quotidiennement (Une fois par jour)","7. Très fréquemment (Plusieurs fois par jour)"},0)+1,""),"")</f>
        <v/>
      </c>
      <c r="R137" t="str">
        <f>IF(DONNEES_SOURCE!$CA137=TRUE,DONNEES_SOURCE!$BW137,"")</f>
        <v/>
      </c>
      <c r="S137" t="str">
        <f>IF(DONNEES_SOURCE!$CA137=TRUE,DONNEES_SOURCE!$AU137,"")</f>
        <v/>
      </c>
      <c r="T137" t="str">
        <f>IF(DONNEES_SOURCE!$CA137=TRUE,DONNEES_SOURCE!$BW137,"")</f>
        <v/>
      </c>
      <c r="U137" t="str">
        <f>IF(DONNEES_SOURCE!$CA137=TRUE,IFERROR(MATCH(DONNEES_SOURCE!$B137,{"2. Très rarement (Moins d'une fois par mois)","3. Rarement (1 à 3 fois par mois)","4. Parfois (Environ une fois par semaine)","5. Régulièrement (Plusieurs fois par semaine)","6. Quotidiennement (Une fois par jour)","7. Très fréquemment (Plusieurs fois par jour)"},0)+1,""),"")</f>
        <v/>
      </c>
    </row>
    <row r="138" spans="16:21" x14ac:dyDescent="0.25">
      <c r="P138" t="str">
        <f>IF(DONNEES_SOURCE!$CA138=TRUE,DONNEES_SOURCE!$BV138,"")</f>
        <v/>
      </c>
      <c r="Q138" t="str">
        <f>IF(DONNEES_SOURCE!$CA138=TRUE,IFERROR(MATCH(DONNEES_SOURCE!$B138,{"2. Très rarement (Moins d'une fois par mois)","3. Rarement (1 à 3 fois par mois)","4. Parfois (Environ une fois par semaine)","5. Régulièrement (Plusieurs fois par semaine)","6. Quotidiennement (Une fois par jour)","7. Très fréquemment (Plusieurs fois par jour)"},0)+1,""),"")</f>
        <v/>
      </c>
      <c r="R138" t="str">
        <f>IF(DONNEES_SOURCE!$CA138=TRUE,DONNEES_SOURCE!$BW138,"")</f>
        <v/>
      </c>
      <c r="S138" t="str">
        <f>IF(DONNEES_SOURCE!$CA138=TRUE,DONNEES_SOURCE!$AU138,"")</f>
        <v/>
      </c>
      <c r="T138" t="str">
        <f>IF(DONNEES_SOURCE!$CA138=TRUE,DONNEES_SOURCE!$BW138,"")</f>
        <v/>
      </c>
      <c r="U138" t="str">
        <f>IF(DONNEES_SOURCE!$CA138=TRUE,IFERROR(MATCH(DONNEES_SOURCE!$B138,{"2. Très rarement (Moins d'une fois par mois)","3. Rarement (1 à 3 fois par mois)","4. Parfois (Environ une fois par semaine)","5. Régulièrement (Plusieurs fois par semaine)","6. Quotidiennement (Une fois par jour)","7. Très fréquemment (Plusieurs fois par jour)"},0)+1,""),"")</f>
        <v/>
      </c>
    </row>
    <row r="139" spans="16:21" x14ac:dyDescent="0.25">
      <c r="P139" t="str">
        <f>IF(DONNEES_SOURCE!$CA139=TRUE,DONNEES_SOURCE!$BV139,"")</f>
        <v/>
      </c>
      <c r="Q139" t="str">
        <f>IF(DONNEES_SOURCE!$CA139=TRUE,IFERROR(MATCH(DONNEES_SOURCE!$B139,{"2. Très rarement (Moins d'une fois par mois)","3. Rarement (1 à 3 fois par mois)","4. Parfois (Environ une fois par semaine)","5. Régulièrement (Plusieurs fois par semaine)","6. Quotidiennement (Une fois par jour)","7. Très fréquemment (Plusieurs fois par jour)"},0)+1,""),"")</f>
        <v/>
      </c>
      <c r="R139" t="str">
        <f>IF(DONNEES_SOURCE!$CA139=TRUE,DONNEES_SOURCE!$BW139,"")</f>
        <v/>
      </c>
      <c r="S139" t="str">
        <f>IF(DONNEES_SOURCE!$CA139=TRUE,DONNEES_SOURCE!$AU139,"")</f>
        <v/>
      </c>
      <c r="T139" t="str">
        <f>IF(DONNEES_SOURCE!$CA139=TRUE,DONNEES_SOURCE!$BW139,"")</f>
        <v/>
      </c>
      <c r="U139" t="str">
        <f>IF(DONNEES_SOURCE!$CA139=TRUE,IFERROR(MATCH(DONNEES_SOURCE!$B139,{"2. Très rarement (Moins d'une fois par mois)","3. Rarement (1 à 3 fois par mois)","4. Parfois (Environ une fois par semaine)","5. Régulièrement (Plusieurs fois par semaine)","6. Quotidiennement (Une fois par jour)","7. Très fréquemment (Plusieurs fois par jour)"},0)+1,""),"")</f>
        <v/>
      </c>
    </row>
    <row r="140" spans="16:21" x14ac:dyDescent="0.25">
      <c r="P140" t="str">
        <f>IF(DONNEES_SOURCE!$CA140=TRUE,DONNEES_SOURCE!$BV140,"")</f>
        <v/>
      </c>
      <c r="Q140" t="str">
        <f>IF(DONNEES_SOURCE!$CA140=TRUE,IFERROR(MATCH(DONNEES_SOURCE!$B140,{"2. Très rarement (Moins d'une fois par mois)","3. Rarement (1 à 3 fois par mois)","4. Parfois (Environ une fois par semaine)","5. Régulièrement (Plusieurs fois par semaine)","6. Quotidiennement (Une fois par jour)","7. Très fréquemment (Plusieurs fois par jour)"},0)+1,""),"")</f>
        <v/>
      </c>
      <c r="R140" t="str">
        <f>IF(DONNEES_SOURCE!$CA140=TRUE,DONNEES_SOURCE!$BW140,"")</f>
        <v/>
      </c>
      <c r="S140" t="str">
        <f>IF(DONNEES_SOURCE!$CA140=TRUE,DONNEES_SOURCE!$AU140,"")</f>
        <v/>
      </c>
      <c r="T140" t="str">
        <f>IF(DONNEES_SOURCE!$CA140=TRUE,DONNEES_SOURCE!$BW140,"")</f>
        <v/>
      </c>
      <c r="U140" t="str">
        <f>IF(DONNEES_SOURCE!$CA140=TRUE,IFERROR(MATCH(DONNEES_SOURCE!$B140,{"2. Très rarement (Moins d'une fois par mois)","3. Rarement (1 à 3 fois par mois)","4. Parfois (Environ une fois par semaine)","5. Régulièrement (Plusieurs fois par semaine)","6. Quotidiennement (Une fois par jour)","7. Très fréquemment (Plusieurs fois par jour)"},0)+1,""),"")</f>
        <v/>
      </c>
    </row>
    <row r="141" spans="16:21" x14ac:dyDescent="0.25">
      <c r="P141" t="str">
        <f>IF(DONNEES_SOURCE!$CA141=TRUE,DONNEES_SOURCE!$BV141,"")</f>
        <v/>
      </c>
      <c r="Q141" t="str">
        <f>IF(DONNEES_SOURCE!$CA141=TRUE,IFERROR(MATCH(DONNEES_SOURCE!$B141,{"2. Très rarement (Moins d'une fois par mois)","3. Rarement (1 à 3 fois par mois)","4. Parfois (Environ une fois par semaine)","5. Régulièrement (Plusieurs fois par semaine)","6. Quotidiennement (Une fois par jour)","7. Très fréquemment (Plusieurs fois par jour)"},0)+1,""),"")</f>
        <v/>
      </c>
      <c r="R141" t="str">
        <f>IF(DONNEES_SOURCE!$CA141=TRUE,DONNEES_SOURCE!$BW141,"")</f>
        <v/>
      </c>
      <c r="S141" t="str">
        <f>IF(DONNEES_SOURCE!$CA141=TRUE,DONNEES_SOURCE!$AU141,"")</f>
        <v/>
      </c>
      <c r="T141" t="str">
        <f>IF(DONNEES_SOURCE!$CA141=TRUE,DONNEES_SOURCE!$BW141,"")</f>
        <v/>
      </c>
      <c r="U141" t="str">
        <f>IF(DONNEES_SOURCE!$CA141=TRUE,IFERROR(MATCH(DONNEES_SOURCE!$B141,{"2. Très rarement (Moins d'une fois par mois)","3. Rarement (1 à 3 fois par mois)","4. Parfois (Environ une fois par semaine)","5. Régulièrement (Plusieurs fois par semaine)","6. Quotidiennement (Une fois par jour)","7. Très fréquemment (Plusieurs fois par jour)"},0)+1,""),"")</f>
        <v/>
      </c>
    </row>
    <row r="142" spans="16:21" x14ac:dyDescent="0.25">
      <c r="P142" t="str">
        <f>IF(DONNEES_SOURCE!$CA142=TRUE,DONNEES_SOURCE!$BV142,"")</f>
        <v/>
      </c>
      <c r="Q142" t="str">
        <f>IF(DONNEES_SOURCE!$CA142=TRUE,IFERROR(MATCH(DONNEES_SOURCE!$B142,{"2. Très rarement (Moins d'une fois par mois)","3. Rarement (1 à 3 fois par mois)","4. Parfois (Environ une fois par semaine)","5. Régulièrement (Plusieurs fois par semaine)","6. Quotidiennement (Une fois par jour)","7. Très fréquemment (Plusieurs fois par jour)"},0)+1,""),"")</f>
        <v/>
      </c>
      <c r="R142" t="str">
        <f>IF(DONNEES_SOURCE!$CA142=TRUE,DONNEES_SOURCE!$BW142,"")</f>
        <v/>
      </c>
      <c r="S142" t="str">
        <f>IF(DONNEES_SOURCE!$CA142=TRUE,DONNEES_SOURCE!$AU142,"")</f>
        <v/>
      </c>
      <c r="T142" t="str">
        <f>IF(DONNEES_SOURCE!$CA142=TRUE,DONNEES_SOURCE!$BW142,"")</f>
        <v/>
      </c>
      <c r="U142" t="str">
        <f>IF(DONNEES_SOURCE!$CA142=TRUE,IFERROR(MATCH(DONNEES_SOURCE!$B142,{"2. Très rarement (Moins d'une fois par mois)","3. Rarement (1 à 3 fois par mois)","4. Parfois (Environ une fois par semaine)","5. Régulièrement (Plusieurs fois par semaine)","6. Quotidiennement (Une fois par jour)","7. Très fréquemment (Plusieurs fois par jour)"},0)+1,""),"")</f>
        <v/>
      </c>
    </row>
    <row r="143" spans="16:21" x14ac:dyDescent="0.25">
      <c r="P143" t="str">
        <f>IF(DONNEES_SOURCE!$CA143=TRUE,DONNEES_SOURCE!$BV143,"")</f>
        <v/>
      </c>
      <c r="Q143" t="str">
        <f>IF(DONNEES_SOURCE!$CA143=TRUE,IFERROR(MATCH(DONNEES_SOURCE!$B143,{"2. Très rarement (Moins d'une fois par mois)","3. Rarement (1 à 3 fois par mois)","4. Parfois (Environ une fois par semaine)","5. Régulièrement (Plusieurs fois par semaine)","6. Quotidiennement (Une fois par jour)","7. Très fréquemment (Plusieurs fois par jour)"},0)+1,""),"")</f>
        <v/>
      </c>
      <c r="R143" t="str">
        <f>IF(DONNEES_SOURCE!$CA143=TRUE,DONNEES_SOURCE!$BW143,"")</f>
        <v/>
      </c>
      <c r="S143" t="str">
        <f>IF(DONNEES_SOURCE!$CA143=TRUE,DONNEES_SOURCE!$AU143,"")</f>
        <v/>
      </c>
      <c r="T143" t="str">
        <f>IF(DONNEES_SOURCE!$CA143=TRUE,DONNEES_SOURCE!$BW143,"")</f>
        <v/>
      </c>
      <c r="U143" t="str">
        <f>IF(DONNEES_SOURCE!$CA143=TRUE,IFERROR(MATCH(DONNEES_SOURCE!$B143,{"2. Très rarement (Moins d'une fois par mois)","3. Rarement (1 à 3 fois par mois)","4. Parfois (Environ une fois par semaine)","5. Régulièrement (Plusieurs fois par semaine)","6. Quotidiennement (Une fois par jour)","7. Très fréquemment (Plusieurs fois par jour)"},0)+1,""),"")</f>
        <v/>
      </c>
    </row>
    <row r="144" spans="16:21" x14ac:dyDescent="0.25">
      <c r="P144" t="str">
        <f>IF(DONNEES_SOURCE!$CA144=TRUE,DONNEES_SOURCE!$BV144,"")</f>
        <v/>
      </c>
      <c r="Q144" t="str">
        <f>IF(DONNEES_SOURCE!$CA144=TRUE,IFERROR(MATCH(DONNEES_SOURCE!$B144,{"2. Très rarement (Moins d'une fois par mois)","3. Rarement (1 à 3 fois par mois)","4. Parfois (Environ une fois par semaine)","5. Régulièrement (Plusieurs fois par semaine)","6. Quotidiennement (Une fois par jour)","7. Très fréquemment (Plusieurs fois par jour)"},0)+1,""),"")</f>
        <v/>
      </c>
      <c r="R144" t="str">
        <f>IF(DONNEES_SOURCE!$CA144=TRUE,DONNEES_SOURCE!$BW144,"")</f>
        <v/>
      </c>
      <c r="S144" t="str">
        <f>IF(DONNEES_SOURCE!$CA144=TRUE,DONNEES_SOURCE!$AU144,"")</f>
        <v/>
      </c>
      <c r="T144" t="str">
        <f>IF(DONNEES_SOURCE!$CA144=TRUE,DONNEES_SOURCE!$BW144,"")</f>
        <v/>
      </c>
      <c r="U144" t="str">
        <f>IF(DONNEES_SOURCE!$CA144=TRUE,IFERROR(MATCH(DONNEES_SOURCE!$B144,{"2. Très rarement (Moins d'une fois par mois)","3. Rarement (1 à 3 fois par mois)","4. Parfois (Environ une fois par semaine)","5. Régulièrement (Plusieurs fois par semaine)","6. Quotidiennement (Une fois par jour)","7. Très fréquemment (Plusieurs fois par jour)"},0)+1,""),"")</f>
        <v/>
      </c>
    </row>
    <row r="145" spans="16:21" x14ac:dyDescent="0.25">
      <c r="P145" t="str">
        <f>IF(DONNEES_SOURCE!$CA145=TRUE,DONNEES_SOURCE!$BV145,"")</f>
        <v/>
      </c>
      <c r="Q145" t="str">
        <f>IF(DONNEES_SOURCE!$CA145=TRUE,IFERROR(MATCH(DONNEES_SOURCE!$B145,{"2. Très rarement (Moins d'une fois par mois)","3. Rarement (1 à 3 fois par mois)","4. Parfois (Environ une fois par semaine)","5. Régulièrement (Plusieurs fois par semaine)","6. Quotidiennement (Une fois par jour)","7. Très fréquemment (Plusieurs fois par jour)"},0)+1,""),"")</f>
        <v/>
      </c>
      <c r="R145" t="str">
        <f>IF(DONNEES_SOURCE!$CA145=TRUE,DONNEES_SOURCE!$BW145,"")</f>
        <v/>
      </c>
      <c r="S145" t="str">
        <f>IF(DONNEES_SOURCE!$CA145=TRUE,DONNEES_SOURCE!$AU145,"")</f>
        <v/>
      </c>
      <c r="T145" t="str">
        <f>IF(DONNEES_SOURCE!$CA145=TRUE,DONNEES_SOURCE!$BW145,"")</f>
        <v/>
      </c>
      <c r="U145" t="str">
        <f>IF(DONNEES_SOURCE!$CA145=TRUE,IFERROR(MATCH(DONNEES_SOURCE!$B145,{"2. Très rarement (Moins d'une fois par mois)","3. Rarement (1 à 3 fois par mois)","4. Parfois (Environ une fois par semaine)","5. Régulièrement (Plusieurs fois par semaine)","6. Quotidiennement (Une fois par jour)","7. Très fréquemment (Plusieurs fois par jour)"},0)+1,""),"")</f>
        <v/>
      </c>
    </row>
    <row r="146" spans="16:21" x14ac:dyDescent="0.25">
      <c r="P146" t="str">
        <f>IF(DONNEES_SOURCE!$CA146=TRUE,DONNEES_SOURCE!$BV146,"")</f>
        <v/>
      </c>
      <c r="Q146" t="str">
        <f>IF(DONNEES_SOURCE!$CA146=TRUE,IFERROR(MATCH(DONNEES_SOURCE!$B146,{"2. Très rarement (Moins d'une fois par mois)","3. Rarement (1 à 3 fois par mois)","4. Parfois (Environ une fois par semaine)","5. Régulièrement (Plusieurs fois par semaine)","6. Quotidiennement (Une fois par jour)","7. Très fréquemment (Plusieurs fois par jour)"},0)+1,""),"")</f>
        <v/>
      </c>
      <c r="R146" t="str">
        <f>IF(DONNEES_SOURCE!$CA146=TRUE,DONNEES_SOURCE!$BW146,"")</f>
        <v/>
      </c>
      <c r="S146" t="str">
        <f>IF(DONNEES_SOURCE!$CA146=TRUE,DONNEES_SOURCE!$AU146,"")</f>
        <v/>
      </c>
      <c r="T146" t="str">
        <f>IF(DONNEES_SOURCE!$CA146=TRUE,DONNEES_SOURCE!$BW146,"")</f>
        <v/>
      </c>
      <c r="U146" t="str">
        <f>IF(DONNEES_SOURCE!$CA146=TRUE,IFERROR(MATCH(DONNEES_SOURCE!$B146,{"2. Très rarement (Moins d'une fois par mois)","3. Rarement (1 à 3 fois par mois)","4. Parfois (Environ une fois par semaine)","5. Régulièrement (Plusieurs fois par semaine)","6. Quotidiennement (Une fois par jour)","7. Très fréquemment (Plusieurs fois par jour)"},0)+1,""),"")</f>
        <v/>
      </c>
    </row>
    <row r="147" spans="16:21" x14ac:dyDescent="0.25">
      <c r="P147" t="str">
        <f>IF(DONNEES_SOURCE!$CA147=TRUE,DONNEES_SOURCE!$BV147,"")</f>
        <v/>
      </c>
      <c r="Q147" t="str">
        <f>IF(DONNEES_SOURCE!$CA147=TRUE,IFERROR(MATCH(DONNEES_SOURCE!$B147,{"2. Très rarement (Moins d'une fois par mois)","3. Rarement (1 à 3 fois par mois)","4. Parfois (Environ une fois par semaine)","5. Régulièrement (Plusieurs fois par semaine)","6. Quotidiennement (Une fois par jour)","7. Très fréquemment (Plusieurs fois par jour)"},0)+1,""),"")</f>
        <v/>
      </c>
      <c r="R147" t="str">
        <f>IF(DONNEES_SOURCE!$CA147=TRUE,DONNEES_SOURCE!$BW147,"")</f>
        <v/>
      </c>
      <c r="S147" t="str">
        <f>IF(DONNEES_SOURCE!$CA147=TRUE,DONNEES_SOURCE!$AU147,"")</f>
        <v/>
      </c>
      <c r="T147" t="str">
        <f>IF(DONNEES_SOURCE!$CA147=TRUE,DONNEES_SOURCE!$BW147,"")</f>
        <v/>
      </c>
      <c r="U147" t="str">
        <f>IF(DONNEES_SOURCE!$CA147=TRUE,IFERROR(MATCH(DONNEES_SOURCE!$B147,{"2. Très rarement (Moins d'une fois par mois)","3. Rarement (1 à 3 fois par mois)","4. Parfois (Environ une fois par semaine)","5. Régulièrement (Plusieurs fois par semaine)","6. Quotidiennement (Une fois par jour)","7. Très fréquemment (Plusieurs fois par jour)"},0)+1,""),"")</f>
        <v/>
      </c>
    </row>
    <row r="148" spans="16:21" x14ac:dyDescent="0.25">
      <c r="P148" t="str">
        <f>IF(DONNEES_SOURCE!$CA148=TRUE,DONNEES_SOURCE!$BV148,"")</f>
        <v/>
      </c>
      <c r="Q148" t="str">
        <f>IF(DONNEES_SOURCE!$CA148=TRUE,IFERROR(MATCH(DONNEES_SOURCE!$B148,{"2. Très rarement (Moins d'une fois par mois)","3. Rarement (1 à 3 fois par mois)","4. Parfois (Environ une fois par semaine)","5. Régulièrement (Plusieurs fois par semaine)","6. Quotidiennement (Une fois par jour)","7. Très fréquemment (Plusieurs fois par jour)"},0)+1,""),"")</f>
        <v/>
      </c>
      <c r="R148" t="str">
        <f>IF(DONNEES_SOURCE!$CA148=TRUE,DONNEES_SOURCE!$BW148,"")</f>
        <v/>
      </c>
      <c r="S148" t="str">
        <f>IF(DONNEES_SOURCE!$CA148=TRUE,DONNEES_SOURCE!$AU148,"")</f>
        <v/>
      </c>
      <c r="T148" t="str">
        <f>IF(DONNEES_SOURCE!$CA148=TRUE,DONNEES_SOURCE!$BW148,"")</f>
        <v/>
      </c>
      <c r="U148" t="str">
        <f>IF(DONNEES_SOURCE!$CA148=TRUE,IFERROR(MATCH(DONNEES_SOURCE!$B148,{"2. Très rarement (Moins d'une fois par mois)","3. Rarement (1 à 3 fois par mois)","4. Parfois (Environ une fois par semaine)","5. Régulièrement (Plusieurs fois par semaine)","6. Quotidiennement (Une fois par jour)","7. Très fréquemment (Plusieurs fois par jour)"},0)+1,""),"")</f>
        <v/>
      </c>
    </row>
    <row r="149" spans="16:21" x14ac:dyDescent="0.25">
      <c r="P149" t="str">
        <f>IF(DONNEES_SOURCE!$CA149=TRUE,DONNEES_SOURCE!$BV149,"")</f>
        <v/>
      </c>
      <c r="Q149" t="str">
        <f>IF(DONNEES_SOURCE!$CA149=TRUE,IFERROR(MATCH(DONNEES_SOURCE!$B149,{"2. Très rarement (Moins d'une fois par mois)","3. Rarement (1 à 3 fois par mois)","4. Parfois (Environ une fois par semaine)","5. Régulièrement (Plusieurs fois par semaine)","6. Quotidiennement (Une fois par jour)","7. Très fréquemment (Plusieurs fois par jour)"},0)+1,""),"")</f>
        <v/>
      </c>
      <c r="R149" t="str">
        <f>IF(DONNEES_SOURCE!$CA149=TRUE,DONNEES_SOURCE!$BW149,"")</f>
        <v/>
      </c>
      <c r="S149" t="str">
        <f>IF(DONNEES_SOURCE!$CA149=TRUE,DONNEES_SOURCE!$AU149,"")</f>
        <v/>
      </c>
      <c r="T149" t="str">
        <f>IF(DONNEES_SOURCE!$CA149=TRUE,DONNEES_SOURCE!$BW149,"")</f>
        <v/>
      </c>
      <c r="U149" t="str">
        <f>IF(DONNEES_SOURCE!$CA149=TRUE,IFERROR(MATCH(DONNEES_SOURCE!$B149,{"2. Très rarement (Moins d'une fois par mois)","3. Rarement (1 à 3 fois par mois)","4. Parfois (Environ une fois par semaine)","5. Régulièrement (Plusieurs fois par semaine)","6. Quotidiennement (Une fois par jour)","7. Très fréquemment (Plusieurs fois par jour)"},0)+1,""),"")</f>
        <v/>
      </c>
    </row>
    <row r="150" spans="16:21" x14ac:dyDescent="0.25">
      <c r="P150" t="str">
        <f>IF(DONNEES_SOURCE!$CA150=TRUE,DONNEES_SOURCE!$BV150,"")</f>
        <v/>
      </c>
      <c r="Q150" t="str">
        <f>IF(DONNEES_SOURCE!$CA150=TRUE,IFERROR(MATCH(DONNEES_SOURCE!$B150,{"2. Très rarement (Moins d'une fois par mois)","3. Rarement (1 à 3 fois par mois)","4. Parfois (Environ une fois par semaine)","5. Régulièrement (Plusieurs fois par semaine)","6. Quotidiennement (Une fois par jour)","7. Très fréquemment (Plusieurs fois par jour)"},0)+1,""),"")</f>
        <v/>
      </c>
      <c r="R150" t="str">
        <f>IF(DONNEES_SOURCE!$CA150=TRUE,DONNEES_SOURCE!$BW150,"")</f>
        <v/>
      </c>
      <c r="S150" t="str">
        <f>IF(DONNEES_SOURCE!$CA150=TRUE,DONNEES_SOURCE!$AU150,"")</f>
        <v/>
      </c>
      <c r="T150" t="str">
        <f>IF(DONNEES_SOURCE!$CA150=TRUE,DONNEES_SOURCE!$BW150,"")</f>
        <v/>
      </c>
      <c r="U150" t="str">
        <f>IF(DONNEES_SOURCE!$CA150=TRUE,IFERROR(MATCH(DONNEES_SOURCE!$B150,{"2. Très rarement (Moins d'une fois par mois)","3. Rarement (1 à 3 fois par mois)","4. Parfois (Environ une fois par semaine)","5. Régulièrement (Plusieurs fois par semaine)","6. Quotidiennement (Une fois par jour)","7. Très fréquemment (Plusieurs fois par jour)"},0)+1,""),"")</f>
        <v/>
      </c>
    </row>
    <row r="151" spans="16:21" x14ac:dyDescent="0.25">
      <c r="P151" t="str">
        <f>IF(DONNEES_SOURCE!$CA151=TRUE,DONNEES_SOURCE!$BV151,"")</f>
        <v/>
      </c>
      <c r="Q151" t="str">
        <f>IF(DONNEES_SOURCE!$CA151=TRUE,IFERROR(MATCH(DONNEES_SOURCE!$B151,{"2. Très rarement (Moins d'une fois par mois)","3. Rarement (1 à 3 fois par mois)","4. Parfois (Environ une fois par semaine)","5. Régulièrement (Plusieurs fois par semaine)","6. Quotidiennement (Une fois par jour)","7. Très fréquemment (Plusieurs fois par jour)"},0)+1,""),"")</f>
        <v/>
      </c>
      <c r="R151" t="str">
        <f>IF(DONNEES_SOURCE!$CA151=TRUE,DONNEES_SOURCE!$BW151,"")</f>
        <v/>
      </c>
      <c r="S151" t="str">
        <f>IF(DONNEES_SOURCE!$CA151=TRUE,DONNEES_SOURCE!$AU151,"")</f>
        <v/>
      </c>
      <c r="T151" t="str">
        <f>IF(DONNEES_SOURCE!$CA151=TRUE,DONNEES_SOURCE!$BW151,"")</f>
        <v/>
      </c>
      <c r="U151" t="str">
        <f>IF(DONNEES_SOURCE!$CA151=TRUE,IFERROR(MATCH(DONNEES_SOURCE!$B151,{"2. Très rarement (Moins d'une fois par mois)","3. Rarement (1 à 3 fois par mois)","4. Parfois (Environ une fois par semaine)","5. Régulièrement (Plusieurs fois par semaine)","6. Quotidiennement (Une fois par jour)","7. Très fréquemment (Plusieurs fois par jour)"},0)+1,""),"")</f>
        <v/>
      </c>
    </row>
    <row r="152" spans="16:21" x14ac:dyDescent="0.25">
      <c r="P152" t="str">
        <f>IF(DONNEES_SOURCE!$CA152=TRUE,DONNEES_SOURCE!$BV152,"")</f>
        <v/>
      </c>
      <c r="Q152" t="str">
        <f>IF(DONNEES_SOURCE!$CA152=TRUE,IFERROR(MATCH(DONNEES_SOURCE!$B152,{"2. Très rarement (Moins d'une fois par mois)","3. Rarement (1 à 3 fois par mois)","4. Parfois (Environ une fois par semaine)","5. Régulièrement (Plusieurs fois par semaine)","6. Quotidiennement (Une fois par jour)","7. Très fréquemment (Plusieurs fois par jour)"},0)+1,""),"")</f>
        <v/>
      </c>
      <c r="R152" t="str">
        <f>IF(DONNEES_SOURCE!$CA152=TRUE,DONNEES_SOURCE!$BW152,"")</f>
        <v/>
      </c>
      <c r="S152" t="str">
        <f>IF(DONNEES_SOURCE!$CA152=TRUE,DONNEES_SOURCE!$AU152,"")</f>
        <v/>
      </c>
      <c r="T152" t="str">
        <f>IF(DONNEES_SOURCE!$CA152=TRUE,DONNEES_SOURCE!$BW152,"")</f>
        <v/>
      </c>
      <c r="U152" t="str">
        <f>IF(DONNEES_SOURCE!$CA152=TRUE,IFERROR(MATCH(DONNEES_SOURCE!$B152,{"2. Très rarement (Moins d'une fois par mois)","3. Rarement (1 à 3 fois par mois)","4. Parfois (Environ une fois par semaine)","5. Régulièrement (Plusieurs fois par semaine)","6. Quotidiennement (Une fois par jour)","7. Très fréquemment (Plusieurs fois par jour)"},0)+1,""),"")</f>
        <v/>
      </c>
    </row>
    <row r="153" spans="16:21" x14ac:dyDescent="0.25">
      <c r="P153" t="str">
        <f>IF(DONNEES_SOURCE!$CA153=TRUE,DONNEES_SOURCE!$BV153,"")</f>
        <v/>
      </c>
      <c r="Q153" t="str">
        <f>IF(DONNEES_SOURCE!$CA153=TRUE,IFERROR(MATCH(DONNEES_SOURCE!$B153,{"2. Très rarement (Moins d'une fois par mois)","3. Rarement (1 à 3 fois par mois)","4. Parfois (Environ une fois par semaine)","5. Régulièrement (Plusieurs fois par semaine)","6. Quotidiennement (Une fois par jour)","7. Très fréquemment (Plusieurs fois par jour)"},0)+1,""),"")</f>
        <v/>
      </c>
      <c r="R153" t="str">
        <f>IF(DONNEES_SOURCE!$CA153=TRUE,DONNEES_SOURCE!$BW153,"")</f>
        <v/>
      </c>
      <c r="S153" t="str">
        <f>IF(DONNEES_SOURCE!$CA153=TRUE,DONNEES_SOURCE!$AU153,"")</f>
        <v/>
      </c>
      <c r="T153" t="str">
        <f>IF(DONNEES_SOURCE!$CA153=TRUE,DONNEES_SOURCE!$BW153,"")</f>
        <v/>
      </c>
      <c r="U153" t="str">
        <f>IF(DONNEES_SOURCE!$CA153=TRUE,IFERROR(MATCH(DONNEES_SOURCE!$B153,{"2. Très rarement (Moins d'une fois par mois)","3. Rarement (1 à 3 fois par mois)","4. Parfois (Environ une fois par semaine)","5. Régulièrement (Plusieurs fois par semaine)","6. Quotidiennement (Une fois par jour)","7. Très fréquemment (Plusieurs fois par jour)"},0)+1,""),"")</f>
        <v/>
      </c>
    </row>
    <row r="154" spans="16:21" x14ac:dyDescent="0.25">
      <c r="P154" t="str">
        <f>IF(DONNEES_SOURCE!$CA154=TRUE,DONNEES_SOURCE!$BV154,"")</f>
        <v/>
      </c>
      <c r="Q154" t="str">
        <f>IF(DONNEES_SOURCE!$CA154=TRUE,IFERROR(MATCH(DONNEES_SOURCE!$B154,{"2. Très rarement (Moins d'une fois par mois)","3. Rarement (1 à 3 fois par mois)","4. Parfois (Environ une fois par semaine)","5. Régulièrement (Plusieurs fois par semaine)","6. Quotidiennement (Une fois par jour)","7. Très fréquemment (Plusieurs fois par jour)"},0)+1,""),"")</f>
        <v/>
      </c>
      <c r="R154" t="str">
        <f>IF(DONNEES_SOURCE!$CA154=TRUE,DONNEES_SOURCE!$BW154,"")</f>
        <v/>
      </c>
      <c r="S154" t="str">
        <f>IF(DONNEES_SOURCE!$CA154=TRUE,DONNEES_SOURCE!$AU154,"")</f>
        <v/>
      </c>
      <c r="T154" t="str">
        <f>IF(DONNEES_SOURCE!$CA154=TRUE,DONNEES_SOURCE!$BW154,"")</f>
        <v/>
      </c>
      <c r="U154" t="str">
        <f>IF(DONNEES_SOURCE!$CA154=TRUE,IFERROR(MATCH(DONNEES_SOURCE!$B154,{"2. Très rarement (Moins d'une fois par mois)","3. Rarement (1 à 3 fois par mois)","4. Parfois (Environ une fois par semaine)","5. Régulièrement (Plusieurs fois par semaine)","6. Quotidiennement (Une fois par jour)","7. Très fréquemment (Plusieurs fois par jour)"},0)+1,""),"")</f>
        <v/>
      </c>
    </row>
    <row r="155" spans="16:21" x14ac:dyDescent="0.25">
      <c r="P155" t="str">
        <f>IF(DONNEES_SOURCE!$CA155=TRUE,DONNEES_SOURCE!$BV155,"")</f>
        <v/>
      </c>
      <c r="Q155" t="str">
        <f>IF(DONNEES_SOURCE!$CA155=TRUE,IFERROR(MATCH(DONNEES_SOURCE!$B155,{"2. Très rarement (Moins d'une fois par mois)","3. Rarement (1 à 3 fois par mois)","4. Parfois (Environ une fois par semaine)","5. Régulièrement (Plusieurs fois par semaine)","6. Quotidiennement (Une fois par jour)","7. Très fréquemment (Plusieurs fois par jour)"},0)+1,""),"")</f>
        <v/>
      </c>
      <c r="R155" t="str">
        <f>IF(DONNEES_SOURCE!$CA155=TRUE,DONNEES_SOURCE!$BW155,"")</f>
        <v/>
      </c>
      <c r="S155" t="str">
        <f>IF(DONNEES_SOURCE!$CA155=TRUE,DONNEES_SOURCE!$AU155,"")</f>
        <v/>
      </c>
      <c r="T155" t="str">
        <f>IF(DONNEES_SOURCE!$CA155=TRUE,DONNEES_SOURCE!$BW155,"")</f>
        <v/>
      </c>
      <c r="U155" t="str">
        <f>IF(DONNEES_SOURCE!$CA155=TRUE,IFERROR(MATCH(DONNEES_SOURCE!$B155,{"2. Très rarement (Moins d'une fois par mois)","3. Rarement (1 à 3 fois par mois)","4. Parfois (Environ une fois par semaine)","5. Régulièrement (Plusieurs fois par semaine)","6. Quotidiennement (Une fois par jour)","7. Très fréquemment (Plusieurs fois par jour)"},0)+1,""),"")</f>
        <v/>
      </c>
    </row>
    <row r="156" spans="16:21" x14ac:dyDescent="0.25">
      <c r="P156" t="str">
        <f>IF(DONNEES_SOURCE!$CA156=TRUE,DONNEES_SOURCE!$BV156,"")</f>
        <v/>
      </c>
      <c r="Q156" t="str">
        <f>IF(DONNEES_SOURCE!$CA156=TRUE,IFERROR(MATCH(DONNEES_SOURCE!$B156,{"2. Très rarement (Moins d'une fois par mois)","3. Rarement (1 à 3 fois par mois)","4. Parfois (Environ une fois par semaine)","5. Régulièrement (Plusieurs fois par semaine)","6. Quotidiennement (Une fois par jour)","7. Très fréquemment (Plusieurs fois par jour)"},0)+1,""),"")</f>
        <v/>
      </c>
      <c r="R156" t="str">
        <f>IF(DONNEES_SOURCE!$CA156=TRUE,DONNEES_SOURCE!$BW156,"")</f>
        <v/>
      </c>
      <c r="S156" t="str">
        <f>IF(DONNEES_SOURCE!$CA156=TRUE,DONNEES_SOURCE!$AU156,"")</f>
        <v/>
      </c>
      <c r="T156" t="str">
        <f>IF(DONNEES_SOURCE!$CA156=TRUE,DONNEES_SOURCE!$BW156,"")</f>
        <v/>
      </c>
      <c r="U156" t="str">
        <f>IF(DONNEES_SOURCE!$CA156=TRUE,IFERROR(MATCH(DONNEES_SOURCE!$B156,{"2. Très rarement (Moins d'une fois par mois)","3. Rarement (1 à 3 fois par mois)","4. Parfois (Environ une fois par semaine)","5. Régulièrement (Plusieurs fois par semaine)","6. Quotidiennement (Une fois par jour)","7. Très fréquemment (Plusieurs fois par jour)"},0)+1,""),"")</f>
        <v/>
      </c>
    </row>
    <row r="157" spans="16:21" x14ac:dyDescent="0.25">
      <c r="P157" t="str">
        <f>IF(DONNEES_SOURCE!$CA157=TRUE,DONNEES_SOURCE!$BV157,"")</f>
        <v/>
      </c>
      <c r="Q157" t="str">
        <f>IF(DONNEES_SOURCE!$CA157=TRUE,IFERROR(MATCH(DONNEES_SOURCE!$B157,{"2. Très rarement (Moins d'une fois par mois)","3. Rarement (1 à 3 fois par mois)","4. Parfois (Environ une fois par semaine)","5. Régulièrement (Plusieurs fois par semaine)","6. Quotidiennement (Une fois par jour)","7. Très fréquemment (Plusieurs fois par jour)"},0)+1,""),"")</f>
        <v/>
      </c>
      <c r="R157" t="str">
        <f>IF(DONNEES_SOURCE!$CA157=TRUE,DONNEES_SOURCE!$BW157,"")</f>
        <v/>
      </c>
      <c r="S157" t="str">
        <f>IF(DONNEES_SOURCE!$CA157=TRUE,DONNEES_SOURCE!$AU157,"")</f>
        <v/>
      </c>
      <c r="T157" t="str">
        <f>IF(DONNEES_SOURCE!$CA157=TRUE,DONNEES_SOURCE!$BW157,"")</f>
        <v/>
      </c>
      <c r="U157" t="str">
        <f>IF(DONNEES_SOURCE!$CA157=TRUE,IFERROR(MATCH(DONNEES_SOURCE!$B157,{"2. Très rarement (Moins d'une fois par mois)","3. Rarement (1 à 3 fois par mois)","4. Parfois (Environ une fois par semaine)","5. Régulièrement (Plusieurs fois par semaine)","6. Quotidiennement (Une fois par jour)","7. Très fréquemment (Plusieurs fois par jour)"},0)+1,""),"")</f>
        <v/>
      </c>
    </row>
    <row r="158" spans="16:21" x14ac:dyDescent="0.25">
      <c r="P158" t="str">
        <f>IF(DONNEES_SOURCE!$CA158=TRUE,DONNEES_SOURCE!$BV158,"")</f>
        <v/>
      </c>
      <c r="Q158" t="str">
        <f>IF(DONNEES_SOURCE!$CA158=TRUE,IFERROR(MATCH(DONNEES_SOURCE!$B158,{"2. Très rarement (Moins d'une fois par mois)","3. Rarement (1 à 3 fois par mois)","4. Parfois (Environ une fois par semaine)","5. Régulièrement (Plusieurs fois par semaine)","6. Quotidiennement (Une fois par jour)","7. Très fréquemment (Plusieurs fois par jour)"},0)+1,""),"")</f>
        <v/>
      </c>
      <c r="R158" t="str">
        <f>IF(DONNEES_SOURCE!$CA158=TRUE,DONNEES_SOURCE!$BW158,"")</f>
        <v/>
      </c>
      <c r="S158" t="str">
        <f>IF(DONNEES_SOURCE!$CA158=TRUE,DONNEES_SOURCE!$AU158,"")</f>
        <v/>
      </c>
      <c r="T158" t="str">
        <f>IF(DONNEES_SOURCE!$CA158=TRUE,DONNEES_SOURCE!$BW158,"")</f>
        <v/>
      </c>
      <c r="U158" t="str">
        <f>IF(DONNEES_SOURCE!$CA158=TRUE,IFERROR(MATCH(DONNEES_SOURCE!$B158,{"2. Très rarement (Moins d'une fois par mois)","3. Rarement (1 à 3 fois par mois)","4. Parfois (Environ une fois par semaine)","5. Régulièrement (Plusieurs fois par semaine)","6. Quotidiennement (Une fois par jour)","7. Très fréquemment (Plusieurs fois par jour)"},0)+1,""),"")</f>
        <v/>
      </c>
    </row>
    <row r="159" spans="16:21" x14ac:dyDescent="0.25">
      <c r="P159" t="str">
        <f>IF(DONNEES_SOURCE!$CA159=TRUE,DONNEES_SOURCE!$BV159,"")</f>
        <v/>
      </c>
      <c r="Q159" t="str">
        <f>IF(DONNEES_SOURCE!$CA159=TRUE,IFERROR(MATCH(DONNEES_SOURCE!$B159,{"2. Très rarement (Moins d'une fois par mois)","3. Rarement (1 à 3 fois par mois)","4. Parfois (Environ une fois par semaine)","5. Régulièrement (Plusieurs fois par semaine)","6. Quotidiennement (Une fois par jour)","7. Très fréquemment (Plusieurs fois par jour)"},0)+1,""),"")</f>
        <v/>
      </c>
      <c r="R159" t="str">
        <f>IF(DONNEES_SOURCE!$CA159=TRUE,DONNEES_SOURCE!$BW159,"")</f>
        <v/>
      </c>
      <c r="S159" t="str">
        <f>IF(DONNEES_SOURCE!$CA159=TRUE,DONNEES_SOURCE!$AU159,"")</f>
        <v/>
      </c>
      <c r="T159" t="str">
        <f>IF(DONNEES_SOURCE!$CA159=TRUE,DONNEES_SOURCE!$BW159,"")</f>
        <v/>
      </c>
      <c r="U159" t="str">
        <f>IF(DONNEES_SOURCE!$CA159=TRUE,IFERROR(MATCH(DONNEES_SOURCE!$B159,{"2. Très rarement (Moins d'une fois par mois)","3. Rarement (1 à 3 fois par mois)","4. Parfois (Environ une fois par semaine)","5. Régulièrement (Plusieurs fois par semaine)","6. Quotidiennement (Une fois par jour)","7. Très fréquemment (Plusieurs fois par jour)"},0)+1,""),"")</f>
        <v/>
      </c>
    </row>
    <row r="160" spans="16:21" x14ac:dyDescent="0.25">
      <c r="P160" t="str">
        <f>IF(DONNEES_SOURCE!$CA160=TRUE,DONNEES_SOURCE!$BV160,"")</f>
        <v/>
      </c>
      <c r="Q160" t="str">
        <f>IF(DONNEES_SOURCE!$CA160=TRUE,IFERROR(MATCH(DONNEES_SOURCE!$B160,{"2. Très rarement (Moins d'une fois par mois)","3. Rarement (1 à 3 fois par mois)","4. Parfois (Environ une fois par semaine)","5. Régulièrement (Plusieurs fois par semaine)","6. Quotidiennement (Une fois par jour)","7. Très fréquemment (Plusieurs fois par jour)"},0)+1,""),"")</f>
        <v/>
      </c>
      <c r="R160" t="str">
        <f>IF(DONNEES_SOURCE!$CA160=TRUE,DONNEES_SOURCE!$BW160,"")</f>
        <v/>
      </c>
      <c r="S160" t="str">
        <f>IF(DONNEES_SOURCE!$CA160=TRUE,DONNEES_SOURCE!$AU160,"")</f>
        <v/>
      </c>
      <c r="T160" t="str">
        <f>IF(DONNEES_SOURCE!$CA160=TRUE,DONNEES_SOURCE!$BW160,"")</f>
        <v/>
      </c>
      <c r="U160" t="str">
        <f>IF(DONNEES_SOURCE!$CA160=TRUE,IFERROR(MATCH(DONNEES_SOURCE!$B160,{"2. Très rarement (Moins d'une fois par mois)","3. Rarement (1 à 3 fois par mois)","4. Parfois (Environ une fois par semaine)","5. Régulièrement (Plusieurs fois par semaine)","6. Quotidiennement (Une fois par jour)","7. Très fréquemment (Plusieurs fois par jour)"},0)+1,""),"")</f>
        <v/>
      </c>
    </row>
    <row r="161" spans="16:21" x14ac:dyDescent="0.25">
      <c r="P161" t="str">
        <f>IF(DONNEES_SOURCE!$CA161=TRUE,DONNEES_SOURCE!$BV161,"")</f>
        <v/>
      </c>
      <c r="Q161" t="str">
        <f>IF(DONNEES_SOURCE!$CA161=TRUE,IFERROR(MATCH(DONNEES_SOURCE!$B161,{"2. Très rarement (Moins d'une fois par mois)","3. Rarement (1 à 3 fois par mois)","4. Parfois (Environ une fois par semaine)","5. Régulièrement (Plusieurs fois par semaine)","6. Quotidiennement (Une fois par jour)","7. Très fréquemment (Plusieurs fois par jour)"},0)+1,""),"")</f>
        <v/>
      </c>
      <c r="R161" t="str">
        <f>IF(DONNEES_SOURCE!$CA161=TRUE,DONNEES_SOURCE!$BW161,"")</f>
        <v/>
      </c>
      <c r="S161" t="str">
        <f>IF(DONNEES_SOURCE!$CA161=TRUE,DONNEES_SOURCE!$AU161,"")</f>
        <v/>
      </c>
      <c r="T161" t="str">
        <f>IF(DONNEES_SOURCE!$CA161=TRUE,DONNEES_SOURCE!$BW161,"")</f>
        <v/>
      </c>
      <c r="U161" t="str">
        <f>IF(DONNEES_SOURCE!$CA161=TRUE,IFERROR(MATCH(DONNEES_SOURCE!$B161,{"2. Très rarement (Moins d'une fois par mois)","3. Rarement (1 à 3 fois par mois)","4. Parfois (Environ une fois par semaine)","5. Régulièrement (Plusieurs fois par semaine)","6. Quotidiennement (Une fois par jour)","7. Très fréquemment (Plusieurs fois par jour)"},0)+1,""),"")</f>
        <v/>
      </c>
    </row>
    <row r="162" spans="16:21" x14ac:dyDescent="0.25">
      <c r="P162" t="str">
        <f>IF(DONNEES_SOURCE!$CA162=TRUE,DONNEES_SOURCE!$BV162,"")</f>
        <v/>
      </c>
      <c r="Q162" t="str">
        <f>IF(DONNEES_SOURCE!$CA162=TRUE,IFERROR(MATCH(DONNEES_SOURCE!$B162,{"2. Très rarement (Moins d'une fois par mois)","3. Rarement (1 à 3 fois par mois)","4. Parfois (Environ une fois par semaine)","5. Régulièrement (Plusieurs fois par semaine)","6. Quotidiennement (Une fois par jour)","7. Très fréquemment (Plusieurs fois par jour)"},0)+1,""),"")</f>
        <v/>
      </c>
      <c r="R162" t="str">
        <f>IF(DONNEES_SOURCE!$CA162=TRUE,DONNEES_SOURCE!$BW162,"")</f>
        <v/>
      </c>
      <c r="S162" t="str">
        <f>IF(DONNEES_SOURCE!$CA162=TRUE,DONNEES_SOURCE!$AU162,"")</f>
        <v/>
      </c>
      <c r="T162" t="str">
        <f>IF(DONNEES_SOURCE!$CA162=TRUE,DONNEES_SOURCE!$BW162,"")</f>
        <v/>
      </c>
      <c r="U162" t="str">
        <f>IF(DONNEES_SOURCE!$CA162=TRUE,IFERROR(MATCH(DONNEES_SOURCE!$B162,{"2. Très rarement (Moins d'une fois par mois)","3. Rarement (1 à 3 fois par mois)","4. Parfois (Environ une fois par semaine)","5. Régulièrement (Plusieurs fois par semaine)","6. Quotidiennement (Une fois par jour)","7. Très fréquemment (Plusieurs fois par jour)"},0)+1,""),"")</f>
        <v/>
      </c>
    </row>
    <row r="163" spans="16:21" x14ac:dyDescent="0.25">
      <c r="P163" t="str">
        <f>IF(DONNEES_SOURCE!$CA163=TRUE,DONNEES_SOURCE!$BV163,"")</f>
        <v/>
      </c>
      <c r="Q163" t="str">
        <f>IF(DONNEES_SOURCE!$CA163=TRUE,IFERROR(MATCH(DONNEES_SOURCE!$B163,{"2. Très rarement (Moins d'une fois par mois)","3. Rarement (1 à 3 fois par mois)","4. Parfois (Environ une fois par semaine)","5. Régulièrement (Plusieurs fois par semaine)","6. Quotidiennement (Une fois par jour)","7. Très fréquemment (Plusieurs fois par jour)"},0)+1,""),"")</f>
        <v/>
      </c>
      <c r="R163" t="str">
        <f>IF(DONNEES_SOURCE!$CA163=TRUE,DONNEES_SOURCE!$BW163,"")</f>
        <v/>
      </c>
      <c r="S163" t="str">
        <f>IF(DONNEES_SOURCE!$CA163=TRUE,DONNEES_SOURCE!$AU163,"")</f>
        <v/>
      </c>
      <c r="T163" t="str">
        <f>IF(DONNEES_SOURCE!$CA163=TRUE,DONNEES_SOURCE!$BW163,"")</f>
        <v/>
      </c>
      <c r="U163" t="str">
        <f>IF(DONNEES_SOURCE!$CA163=TRUE,IFERROR(MATCH(DONNEES_SOURCE!$B163,{"2. Très rarement (Moins d'une fois par mois)","3. Rarement (1 à 3 fois par mois)","4. Parfois (Environ une fois par semaine)","5. Régulièrement (Plusieurs fois par semaine)","6. Quotidiennement (Une fois par jour)","7. Très fréquemment (Plusieurs fois par jour)"},0)+1,""),"")</f>
        <v/>
      </c>
    </row>
    <row r="164" spans="16:21" x14ac:dyDescent="0.25">
      <c r="P164" t="str">
        <f>IF(DONNEES_SOURCE!$CA164=TRUE,DONNEES_SOURCE!$BV164,"")</f>
        <v/>
      </c>
      <c r="Q164" t="str">
        <f>IF(DONNEES_SOURCE!$CA164=TRUE,IFERROR(MATCH(DONNEES_SOURCE!$B164,{"2. Très rarement (Moins d'une fois par mois)","3. Rarement (1 à 3 fois par mois)","4. Parfois (Environ une fois par semaine)","5. Régulièrement (Plusieurs fois par semaine)","6. Quotidiennement (Une fois par jour)","7. Très fréquemment (Plusieurs fois par jour)"},0)+1,""),"")</f>
        <v/>
      </c>
      <c r="R164" t="str">
        <f>IF(DONNEES_SOURCE!$CA164=TRUE,DONNEES_SOURCE!$BW164,"")</f>
        <v/>
      </c>
      <c r="S164" t="str">
        <f>IF(DONNEES_SOURCE!$CA164=TRUE,DONNEES_SOURCE!$AU164,"")</f>
        <v/>
      </c>
      <c r="T164" t="str">
        <f>IF(DONNEES_SOURCE!$CA164=TRUE,DONNEES_SOURCE!$BW164,"")</f>
        <v/>
      </c>
      <c r="U164" t="str">
        <f>IF(DONNEES_SOURCE!$CA164=TRUE,IFERROR(MATCH(DONNEES_SOURCE!$B164,{"2. Très rarement (Moins d'une fois par mois)","3. Rarement (1 à 3 fois par mois)","4. Parfois (Environ une fois par semaine)","5. Régulièrement (Plusieurs fois par semaine)","6. Quotidiennement (Une fois par jour)","7. Très fréquemment (Plusieurs fois par jour)"},0)+1,""),"")</f>
        <v/>
      </c>
    </row>
    <row r="165" spans="16:21" x14ac:dyDescent="0.25">
      <c r="P165" t="str">
        <f>IF(DONNEES_SOURCE!$CA165=TRUE,DONNEES_SOURCE!$BV165,"")</f>
        <v/>
      </c>
      <c r="Q165" t="str">
        <f>IF(DONNEES_SOURCE!$CA165=TRUE,IFERROR(MATCH(DONNEES_SOURCE!$B165,{"2. Très rarement (Moins d'une fois par mois)","3. Rarement (1 à 3 fois par mois)","4. Parfois (Environ une fois par semaine)","5. Régulièrement (Plusieurs fois par semaine)","6. Quotidiennement (Une fois par jour)","7. Très fréquemment (Plusieurs fois par jour)"},0)+1,""),"")</f>
        <v/>
      </c>
      <c r="R165" t="str">
        <f>IF(DONNEES_SOURCE!$CA165=TRUE,DONNEES_SOURCE!$BW165,"")</f>
        <v/>
      </c>
      <c r="S165" t="str">
        <f>IF(DONNEES_SOURCE!$CA165=TRUE,DONNEES_SOURCE!$AU165,"")</f>
        <v/>
      </c>
      <c r="T165" t="str">
        <f>IF(DONNEES_SOURCE!$CA165=TRUE,DONNEES_SOURCE!$BW165,"")</f>
        <v/>
      </c>
      <c r="U165" t="str">
        <f>IF(DONNEES_SOURCE!$CA165=TRUE,IFERROR(MATCH(DONNEES_SOURCE!$B165,{"2. Très rarement (Moins d'une fois par mois)","3. Rarement (1 à 3 fois par mois)","4. Parfois (Environ une fois par semaine)","5. Régulièrement (Plusieurs fois par semaine)","6. Quotidiennement (Une fois par jour)","7. Très fréquemment (Plusieurs fois par jour)"},0)+1,""),"")</f>
        <v/>
      </c>
    </row>
    <row r="166" spans="16:21" x14ac:dyDescent="0.25">
      <c r="P166" t="str">
        <f>IF(DONNEES_SOURCE!$CA166=TRUE,DONNEES_SOURCE!$BV166,"")</f>
        <v/>
      </c>
      <c r="Q166" t="str">
        <f>IF(DONNEES_SOURCE!$CA166=TRUE,IFERROR(MATCH(DONNEES_SOURCE!$B166,{"2. Très rarement (Moins d'une fois par mois)","3. Rarement (1 à 3 fois par mois)","4. Parfois (Environ une fois par semaine)","5. Régulièrement (Plusieurs fois par semaine)","6. Quotidiennement (Une fois par jour)","7. Très fréquemment (Plusieurs fois par jour)"},0)+1,""),"")</f>
        <v/>
      </c>
      <c r="R166" t="str">
        <f>IF(DONNEES_SOURCE!$CA166=TRUE,DONNEES_SOURCE!$BW166,"")</f>
        <v/>
      </c>
      <c r="S166" t="str">
        <f>IF(DONNEES_SOURCE!$CA166=TRUE,DONNEES_SOURCE!$AU166,"")</f>
        <v/>
      </c>
      <c r="T166" t="str">
        <f>IF(DONNEES_SOURCE!$CA166=TRUE,DONNEES_SOURCE!$BW166,"")</f>
        <v/>
      </c>
      <c r="U166" t="str">
        <f>IF(DONNEES_SOURCE!$CA166=TRUE,IFERROR(MATCH(DONNEES_SOURCE!$B166,{"2. Très rarement (Moins d'une fois par mois)","3. Rarement (1 à 3 fois par mois)","4. Parfois (Environ une fois par semaine)","5. Régulièrement (Plusieurs fois par semaine)","6. Quotidiennement (Une fois par jour)","7. Très fréquemment (Plusieurs fois par jour)"},0)+1,""),"")</f>
        <v/>
      </c>
    </row>
    <row r="167" spans="16:21" x14ac:dyDescent="0.25">
      <c r="P167" t="str">
        <f>IF(DONNEES_SOURCE!$CA167=TRUE,DONNEES_SOURCE!$BV167,"")</f>
        <v/>
      </c>
      <c r="Q167" t="str">
        <f>IF(DONNEES_SOURCE!$CA167=TRUE,IFERROR(MATCH(DONNEES_SOURCE!$B167,{"2. Très rarement (Moins d'une fois par mois)","3. Rarement (1 à 3 fois par mois)","4. Parfois (Environ une fois par semaine)","5. Régulièrement (Plusieurs fois par semaine)","6. Quotidiennement (Une fois par jour)","7. Très fréquemment (Plusieurs fois par jour)"},0)+1,""),"")</f>
        <v/>
      </c>
      <c r="R167" t="str">
        <f>IF(DONNEES_SOURCE!$CA167=TRUE,DONNEES_SOURCE!$BW167,"")</f>
        <v/>
      </c>
      <c r="S167" t="str">
        <f>IF(DONNEES_SOURCE!$CA167=TRUE,DONNEES_SOURCE!$AU167,"")</f>
        <v/>
      </c>
      <c r="T167" t="str">
        <f>IF(DONNEES_SOURCE!$CA167=TRUE,DONNEES_SOURCE!$BW167,"")</f>
        <v/>
      </c>
      <c r="U167" t="str">
        <f>IF(DONNEES_SOURCE!$CA167=TRUE,IFERROR(MATCH(DONNEES_SOURCE!$B167,{"2. Très rarement (Moins d'une fois par mois)","3. Rarement (1 à 3 fois par mois)","4. Parfois (Environ une fois par semaine)","5. Régulièrement (Plusieurs fois par semaine)","6. Quotidiennement (Une fois par jour)","7. Très fréquemment (Plusieurs fois par jour)"},0)+1,""),"")</f>
        <v/>
      </c>
    </row>
    <row r="168" spans="16:21" x14ac:dyDescent="0.25">
      <c r="P168" t="str">
        <f>IF(DONNEES_SOURCE!$CA168=TRUE,DONNEES_SOURCE!$BV168,"")</f>
        <v/>
      </c>
      <c r="Q168" t="str">
        <f>IF(DONNEES_SOURCE!$CA168=TRUE,IFERROR(MATCH(DONNEES_SOURCE!$B168,{"2. Très rarement (Moins d'une fois par mois)","3. Rarement (1 à 3 fois par mois)","4. Parfois (Environ une fois par semaine)","5. Régulièrement (Plusieurs fois par semaine)","6. Quotidiennement (Une fois par jour)","7. Très fréquemment (Plusieurs fois par jour)"},0)+1,""),"")</f>
        <v/>
      </c>
      <c r="R168" t="str">
        <f>IF(DONNEES_SOURCE!$CA168=TRUE,DONNEES_SOURCE!$BW168,"")</f>
        <v/>
      </c>
      <c r="S168" t="str">
        <f>IF(DONNEES_SOURCE!$CA168=TRUE,DONNEES_SOURCE!$AU168,"")</f>
        <v/>
      </c>
      <c r="T168" t="str">
        <f>IF(DONNEES_SOURCE!$CA168=TRUE,DONNEES_SOURCE!$BW168,"")</f>
        <v/>
      </c>
      <c r="U168" t="str">
        <f>IF(DONNEES_SOURCE!$CA168=TRUE,IFERROR(MATCH(DONNEES_SOURCE!$B168,{"2. Très rarement (Moins d'une fois par mois)","3. Rarement (1 à 3 fois par mois)","4. Parfois (Environ une fois par semaine)","5. Régulièrement (Plusieurs fois par semaine)","6. Quotidiennement (Une fois par jour)","7. Très fréquemment (Plusieurs fois par jour)"},0)+1,""),"")</f>
        <v/>
      </c>
    </row>
    <row r="169" spans="16:21" x14ac:dyDescent="0.25">
      <c r="P169" t="str">
        <f>IF(DONNEES_SOURCE!$CA169=TRUE,DONNEES_SOURCE!$BV169,"")</f>
        <v/>
      </c>
      <c r="Q169" t="str">
        <f>IF(DONNEES_SOURCE!$CA169=TRUE,IFERROR(MATCH(DONNEES_SOURCE!$B169,{"2. Très rarement (Moins d'une fois par mois)","3. Rarement (1 à 3 fois par mois)","4. Parfois (Environ une fois par semaine)","5. Régulièrement (Plusieurs fois par semaine)","6. Quotidiennement (Une fois par jour)","7. Très fréquemment (Plusieurs fois par jour)"},0)+1,""),"")</f>
        <v/>
      </c>
      <c r="R169" t="str">
        <f>IF(DONNEES_SOURCE!$CA169=TRUE,DONNEES_SOURCE!$BW169,"")</f>
        <v/>
      </c>
      <c r="S169" t="str">
        <f>IF(DONNEES_SOURCE!$CA169=TRUE,DONNEES_SOURCE!$AU169,"")</f>
        <v/>
      </c>
      <c r="T169" t="str">
        <f>IF(DONNEES_SOURCE!$CA169=TRUE,DONNEES_SOURCE!$BW169,"")</f>
        <v/>
      </c>
      <c r="U169" t="str">
        <f>IF(DONNEES_SOURCE!$CA169=TRUE,IFERROR(MATCH(DONNEES_SOURCE!$B169,{"2. Très rarement (Moins d'une fois par mois)","3. Rarement (1 à 3 fois par mois)","4. Parfois (Environ une fois par semaine)","5. Régulièrement (Plusieurs fois par semaine)","6. Quotidiennement (Une fois par jour)","7. Très fréquemment (Plusieurs fois par jour)"},0)+1,""),"")</f>
        <v/>
      </c>
    </row>
    <row r="170" spans="16:21" x14ac:dyDescent="0.25">
      <c r="P170" t="str">
        <f>IF(DONNEES_SOURCE!$CA170=TRUE,DONNEES_SOURCE!$BV170,"")</f>
        <v/>
      </c>
      <c r="Q170" t="str">
        <f>IF(DONNEES_SOURCE!$CA170=TRUE,IFERROR(MATCH(DONNEES_SOURCE!$B170,{"2. Très rarement (Moins d'une fois par mois)","3. Rarement (1 à 3 fois par mois)","4. Parfois (Environ une fois par semaine)","5. Régulièrement (Plusieurs fois par semaine)","6. Quotidiennement (Une fois par jour)","7. Très fréquemment (Plusieurs fois par jour)"},0)+1,""),"")</f>
        <v/>
      </c>
      <c r="R170" t="str">
        <f>IF(DONNEES_SOURCE!$CA170=TRUE,DONNEES_SOURCE!$BW170,"")</f>
        <v/>
      </c>
      <c r="S170" t="str">
        <f>IF(DONNEES_SOURCE!$CA170=TRUE,DONNEES_SOURCE!$AU170,"")</f>
        <v/>
      </c>
      <c r="T170" t="str">
        <f>IF(DONNEES_SOURCE!$CA170=TRUE,DONNEES_SOURCE!$BW170,"")</f>
        <v/>
      </c>
      <c r="U170" t="str">
        <f>IF(DONNEES_SOURCE!$CA170=TRUE,IFERROR(MATCH(DONNEES_SOURCE!$B170,{"2. Très rarement (Moins d'une fois par mois)","3. Rarement (1 à 3 fois par mois)","4. Parfois (Environ une fois par semaine)","5. Régulièrement (Plusieurs fois par semaine)","6. Quotidiennement (Une fois par jour)","7. Très fréquemment (Plusieurs fois par jour)"},0)+1,""),"")</f>
        <v/>
      </c>
    </row>
    <row r="171" spans="16:21" x14ac:dyDescent="0.25">
      <c r="P171" t="str">
        <f>IF(DONNEES_SOURCE!$CA171=TRUE,DONNEES_SOURCE!$BV171,"")</f>
        <v/>
      </c>
      <c r="Q171" t="str">
        <f>IF(DONNEES_SOURCE!$CA171=TRUE,IFERROR(MATCH(DONNEES_SOURCE!$B171,{"2. Très rarement (Moins d'une fois par mois)","3. Rarement (1 à 3 fois par mois)","4. Parfois (Environ une fois par semaine)","5. Régulièrement (Plusieurs fois par semaine)","6. Quotidiennement (Une fois par jour)","7. Très fréquemment (Plusieurs fois par jour)"},0)+1,""),"")</f>
        <v/>
      </c>
      <c r="R171" t="str">
        <f>IF(DONNEES_SOURCE!$CA171=TRUE,DONNEES_SOURCE!$BW171,"")</f>
        <v/>
      </c>
      <c r="S171" t="str">
        <f>IF(DONNEES_SOURCE!$CA171=TRUE,DONNEES_SOURCE!$AU171,"")</f>
        <v/>
      </c>
      <c r="T171" t="str">
        <f>IF(DONNEES_SOURCE!$CA171=TRUE,DONNEES_SOURCE!$BW171,"")</f>
        <v/>
      </c>
      <c r="U171" t="str">
        <f>IF(DONNEES_SOURCE!$CA171=TRUE,IFERROR(MATCH(DONNEES_SOURCE!$B171,{"2. Très rarement (Moins d'une fois par mois)","3. Rarement (1 à 3 fois par mois)","4. Parfois (Environ une fois par semaine)","5. Régulièrement (Plusieurs fois par semaine)","6. Quotidiennement (Une fois par jour)","7. Très fréquemment (Plusieurs fois par jour)"},0)+1,""),"")</f>
        <v/>
      </c>
    </row>
    <row r="172" spans="16:21" x14ac:dyDescent="0.25">
      <c r="P172" t="str">
        <f>IF(DONNEES_SOURCE!$CA172=TRUE,DONNEES_SOURCE!$BV172,"")</f>
        <v/>
      </c>
      <c r="Q172" t="str">
        <f>IF(DONNEES_SOURCE!$CA172=TRUE,IFERROR(MATCH(DONNEES_SOURCE!$B172,{"2. Très rarement (Moins d'une fois par mois)","3. Rarement (1 à 3 fois par mois)","4. Parfois (Environ une fois par semaine)","5. Régulièrement (Plusieurs fois par semaine)","6. Quotidiennement (Une fois par jour)","7. Très fréquemment (Plusieurs fois par jour)"},0)+1,""),"")</f>
        <v/>
      </c>
      <c r="R172" t="str">
        <f>IF(DONNEES_SOURCE!$CA172=TRUE,DONNEES_SOURCE!$BW172,"")</f>
        <v/>
      </c>
      <c r="S172" t="str">
        <f>IF(DONNEES_SOURCE!$CA172=TRUE,DONNEES_SOURCE!$AU172,"")</f>
        <v/>
      </c>
      <c r="T172" t="str">
        <f>IF(DONNEES_SOURCE!$CA172=TRUE,DONNEES_SOURCE!$BW172,"")</f>
        <v/>
      </c>
      <c r="U172" t="str">
        <f>IF(DONNEES_SOURCE!$CA172=TRUE,IFERROR(MATCH(DONNEES_SOURCE!$B172,{"2. Très rarement (Moins d'une fois par mois)","3. Rarement (1 à 3 fois par mois)","4. Parfois (Environ une fois par semaine)","5. Régulièrement (Plusieurs fois par semaine)","6. Quotidiennement (Une fois par jour)","7. Très fréquemment (Plusieurs fois par jour)"},0)+1,""),"")</f>
        <v/>
      </c>
    </row>
    <row r="173" spans="16:21" x14ac:dyDescent="0.25">
      <c r="P173" t="str">
        <f>IF(DONNEES_SOURCE!$CA173=TRUE,DONNEES_SOURCE!$BV173,"")</f>
        <v/>
      </c>
      <c r="Q173" t="str">
        <f>IF(DONNEES_SOURCE!$CA173=TRUE,IFERROR(MATCH(DONNEES_SOURCE!$B173,{"2. Très rarement (Moins d'une fois par mois)","3. Rarement (1 à 3 fois par mois)","4. Parfois (Environ une fois par semaine)","5. Régulièrement (Plusieurs fois par semaine)","6. Quotidiennement (Une fois par jour)","7. Très fréquemment (Plusieurs fois par jour)"},0)+1,""),"")</f>
        <v/>
      </c>
      <c r="R173" t="str">
        <f>IF(DONNEES_SOURCE!$CA173=TRUE,DONNEES_SOURCE!$BW173,"")</f>
        <v/>
      </c>
      <c r="S173" t="str">
        <f>IF(DONNEES_SOURCE!$CA173=TRUE,DONNEES_SOURCE!$AU173,"")</f>
        <v/>
      </c>
      <c r="T173" t="str">
        <f>IF(DONNEES_SOURCE!$CA173=TRUE,DONNEES_SOURCE!$BW173,"")</f>
        <v/>
      </c>
      <c r="U173" t="str">
        <f>IF(DONNEES_SOURCE!$CA173=TRUE,IFERROR(MATCH(DONNEES_SOURCE!$B173,{"2. Très rarement (Moins d'une fois par mois)","3. Rarement (1 à 3 fois par mois)","4. Parfois (Environ une fois par semaine)","5. Régulièrement (Plusieurs fois par semaine)","6. Quotidiennement (Une fois par jour)","7. Très fréquemment (Plusieurs fois par jour)"},0)+1,""),"")</f>
        <v/>
      </c>
    </row>
    <row r="174" spans="16:21" x14ac:dyDescent="0.25">
      <c r="P174" t="str">
        <f>IF(DONNEES_SOURCE!$CA174=TRUE,DONNEES_SOURCE!$BV174,"")</f>
        <v/>
      </c>
      <c r="Q174" t="str">
        <f>IF(DONNEES_SOURCE!$CA174=TRUE,IFERROR(MATCH(DONNEES_SOURCE!$B174,{"2. Très rarement (Moins d'une fois par mois)","3. Rarement (1 à 3 fois par mois)","4. Parfois (Environ une fois par semaine)","5. Régulièrement (Plusieurs fois par semaine)","6. Quotidiennement (Une fois par jour)","7. Très fréquemment (Plusieurs fois par jour)"},0)+1,""),"")</f>
        <v/>
      </c>
      <c r="R174" t="str">
        <f>IF(DONNEES_SOURCE!$CA174=TRUE,DONNEES_SOURCE!$BW174,"")</f>
        <v/>
      </c>
      <c r="S174" t="str">
        <f>IF(DONNEES_SOURCE!$CA174=TRUE,DONNEES_SOURCE!$AU174,"")</f>
        <v/>
      </c>
      <c r="T174" t="str">
        <f>IF(DONNEES_SOURCE!$CA174=TRUE,DONNEES_SOURCE!$BW174,"")</f>
        <v/>
      </c>
      <c r="U174" t="str">
        <f>IF(DONNEES_SOURCE!$CA174=TRUE,IFERROR(MATCH(DONNEES_SOURCE!$B174,{"2. Très rarement (Moins d'une fois par mois)","3. Rarement (1 à 3 fois par mois)","4. Parfois (Environ une fois par semaine)","5. Régulièrement (Plusieurs fois par semaine)","6. Quotidiennement (Une fois par jour)","7. Très fréquemment (Plusieurs fois par jour)"},0)+1,""),"")</f>
        <v/>
      </c>
    </row>
    <row r="175" spans="16:21" x14ac:dyDescent="0.25">
      <c r="P175" t="str">
        <f>IF(DONNEES_SOURCE!$CA175=TRUE,DONNEES_SOURCE!$BV175,"")</f>
        <v/>
      </c>
      <c r="Q175" t="str">
        <f>IF(DONNEES_SOURCE!$CA175=TRUE,IFERROR(MATCH(DONNEES_SOURCE!$B175,{"2. Très rarement (Moins d'une fois par mois)","3. Rarement (1 à 3 fois par mois)","4. Parfois (Environ une fois par semaine)","5. Régulièrement (Plusieurs fois par semaine)","6. Quotidiennement (Une fois par jour)","7. Très fréquemment (Plusieurs fois par jour)"},0)+1,""),"")</f>
        <v/>
      </c>
      <c r="R175" t="str">
        <f>IF(DONNEES_SOURCE!$CA175=TRUE,DONNEES_SOURCE!$BW175,"")</f>
        <v/>
      </c>
      <c r="S175" t="str">
        <f>IF(DONNEES_SOURCE!$CA175=TRUE,DONNEES_SOURCE!$AU175,"")</f>
        <v/>
      </c>
      <c r="T175" t="str">
        <f>IF(DONNEES_SOURCE!$CA175=TRUE,DONNEES_SOURCE!$BW175,"")</f>
        <v/>
      </c>
      <c r="U175" t="str">
        <f>IF(DONNEES_SOURCE!$CA175=TRUE,IFERROR(MATCH(DONNEES_SOURCE!$B175,{"2. Très rarement (Moins d'une fois par mois)","3. Rarement (1 à 3 fois par mois)","4. Parfois (Environ une fois par semaine)","5. Régulièrement (Plusieurs fois par semaine)","6. Quotidiennement (Une fois par jour)","7. Très fréquemment (Plusieurs fois par jour)"},0)+1,""),"")</f>
        <v/>
      </c>
    </row>
    <row r="176" spans="16:21" x14ac:dyDescent="0.25">
      <c r="P176" t="str">
        <f>IF(DONNEES_SOURCE!$CA176=TRUE,DONNEES_SOURCE!$BV176,"")</f>
        <v/>
      </c>
      <c r="Q176" t="str">
        <f>IF(DONNEES_SOURCE!$CA176=TRUE,IFERROR(MATCH(DONNEES_SOURCE!$B176,{"2. Très rarement (Moins d'une fois par mois)","3. Rarement (1 à 3 fois par mois)","4. Parfois (Environ une fois par semaine)","5. Régulièrement (Plusieurs fois par semaine)","6. Quotidiennement (Une fois par jour)","7. Très fréquemment (Plusieurs fois par jour)"},0)+1,""),"")</f>
        <v/>
      </c>
      <c r="R176" t="str">
        <f>IF(DONNEES_SOURCE!$CA176=TRUE,DONNEES_SOURCE!$BW176,"")</f>
        <v/>
      </c>
      <c r="S176" t="str">
        <f>IF(DONNEES_SOURCE!$CA176=TRUE,DONNEES_SOURCE!$AU176,"")</f>
        <v/>
      </c>
      <c r="T176" t="str">
        <f>IF(DONNEES_SOURCE!$CA176=TRUE,DONNEES_SOURCE!$BW176,"")</f>
        <v/>
      </c>
      <c r="U176" t="str">
        <f>IF(DONNEES_SOURCE!$CA176=TRUE,IFERROR(MATCH(DONNEES_SOURCE!$B176,{"2. Très rarement (Moins d'une fois par mois)","3. Rarement (1 à 3 fois par mois)","4. Parfois (Environ une fois par semaine)","5. Régulièrement (Plusieurs fois par semaine)","6. Quotidiennement (Une fois par jour)","7. Très fréquemment (Plusieurs fois par jour)"},0)+1,""),"")</f>
        <v/>
      </c>
    </row>
    <row r="177" spans="16:21" x14ac:dyDescent="0.25">
      <c r="P177" t="str">
        <f>IF(DONNEES_SOURCE!$CA177=TRUE,DONNEES_SOURCE!$BV177,"")</f>
        <v/>
      </c>
      <c r="Q177" t="str">
        <f>IF(DONNEES_SOURCE!$CA177=TRUE,IFERROR(MATCH(DONNEES_SOURCE!$B177,{"2. Très rarement (Moins d'une fois par mois)","3. Rarement (1 à 3 fois par mois)","4. Parfois (Environ une fois par semaine)","5. Régulièrement (Plusieurs fois par semaine)","6. Quotidiennement (Une fois par jour)","7. Très fréquemment (Plusieurs fois par jour)"},0)+1,""),"")</f>
        <v/>
      </c>
      <c r="R177" t="str">
        <f>IF(DONNEES_SOURCE!$CA177=TRUE,DONNEES_SOURCE!$BW177,"")</f>
        <v/>
      </c>
      <c r="S177" t="str">
        <f>IF(DONNEES_SOURCE!$CA177=TRUE,DONNEES_SOURCE!$AU177,"")</f>
        <v/>
      </c>
      <c r="T177" t="str">
        <f>IF(DONNEES_SOURCE!$CA177=TRUE,DONNEES_SOURCE!$BW177,"")</f>
        <v/>
      </c>
      <c r="U177" t="str">
        <f>IF(DONNEES_SOURCE!$CA177=TRUE,IFERROR(MATCH(DONNEES_SOURCE!$B177,{"2. Très rarement (Moins d'une fois par mois)","3. Rarement (1 à 3 fois par mois)","4. Parfois (Environ une fois par semaine)","5. Régulièrement (Plusieurs fois par semaine)","6. Quotidiennement (Une fois par jour)","7. Très fréquemment (Plusieurs fois par jour)"},0)+1,""),"")</f>
        <v/>
      </c>
    </row>
    <row r="178" spans="16:21" x14ac:dyDescent="0.25">
      <c r="P178" t="str">
        <f>IF(DONNEES_SOURCE!$CA178=TRUE,DONNEES_SOURCE!$BV178,"")</f>
        <v/>
      </c>
      <c r="Q178" t="str">
        <f>IF(DONNEES_SOURCE!$CA178=TRUE,IFERROR(MATCH(DONNEES_SOURCE!$B178,{"2. Très rarement (Moins d'une fois par mois)","3. Rarement (1 à 3 fois par mois)","4. Parfois (Environ une fois par semaine)","5. Régulièrement (Plusieurs fois par semaine)","6. Quotidiennement (Une fois par jour)","7. Très fréquemment (Plusieurs fois par jour)"},0)+1,""),"")</f>
        <v/>
      </c>
      <c r="R178" t="str">
        <f>IF(DONNEES_SOURCE!$CA178=TRUE,DONNEES_SOURCE!$BW178,"")</f>
        <v/>
      </c>
      <c r="S178" t="str">
        <f>IF(DONNEES_SOURCE!$CA178=TRUE,DONNEES_SOURCE!$AU178,"")</f>
        <v/>
      </c>
      <c r="T178" t="str">
        <f>IF(DONNEES_SOURCE!$CA178=TRUE,DONNEES_SOURCE!$BW178,"")</f>
        <v/>
      </c>
      <c r="U178" t="str">
        <f>IF(DONNEES_SOURCE!$CA178=TRUE,IFERROR(MATCH(DONNEES_SOURCE!$B178,{"2. Très rarement (Moins d'une fois par mois)","3. Rarement (1 à 3 fois par mois)","4. Parfois (Environ une fois par semaine)","5. Régulièrement (Plusieurs fois par semaine)","6. Quotidiennement (Une fois par jour)","7. Très fréquemment (Plusieurs fois par jour)"},0)+1,""),"")</f>
        <v/>
      </c>
    </row>
    <row r="179" spans="16:21" x14ac:dyDescent="0.25">
      <c r="P179" t="str">
        <f>IF(DONNEES_SOURCE!$CA179=TRUE,DONNEES_SOURCE!$BV179,"")</f>
        <v/>
      </c>
      <c r="Q179" t="str">
        <f>IF(DONNEES_SOURCE!$CA179=TRUE,IFERROR(MATCH(DONNEES_SOURCE!$B179,{"2. Très rarement (Moins d'une fois par mois)","3. Rarement (1 à 3 fois par mois)","4. Parfois (Environ une fois par semaine)","5. Régulièrement (Plusieurs fois par semaine)","6. Quotidiennement (Une fois par jour)","7. Très fréquemment (Plusieurs fois par jour)"},0)+1,""),"")</f>
        <v/>
      </c>
      <c r="R179" t="str">
        <f>IF(DONNEES_SOURCE!$CA179=TRUE,DONNEES_SOURCE!$BW179,"")</f>
        <v/>
      </c>
      <c r="S179" t="str">
        <f>IF(DONNEES_SOURCE!$CA179=TRUE,DONNEES_SOURCE!$AU179,"")</f>
        <v/>
      </c>
      <c r="T179" t="str">
        <f>IF(DONNEES_SOURCE!$CA179=TRUE,DONNEES_SOURCE!$BW179,"")</f>
        <v/>
      </c>
      <c r="U179" t="str">
        <f>IF(DONNEES_SOURCE!$CA179=TRUE,IFERROR(MATCH(DONNEES_SOURCE!$B179,{"2. Très rarement (Moins d'une fois par mois)","3. Rarement (1 à 3 fois par mois)","4. Parfois (Environ une fois par semaine)","5. Régulièrement (Plusieurs fois par semaine)","6. Quotidiennement (Une fois par jour)","7. Très fréquemment (Plusieurs fois par jour)"},0)+1,""),"")</f>
        <v/>
      </c>
    </row>
    <row r="180" spans="16:21" x14ac:dyDescent="0.25">
      <c r="P180" t="str">
        <f>IF(DONNEES_SOURCE!$CA180=TRUE,DONNEES_SOURCE!$BV180,"")</f>
        <v/>
      </c>
      <c r="Q180" t="str">
        <f>IF(DONNEES_SOURCE!$CA180=TRUE,IFERROR(MATCH(DONNEES_SOURCE!$B180,{"2. Très rarement (Moins d'une fois par mois)","3. Rarement (1 à 3 fois par mois)","4. Parfois (Environ une fois par semaine)","5. Régulièrement (Plusieurs fois par semaine)","6. Quotidiennement (Une fois par jour)","7. Très fréquemment (Plusieurs fois par jour)"},0)+1,""),"")</f>
        <v/>
      </c>
      <c r="R180" t="str">
        <f>IF(DONNEES_SOURCE!$CA180=TRUE,DONNEES_SOURCE!$BW180,"")</f>
        <v/>
      </c>
      <c r="S180" t="str">
        <f>IF(DONNEES_SOURCE!$CA180=TRUE,DONNEES_SOURCE!$AU180,"")</f>
        <v/>
      </c>
      <c r="T180" t="str">
        <f>IF(DONNEES_SOURCE!$CA180=TRUE,DONNEES_SOURCE!$BW180,"")</f>
        <v/>
      </c>
      <c r="U180" t="str">
        <f>IF(DONNEES_SOURCE!$CA180=TRUE,IFERROR(MATCH(DONNEES_SOURCE!$B180,{"2. Très rarement (Moins d'une fois par mois)","3. Rarement (1 à 3 fois par mois)","4. Parfois (Environ une fois par semaine)","5. Régulièrement (Plusieurs fois par semaine)","6. Quotidiennement (Une fois par jour)","7. Très fréquemment (Plusieurs fois par jour)"},0)+1,""),"")</f>
        <v/>
      </c>
    </row>
    <row r="181" spans="16:21" x14ac:dyDescent="0.25">
      <c r="P181" t="str">
        <f>IF(DONNEES_SOURCE!$CA181=TRUE,DONNEES_SOURCE!$BV181,"")</f>
        <v/>
      </c>
      <c r="Q181" t="str">
        <f>IF(DONNEES_SOURCE!$CA181=TRUE,IFERROR(MATCH(DONNEES_SOURCE!$B181,{"2. Très rarement (Moins d'une fois par mois)","3. Rarement (1 à 3 fois par mois)","4. Parfois (Environ une fois par semaine)","5. Régulièrement (Plusieurs fois par semaine)","6. Quotidiennement (Une fois par jour)","7. Très fréquemment (Plusieurs fois par jour)"},0)+1,""),"")</f>
        <v/>
      </c>
      <c r="R181" t="str">
        <f>IF(DONNEES_SOURCE!$CA181=TRUE,DONNEES_SOURCE!$BW181,"")</f>
        <v/>
      </c>
      <c r="S181" t="str">
        <f>IF(DONNEES_SOURCE!$CA181=TRUE,DONNEES_SOURCE!$AU181,"")</f>
        <v/>
      </c>
      <c r="T181" t="str">
        <f>IF(DONNEES_SOURCE!$CA181=TRUE,DONNEES_SOURCE!$BW181,"")</f>
        <v/>
      </c>
      <c r="U181" t="str">
        <f>IF(DONNEES_SOURCE!$CA181=TRUE,IFERROR(MATCH(DONNEES_SOURCE!$B181,{"2. Très rarement (Moins d'une fois par mois)","3. Rarement (1 à 3 fois par mois)","4. Parfois (Environ une fois par semaine)","5. Régulièrement (Plusieurs fois par semaine)","6. Quotidiennement (Une fois par jour)","7. Très fréquemment (Plusieurs fois par jour)"},0)+1,""),"")</f>
        <v/>
      </c>
    </row>
    <row r="182" spans="16:21" x14ac:dyDescent="0.25">
      <c r="P182" t="str">
        <f>IF(DONNEES_SOURCE!$CA182=TRUE,DONNEES_SOURCE!$BV182,"")</f>
        <v/>
      </c>
      <c r="Q182" t="str">
        <f>IF(DONNEES_SOURCE!$CA182=TRUE,IFERROR(MATCH(DONNEES_SOURCE!$B182,{"2. Très rarement (Moins d'une fois par mois)","3. Rarement (1 à 3 fois par mois)","4. Parfois (Environ une fois par semaine)","5. Régulièrement (Plusieurs fois par semaine)","6. Quotidiennement (Une fois par jour)","7. Très fréquemment (Plusieurs fois par jour)"},0)+1,""),"")</f>
        <v/>
      </c>
      <c r="R182" t="str">
        <f>IF(DONNEES_SOURCE!$CA182=TRUE,DONNEES_SOURCE!$BW182,"")</f>
        <v/>
      </c>
      <c r="S182" t="str">
        <f>IF(DONNEES_SOURCE!$CA182=TRUE,DONNEES_SOURCE!$AU182,"")</f>
        <v/>
      </c>
      <c r="T182" t="str">
        <f>IF(DONNEES_SOURCE!$CA182=TRUE,DONNEES_SOURCE!$BW182,"")</f>
        <v/>
      </c>
      <c r="U182" t="str">
        <f>IF(DONNEES_SOURCE!$CA182=TRUE,IFERROR(MATCH(DONNEES_SOURCE!$B182,{"2. Très rarement (Moins d'une fois par mois)","3. Rarement (1 à 3 fois par mois)","4. Parfois (Environ une fois par semaine)","5. Régulièrement (Plusieurs fois par semaine)","6. Quotidiennement (Une fois par jour)","7. Très fréquemment (Plusieurs fois par jour)"},0)+1,""),"")</f>
        <v/>
      </c>
    </row>
    <row r="183" spans="16:21" x14ac:dyDescent="0.25">
      <c r="P183" t="str">
        <f>IF(DONNEES_SOURCE!$CA183=TRUE,DONNEES_SOURCE!$BV183,"")</f>
        <v/>
      </c>
      <c r="Q183" t="str">
        <f>IF(DONNEES_SOURCE!$CA183=TRUE,IFERROR(MATCH(DONNEES_SOURCE!$B183,{"2. Très rarement (Moins d'une fois par mois)","3. Rarement (1 à 3 fois par mois)","4. Parfois (Environ une fois par semaine)","5. Régulièrement (Plusieurs fois par semaine)","6. Quotidiennement (Une fois par jour)","7. Très fréquemment (Plusieurs fois par jour)"},0)+1,""),"")</f>
        <v/>
      </c>
      <c r="R183" t="str">
        <f>IF(DONNEES_SOURCE!$CA183=TRUE,DONNEES_SOURCE!$BW183,"")</f>
        <v/>
      </c>
      <c r="S183" t="str">
        <f>IF(DONNEES_SOURCE!$CA183=TRUE,DONNEES_SOURCE!$AU183,"")</f>
        <v/>
      </c>
      <c r="T183" t="str">
        <f>IF(DONNEES_SOURCE!$CA183=TRUE,DONNEES_SOURCE!$BW183,"")</f>
        <v/>
      </c>
      <c r="U183" t="str">
        <f>IF(DONNEES_SOURCE!$CA183=TRUE,IFERROR(MATCH(DONNEES_SOURCE!$B183,{"2. Très rarement (Moins d'une fois par mois)","3. Rarement (1 à 3 fois par mois)","4. Parfois (Environ une fois par semaine)","5. Régulièrement (Plusieurs fois par semaine)","6. Quotidiennement (Une fois par jour)","7. Très fréquemment (Plusieurs fois par jour)"},0)+1,""),"")</f>
        <v/>
      </c>
    </row>
    <row r="184" spans="16:21" x14ac:dyDescent="0.25">
      <c r="P184" t="str">
        <f>IF(DONNEES_SOURCE!$CA184=TRUE,DONNEES_SOURCE!$BV184,"")</f>
        <v/>
      </c>
      <c r="Q184" t="str">
        <f>IF(DONNEES_SOURCE!$CA184=TRUE,IFERROR(MATCH(DONNEES_SOURCE!$B184,{"2. Très rarement (Moins d'une fois par mois)","3. Rarement (1 à 3 fois par mois)","4. Parfois (Environ une fois par semaine)","5. Régulièrement (Plusieurs fois par semaine)","6. Quotidiennement (Une fois par jour)","7. Très fréquemment (Plusieurs fois par jour)"},0)+1,""),"")</f>
        <v/>
      </c>
      <c r="R184" t="str">
        <f>IF(DONNEES_SOURCE!$CA184=TRUE,DONNEES_SOURCE!$BW184,"")</f>
        <v/>
      </c>
      <c r="S184" t="str">
        <f>IF(DONNEES_SOURCE!$CA184=TRUE,DONNEES_SOURCE!$AU184,"")</f>
        <v/>
      </c>
      <c r="T184" t="str">
        <f>IF(DONNEES_SOURCE!$CA184=TRUE,DONNEES_SOURCE!$BW184,"")</f>
        <v/>
      </c>
      <c r="U184" t="str">
        <f>IF(DONNEES_SOURCE!$CA184=TRUE,IFERROR(MATCH(DONNEES_SOURCE!$B184,{"2. Très rarement (Moins d'une fois par mois)","3. Rarement (1 à 3 fois par mois)","4. Parfois (Environ une fois par semaine)","5. Régulièrement (Plusieurs fois par semaine)","6. Quotidiennement (Une fois par jour)","7. Très fréquemment (Plusieurs fois par jour)"},0)+1,""),"")</f>
        <v/>
      </c>
    </row>
    <row r="185" spans="16:21" x14ac:dyDescent="0.25">
      <c r="P185" t="str">
        <f>IF(DONNEES_SOURCE!$CA185=TRUE,DONNEES_SOURCE!$BV185,"")</f>
        <v/>
      </c>
      <c r="Q185" t="str">
        <f>IF(DONNEES_SOURCE!$CA185=TRUE,IFERROR(MATCH(DONNEES_SOURCE!$B185,{"2. Très rarement (Moins d'une fois par mois)","3. Rarement (1 à 3 fois par mois)","4. Parfois (Environ une fois par semaine)","5. Régulièrement (Plusieurs fois par semaine)","6. Quotidiennement (Une fois par jour)","7. Très fréquemment (Plusieurs fois par jour)"},0)+1,""),"")</f>
        <v/>
      </c>
      <c r="R185" t="str">
        <f>IF(DONNEES_SOURCE!$CA185=TRUE,DONNEES_SOURCE!$BW185,"")</f>
        <v/>
      </c>
      <c r="S185" t="str">
        <f>IF(DONNEES_SOURCE!$CA185=TRUE,DONNEES_SOURCE!$AU185,"")</f>
        <v/>
      </c>
      <c r="T185" t="str">
        <f>IF(DONNEES_SOURCE!$CA185=TRUE,DONNEES_SOURCE!$BW185,"")</f>
        <v/>
      </c>
      <c r="U185" t="str">
        <f>IF(DONNEES_SOURCE!$CA185=TRUE,IFERROR(MATCH(DONNEES_SOURCE!$B185,{"2. Très rarement (Moins d'une fois par mois)","3. Rarement (1 à 3 fois par mois)","4. Parfois (Environ une fois par semaine)","5. Régulièrement (Plusieurs fois par semaine)","6. Quotidiennement (Une fois par jour)","7. Très fréquemment (Plusieurs fois par jour)"},0)+1,""),"")</f>
        <v/>
      </c>
    </row>
    <row r="186" spans="16:21" x14ac:dyDescent="0.25">
      <c r="P186" t="str">
        <f>IF(DONNEES_SOURCE!$CA186=TRUE,DONNEES_SOURCE!$BV186,"")</f>
        <v/>
      </c>
      <c r="Q186" t="str">
        <f>IF(DONNEES_SOURCE!$CA186=TRUE,IFERROR(MATCH(DONNEES_SOURCE!$B186,{"2. Très rarement (Moins d'une fois par mois)","3. Rarement (1 à 3 fois par mois)","4. Parfois (Environ une fois par semaine)","5. Régulièrement (Plusieurs fois par semaine)","6. Quotidiennement (Une fois par jour)","7. Très fréquemment (Plusieurs fois par jour)"},0)+1,""),"")</f>
        <v/>
      </c>
      <c r="R186" t="str">
        <f>IF(DONNEES_SOURCE!$CA186=TRUE,DONNEES_SOURCE!$BW186,"")</f>
        <v/>
      </c>
      <c r="S186" t="str">
        <f>IF(DONNEES_SOURCE!$CA186=TRUE,DONNEES_SOURCE!$AU186,"")</f>
        <v/>
      </c>
      <c r="T186" t="str">
        <f>IF(DONNEES_SOURCE!$CA186=TRUE,DONNEES_SOURCE!$BW186,"")</f>
        <v/>
      </c>
      <c r="U186" t="str">
        <f>IF(DONNEES_SOURCE!$CA186=TRUE,IFERROR(MATCH(DONNEES_SOURCE!$B186,{"2. Très rarement (Moins d'une fois par mois)","3. Rarement (1 à 3 fois par mois)","4. Parfois (Environ une fois par semaine)","5. Régulièrement (Plusieurs fois par semaine)","6. Quotidiennement (Une fois par jour)","7. Très fréquemment (Plusieurs fois par jour)"},0)+1,""),"")</f>
        <v/>
      </c>
    </row>
    <row r="187" spans="16:21" x14ac:dyDescent="0.25">
      <c r="P187" t="str">
        <f>IF(DONNEES_SOURCE!$CA187=TRUE,DONNEES_SOURCE!$BV187,"")</f>
        <v/>
      </c>
      <c r="Q187" t="str">
        <f>IF(DONNEES_SOURCE!$CA187=TRUE,IFERROR(MATCH(DONNEES_SOURCE!$B187,{"2. Très rarement (Moins d'une fois par mois)","3. Rarement (1 à 3 fois par mois)","4. Parfois (Environ une fois par semaine)","5. Régulièrement (Plusieurs fois par semaine)","6. Quotidiennement (Une fois par jour)","7. Très fréquemment (Plusieurs fois par jour)"},0)+1,""),"")</f>
        <v/>
      </c>
      <c r="R187" t="str">
        <f>IF(DONNEES_SOURCE!$CA187=TRUE,DONNEES_SOURCE!$BW187,"")</f>
        <v/>
      </c>
      <c r="S187" t="str">
        <f>IF(DONNEES_SOURCE!$CA187=TRUE,DONNEES_SOURCE!$AU187,"")</f>
        <v/>
      </c>
      <c r="T187" t="str">
        <f>IF(DONNEES_SOURCE!$CA187=TRUE,DONNEES_SOURCE!$BW187,"")</f>
        <v/>
      </c>
      <c r="U187" t="str">
        <f>IF(DONNEES_SOURCE!$CA187=TRUE,IFERROR(MATCH(DONNEES_SOURCE!$B187,{"2. Très rarement (Moins d'une fois par mois)","3. Rarement (1 à 3 fois par mois)","4. Parfois (Environ une fois par semaine)","5. Régulièrement (Plusieurs fois par semaine)","6. Quotidiennement (Une fois par jour)","7. Très fréquemment (Plusieurs fois par jour)"},0)+1,""),"")</f>
        <v/>
      </c>
    </row>
    <row r="188" spans="16:21" x14ac:dyDescent="0.25">
      <c r="P188" t="str">
        <f>IF(DONNEES_SOURCE!$CA188=TRUE,DONNEES_SOURCE!$BV188,"")</f>
        <v/>
      </c>
      <c r="Q188" t="str">
        <f>IF(DONNEES_SOURCE!$CA188=TRUE,IFERROR(MATCH(DONNEES_SOURCE!$B188,{"2. Très rarement (Moins d'une fois par mois)","3. Rarement (1 à 3 fois par mois)","4. Parfois (Environ une fois par semaine)","5. Régulièrement (Plusieurs fois par semaine)","6. Quotidiennement (Une fois par jour)","7. Très fréquemment (Plusieurs fois par jour)"},0)+1,""),"")</f>
        <v/>
      </c>
      <c r="R188" t="str">
        <f>IF(DONNEES_SOURCE!$CA188=TRUE,DONNEES_SOURCE!$BW188,"")</f>
        <v/>
      </c>
      <c r="S188" t="str">
        <f>IF(DONNEES_SOURCE!$CA188=TRUE,DONNEES_SOURCE!$AU188,"")</f>
        <v/>
      </c>
      <c r="T188" t="str">
        <f>IF(DONNEES_SOURCE!$CA188=TRUE,DONNEES_SOURCE!$BW188,"")</f>
        <v/>
      </c>
      <c r="U188" t="str">
        <f>IF(DONNEES_SOURCE!$CA188=TRUE,IFERROR(MATCH(DONNEES_SOURCE!$B188,{"2. Très rarement (Moins d'une fois par mois)","3. Rarement (1 à 3 fois par mois)","4. Parfois (Environ une fois par semaine)","5. Régulièrement (Plusieurs fois par semaine)","6. Quotidiennement (Une fois par jour)","7. Très fréquemment (Plusieurs fois par jour)"},0)+1,""),"")</f>
        <v/>
      </c>
    </row>
    <row r="189" spans="16:21" x14ac:dyDescent="0.25">
      <c r="P189" t="str">
        <f>IF(DONNEES_SOURCE!$CA189=TRUE,DONNEES_SOURCE!$BV189,"")</f>
        <v/>
      </c>
      <c r="Q189" t="str">
        <f>IF(DONNEES_SOURCE!$CA189=TRUE,IFERROR(MATCH(DONNEES_SOURCE!$B189,{"2. Très rarement (Moins d'une fois par mois)","3. Rarement (1 à 3 fois par mois)","4. Parfois (Environ une fois par semaine)","5. Régulièrement (Plusieurs fois par semaine)","6. Quotidiennement (Une fois par jour)","7. Très fréquemment (Plusieurs fois par jour)"},0)+1,""),"")</f>
        <v/>
      </c>
      <c r="R189" t="str">
        <f>IF(DONNEES_SOURCE!$CA189=TRUE,DONNEES_SOURCE!$BW189,"")</f>
        <v/>
      </c>
      <c r="S189" t="str">
        <f>IF(DONNEES_SOURCE!$CA189=TRUE,DONNEES_SOURCE!$AU189,"")</f>
        <v/>
      </c>
      <c r="T189" t="str">
        <f>IF(DONNEES_SOURCE!$CA189=TRUE,DONNEES_SOURCE!$BW189,"")</f>
        <v/>
      </c>
      <c r="U189" t="str">
        <f>IF(DONNEES_SOURCE!$CA189=TRUE,IFERROR(MATCH(DONNEES_SOURCE!$B189,{"2. Très rarement (Moins d'une fois par mois)","3. Rarement (1 à 3 fois par mois)","4. Parfois (Environ une fois par semaine)","5. Régulièrement (Plusieurs fois par semaine)","6. Quotidiennement (Une fois par jour)","7. Très fréquemment (Plusieurs fois par jour)"},0)+1,""),"")</f>
        <v/>
      </c>
    </row>
    <row r="190" spans="16:21" x14ac:dyDescent="0.25">
      <c r="P190" t="str">
        <f>IF(DONNEES_SOURCE!$CA190=TRUE,DONNEES_SOURCE!$BV190,"")</f>
        <v/>
      </c>
      <c r="Q190" t="str">
        <f>IF(DONNEES_SOURCE!$CA190=TRUE,IFERROR(MATCH(DONNEES_SOURCE!$B190,{"2. Très rarement (Moins d'une fois par mois)","3. Rarement (1 à 3 fois par mois)","4. Parfois (Environ une fois par semaine)","5. Régulièrement (Plusieurs fois par semaine)","6. Quotidiennement (Une fois par jour)","7. Très fréquemment (Plusieurs fois par jour)"},0)+1,""),"")</f>
        <v/>
      </c>
      <c r="R190" t="str">
        <f>IF(DONNEES_SOURCE!$CA190=TRUE,DONNEES_SOURCE!$BW190,"")</f>
        <v/>
      </c>
      <c r="S190" t="str">
        <f>IF(DONNEES_SOURCE!$CA190=TRUE,DONNEES_SOURCE!$AU190,"")</f>
        <v/>
      </c>
      <c r="T190" t="str">
        <f>IF(DONNEES_SOURCE!$CA190=TRUE,DONNEES_SOURCE!$BW190,"")</f>
        <v/>
      </c>
      <c r="U190" t="str">
        <f>IF(DONNEES_SOURCE!$CA190=TRUE,IFERROR(MATCH(DONNEES_SOURCE!$B190,{"2. Très rarement (Moins d'une fois par mois)","3. Rarement (1 à 3 fois par mois)","4. Parfois (Environ une fois par semaine)","5. Régulièrement (Plusieurs fois par semaine)","6. Quotidiennement (Une fois par jour)","7. Très fréquemment (Plusieurs fois par jour)"},0)+1,""),"")</f>
        <v/>
      </c>
    </row>
    <row r="191" spans="16:21" x14ac:dyDescent="0.25">
      <c r="P191" t="str">
        <f>IF(DONNEES_SOURCE!$CA191=TRUE,DONNEES_SOURCE!$BV191,"")</f>
        <v/>
      </c>
      <c r="Q191" t="str">
        <f>IF(DONNEES_SOURCE!$CA191=TRUE,IFERROR(MATCH(DONNEES_SOURCE!$B191,{"2. Très rarement (Moins d'une fois par mois)","3. Rarement (1 à 3 fois par mois)","4. Parfois (Environ une fois par semaine)","5. Régulièrement (Plusieurs fois par semaine)","6. Quotidiennement (Une fois par jour)","7. Très fréquemment (Plusieurs fois par jour)"},0)+1,""),"")</f>
        <v/>
      </c>
      <c r="R191" t="str">
        <f>IF(DONNEES_SOURCE!$CA191=TRUE,DONNEES_SOURCE!$BW191,"")</f>
        <v/>
      </c>
      <c r="S191" t="str">
        <f>IF(DONNEES_SOURCE!$CA191=TRUE,DONNEES_SOURCE!$AU191,"")</f>
        <v/>
      </c>
      <c r="T191" t="str">
        <f>IF(DONNEES_SOURCE!$CA191=TRUE,DONNEES_SOURCE!$BW191,"")</f>
        <v/>
      </c>
      <c r="U191" t="str">
        <f>IF(DONNEES_SOURCE!$CA191=TRUE,IFERROR(MATCH(DONNEES_SOURCE!$B191,{"2. Très rarement (Moins d'une fois par mois)","3. Rarement (1 à 3 fois par mois)","4. Parfois (Environ une fois par semaine)","5. Régulièrement (Plusieurs fois par semaine)","6. Quotidiennement (Une fois par jour)","7. Très fréquemment (Plusieurs fois par jour)"},0)+1,""),"")</f>
        <v/>
      </c>
    </row>
    <row r="192" spans="16:21" x14ac:dyDescent="0.25">
      <c r="P192" t="str">
        <f>IF(DONNEES_SOURCE!$CA192=TRUE,DONNEES_SOURCE!$BV192,"")</f>
        <v/>
      </c>
      <c r="Q192" t="str">
        <f>IF(DONNEES_SOURCE!$CA192=TRUE,IFERROR(MATCH(DONNEES_SOURCE!$B192,{"2. Très rarement (Moins d'une fois par mois)","3. Rarement (1 à 3 fois par mois)","4. Parfois (Environ une fois par semaine)","5. Régulièrement (Plusieurs fois par semaine)","6. Quotidiennement (Une fois par jour)","7. Très fréquemment (Plusieurs fois par jour)"},0)+1,""),"")</f>
        <v/>
      </c>
      <c r="R192" t="str">
        <f>IF(DONNEES_SOURCE!$CA192=TRUE,DONNEES_SOURCE!$BW192,"")</f>
        <v/>
      </c>
      <c r="S192" t="str">
        <f>IF(DONNEES_SOURCE!$CA192=TRUE,DONNEES_SOURCE!$AU192,"")</f>
        <v/>
      </c>
      <c r="T192" t="str">
        <f>IF(DONNEES_SOURCE!$CA192=TRUE,DONNEES_SOURCE!$BW192,"")</f>
        <v/>
      </c>
      <c r="U192" t="str">
        <f>IF(DONNEES_SOURCE!$CA192=TRUE,IFERROR(MATCH(DONNEES_SOURCE!$B192,{"2. Très rarement (Moins d'une fois par mois)","3. Rarement (1 à 3 fois par mois)","4. Parfois (Environ une fois par semaine)","5. Régulièrement (Plusieurs fois par semaine)","6. Quotidiennement (Une fois par jour)","7. Très fréquemment (Plusieurs fois par jour)"},0)+1,""),"")</f>
        <v/>
      </c>
    </row>
    <row r="193" spans="16:21" x14ac:dyDescent="0.25">
      <c r="P193" t="str">
        <f>IF(DONNEES_SOURCE!$CA193=TRUE,DONNEES_SOURCE!$BV193,"")</f>
        <v/>
      </c>
      <c r="Q193" t="str">
        <f>IF(DONNEES_SOURCE!$CA193=TRUE,IFERROR(MATCH(DONNEES_SOURCE!$B193,{"2. Très rarement (Moins d'une fois par mois)","3. Rarement (1 à 3 fois par mois)","4. Parfois (Environ une fois par semaine)","5. Régulièrement (Plusieurs fois par semaine)","6. Quotidiennement (Une fois par jour)","7. Très fréquemment (Plusieurs fois par jour)"},0)+1,""),"")</f>
        <v/>
      </c>
      <c r="R193" t="str">
        <f>IF(DONNEES_SOURCE!$CA193=TRUE,DONNEES_SOURCE!$BW193,"")</f>
        <v/>
      </c>
      <c r="S193" t="str">
        <f>IF(DONNEES_SOURCE!$CA193=TRUE,DONNEES_SOURCE!$AU193,"")</f>
        <v/>
      </c>
      <c r="T193" t="str">
        <f>IF(DONNEES_SOURCE!$CA193=TRUE,DONNEES_SOURCE!$BW193,"")</f>
        <v/>
      </c>
      <c r="U193" t="str">
        <f>IF(DONNEES_SOURCE!$CA193=TRUE,IFERROR(MATCH(DONNEES_SOURCE!$B193,{"2. Très rarement (Moins d'une fois par mois)","3. Rarement (1 à 3 fois par mois)","4. Parfois (Environ une fois par semaine)","5. Régulièrement (Plusieurs fois par semaine)","6. Quotidiennement (Une fois par jour)","7. Très fréquemment (Plusieurs fois par jour)"},0)+1,""),"")</f>
        <v/>
      </c>
    </row>
    <row r="194" spans="16:21" x14ac:dyDescent="0.25">
      <c r="P194" t="str">
        <f>IF(DONNEES_SOURCE!$CA194=TRUE,DONNEES_SOURCE!$BV194,"")</f>
        <v/>
      </c>
      <c r="Q194" t="str">
        <f>IF(DONNEES_SOURCE!$CA194=TRUE,IFERROR(MATCH(DONNEES_SOURCE!$B194,{"2. Très rarement (Moins d'une fois par mois)","3. Rarement (1 à 3 fois par mois)","4. Parfois (Environ une fois par semaine)","5. Régulièrement (Plusieurs fois par semaine)","6. Quotidiennement (Une fois par jour)","7. Très fréquemment (Plusieurs fois par jour)"},0)+1,""),"")</f>
        <v/>
      </c>
      <c r="R194" t="str">
        <f>IF(DONNEES_SOURCE!$CA194=TRUE,DONNEES_SOURCE!$BW194,"")</f>
        <v/>
      </c>
      <c r="S194" t="str">
        <f>IF(DONNEES_SOURCE!$CA194=TRUE,DONNEES_SOURCE!$AU194,"")</f>
        <v/>
      </c>
      <c r="T194" t="str">
        <f>IF(DONNEES_SOURCE!$CA194=TRUE,DONNEES_SOURCE!$BW194,"")</f>
        <v/>
      </c>
      <c r="U194" t="str">
        <f>IF(DONNEES_SOURCE!$CA194=TRUE,IFERROR(MATCH(DONNEES_SOURCE!$B194,{"2. Très rarement (Moins d'une fois par mois)","3. Rarement (1 à 3 fois par mois)","4. Parfois (Environ une fois par semaine)","5. Régulièrement (Plusieurs fois par semaine)","6. Quotidiennement (Une fois par jour)","7. Très fréquemment (Plusieurs fois par jour)"},0)+1,""),"")</f>
        <v/>
      </c>
    </row>
    <row r="195" spans="16:21" x14ac:dyDescent="0.25">
      <c r="P195" t="str">
        <f>IF(DONNEES_SOURCE!$CA195=TRUE,DONNEES_SOURCE!$BV195,"")</f>
        <v/>
      </c>
      <c r="Q195" t="str">
        <f>IF(DONNEES_SOURCE!$CA195=TRUE,IFERROR(MATCH(DONNEES_SOURCE!$B195,{"2. Très rarement (Moins d'une fois par mois)","3. Rarement (1 à 3 fois par mois)","4. Parfois (Environ une fois par semaine)","5. Régulièrement (Plusieurs fois par semaine)","6. Quotidiennement (Une fois par jour)","7. Très fréquemment (Plusieurs fois par jour)"},0)+1,""),"")</f>
        <v/>
      </c>
      <c r="R195" t="str">
        <f>IF(DONNEES_SOURCE!$CA195=TRUE,DONNEES_SOURCE!$BW195,"")</f>
        <v/>
      </c>
      <c r="S195" t="str">
        <f>IF(DONNEES_SOURCE!$CA195=TRUE,DONNEES_SOURCE!$AU195,"")</f>
        <v/>
      </c>
      <c r="T195" t="str">
        <f>IF(DONNEES_SOURCE!$CA195=TRUE,DONNEES_SOURCE!$BW195,"")</f>
        <v/>
      </c>
      <c r="U195" t="str">
        <f>IF(DONNEES_SOURCE!$CA195=TRUE,IFERROR(MATCH(DONNEES_SOURCE!$B195,{"2. Très rarement (Moins d'une fois par mois)","3. Rarement (1 à 3 fois par mois)","4. Parfois (Environ une fois par semaine)","5. Régulièrement (Plusieurs fois par semaine)","6. Quotidiennement (Une fois par jour)","7. Très fréquemment (Plusieurs fois par jour)"},0)+1,""),"")</f>
        <v/>
      </c>
    </row>
    <row r="196" spans="16:21" x14ac:dyDescent="0.25">
      <c r="P196" t="str">
        <f>IF(DONNEES_SOURCE!$CA196=TRUE,DONNEES_SOURCE!$BV196,"")</f>
        <v/>
      </c>
      <c r="Q196" t="str">
        <f>IF(DONNEES_SOURCE!$CA196=TRUE,IFERROR(MATCH(DONNEES_SOURCE!$B196,{"2. Très rarement (Moins d'une fois par mois)","3. Rarement (1 à 3 fois par mois)","4. Parfois (Environ une fois par semaine)","5. Régulièrement (Plusieurs fois par semaine)","6. Quotidiennement (Une fois par jour)","7. Très fréquemment (Plusieurs fois par jour)"},0)+1,""),"")</f>
        <v/>
      </c>
      <c r="R196" t="str">
        <f>IF(DONNEES_SOURCE!$CA196=TRUE,DONNEES_SOURCE!$BW196,"")</f>
        <v/>
      </c>
      <c r="S196" t="str">
        <f>IF(DONNEES_SOURCE!$CA196=TRUE,DONNEES_SOURCE!$AU196,"")</f>
        <v/>
      </c>
      <c r="T196" t="str">
        <f>IF(DONNEES_SOURCE!$CA196=TRUE,DONNEES_SOURCE!$BW196,"")</f>
        <v/>
      </c>
      <c r="U196" t="str">
        <f>IF(DONNEES_SOURCE!$CA196=TRUE,IFERROR(MATCH(DONNEES_SOURCE!$B196,{"2. Très rarement (Moins d'une fois par mois)","3. Rarement (1 à 3 fois par mois)","4. Parfois (Environ une fois par semaine)","5. Régulièrement (Plusieurs fois par semaine)","6. Quotidiennement (Une fois par jour)","7. Très fréquemment (Plusieurs fois par jour)"},0)+1,""),"")</f>
        <v/>
      </c>
    </row>
    <row r="197" spans="16:21" x14ac:dyDescent="0.25">
      <c r="P197" t="str">
        <f>IF(DONNEES_SOURCE!$CA197=TRUE,DONNEES_SOURCE!$BV197,"")</f>
        <v/>
      </c>
      <c r="Q197" t="str">
        <f>IF(DONNEES_SOURCE!$CA197=TRUE,IFERROR(MATCH(DONNEES_SOURCE!$B197,{"2. Très rarement (Moins d'une fois par mois)","3. Rarement (1 à 3 fois par mois)","4. Parfois (Environ une fois par semaine)","5. Régulièrement (Plusieurs fois par semaine)","6. Quotidiennement (Une fois par jour)","7. Très fréquemment (Plusieurs fois par jour)"},0)+1,""),"")</f>
        <v/>
      </c>
      <c r="R197" t="str">
        <f>IF(DONNEES_SOURCE!$CA197=TRUE,DONNEES_SOURCE!$BW197,"")</f>
        <v/>
      </c>
      <c r="S197" t="str">
        <f>IF(DONNEES_SOURCE!$CA197=TRUE,DONNEES_SOURCE!$AU197,"")</f>
        <v/>
      </c>
      <c r="T197" t="str">
        <f>IF(DONNEES_SOURCE!$CA197=TRUE,DONNEES_SOURCE!$BW197,"")</f>
        <v/>
      </c>
      <c r="U197" t="str">
        <f>IF(DONNEES_SOURCE!$CA197=TRUE,IFERROR(MATCH(DONNEES_SOURCE!$B197,{"2. Très rarement (Moins d'une fois par mois)","3. Rarement (1 à 3 fois par mois)","4. Parfois (Environ une fois par semaine)","5. Régulièrement (Plusieurs fois par semaine)","6. Quotidiennement (Une fois par jour)","7. Très fréquemment (Plusieurs fois par jour)"},0)+1,""),"")</f>
        <v/>
      </c>
    </row>
    <row r="198" spans="16:21" x14ac:dyDescent="0.25">
      <c r="P198" t="str">
        <f>IF(DONNEES_SOURCE!$CA198=TRUE,DONNEES_SOURCE!$BV198,"")</f>
        <v/>
      </c>
      <c r="Q198" t="str">
        <f>IF(DONNEES_SOURCE!$CA198=TRUE,IFERROR(MATCH(DONNEES_SOURCE!$B198,{"2. Très rarement (Moins d'une fois par mois)","3. Rarement (1 à 3 fois par mois)","4. Parfois (Environ une fois par semaine)","5. Régulièrement (Plusieurs fois par semaine)","6. Quotidiennement (Une fois par jour)","7. Très fréquemment (Plusieurs fois par jour)"},0)+1,""),"")</f>
        <v/>
      </c>
      <c r="R198" t="str">
        <f>IF(DONNEES_SOURCE!$CA198=TRUE,DONNEES_SOURCE!$BW198,"")</f>
        <v/>
      </c>
      <c r="S198" t="str">
        <f>IF(DONNEES_SOURCE!$CA198=TRUE,DONNEES_SOURCE!$AU198,"")</f>
        <v/>
      </c>
      <c r="T198" t="str">
        <f>IF(DONNEES_SOURCE!$CA198=TRUE,DONNEES_SOURCE!$BW198,"")</f>
        <v/>
      </c>
      <c r="U198" t="str">
        <f>IF(DONNEES_SOURCE!$CA198=TRUE,IFERROR(MATCH(DONNEES_SOURCE!$B198,{"2. Très rarement (Moins d'une fois par mois)","3. Rarement (1 à 3 fois par mois)","4. Parfois (Environ une fois par semaine)","5. Régulièrement (Plusieurs fois par semaine)","6. Quotidiennement (Une fois par jour)","7. Très fréquemment (Plusieurs fois par jour)"},0)+1,""),"")</f>
        <v/>
      </c>
    </row>
    <row r="199" spans="16:21" x14ac:dyDescent="0.25">
      <c r="P199" t="str">
        <f>IF(DONNEES_SOURCE!$CA199=TRUE,DONNEES_SOURCE!$BV199,"")</f>
        <v/>
      </c>
      <c r="Q199" t="str">
        <f>IF(DONNEES_SOURCE!$CA199=TRUE,IFERROR(MATCH(DONNEES_SOURCE!$B199,{"2. Très rarement (Moins d'une fois par mois)","3. Rarement (1 à 3 fois par mois)","4. Parfois (Environ une fois par semaine)","5. Régulièrement (Plusieurs fois par semaine)","6. Quotidiennement (Une fois par jour)","7. Très fréquemment (Plusieurs fois par jour)"},0)+1,""),"")</f>
        <v/>
      </c>
      <c r="R199" t="str">
        <f>IF(DONNEES_SOURCE!$CA199=TRUE,DONNEES_SOURCE!$BW199,"")</f>
        <v/>
      </c>
      <c r="S199" t="str">
        <f>IF(DONNEES_SOURCE!$CA199=TRUE,DONNEES_SOURCE!$AU199,"")</f>
        <v/>
      </c>
      <c r="T199" t="str">
        <f>IF(DONNEES_SOURCE!$CA199=TRUE,DONNEES_SOURCE!$BW199,"")</f>
        <v/>
      </c>
      <c r="U199" t="str">
        <f>IF(DONNEES_SOURCE!$CA199=TRUE,IFERROR(MATCH(DONNEES_SOURCE!$B199,{"2. Très rarement (Moins d'une fois par mois)","3. Rarement (1 à 3 fois par mois)","4. Parfois (Environ une fois par semaine)","5. Régulièrement (Plusieurs fois par semaine)","6. Quotidiennement (Une fois par jour)","7. Très fréquemment (Plusieurs fois par jour)"},0)+1,""),"")</f>
        <v/>
      </c>
    </row>
    <row r="200" spans="16:21" x14ac:dyDescent="0.25">
      <c r="P200" t="str">
        <f>IF(DONNEES_SOURCE!$CA200=TRUE,DONNEES_SOURCE!$BV200,"")</f>
        <v/>
      </c>
      <c r="Q200" t="str">
        <f>IF(DONNEES_SOURCE!$CA200=TRUE,IFERROR(MATCH(DONNEES_SOURCE!$B200,{"2. Très rarement (Moins d'une fois par mois)","3. Rarement (1 à 3 fois par mois)","4. Parfois (Environ une fois par semaine)","5. Régulièrement (Plusieurs fois par semaine)","6. Quotidiennement (Une fois par jour)","7. Très fréquemment (Plusieurs fois par jour)"},0)+1,""),"")</f>
        <v/>
      </c>
      <c r="R200" t="str">
        <f>IF(DONNEES_SOURCE!$CA200=TRUE,DONNEES_SOURCE!$BW200,"")</f>
        <v/>
      </c>
      <c r="S200" t="str">
        <f>IF(DONNEES_SOURCE!$CA200=TRUE,DONNEES_SOURCE!$AU200,"")</f>
        <v/>
      </c>
      <c r="T200" t="str">
        <f>IF(DONNEES_SOURCE!$CA200=TRUE,DONNEES_SOURCE!$BW200,"")</f>
        <v/>
      </c>
      <c r="U200" t="str">
        <f>IF(DONNEES_SOURCE!$CA200=TRUE,IFERROR(MATCH(DONNEES_SOURCE!$B200,{"2. Très rarement (Moins d'une fois par mois)","3. Rarement (1 à 3 fois par mois)","4. Parfois (Environ une fois par semaine)","5. Régulièrement (Plusieurs fois par semaine)","6. Quotidiennement (Une fois par jour)","7. Très fréquemment (Plusieurs fois par jour)"},0)+1,""),"")</f>
        <v/>
      </c>
    </row>
    <row r="201" spans="16:21" x14ac:dyDescent="0.25">
      <c r="P201" t="str">
        <f>IF(DONNEES_SOURCE!$CA201=TRUE,DONNEES_SOURCE!$BV201,"")</f>
        <v/>
      </c>
      <c r="Q201" t="str">
        <f>IF(DONNEES_SOURCE!$CA201=TRUE,IFERROR(MATCH(DONNEES_SOURCE!$B201,{"2. Très rarement (Moins d'une fois par mois)","3. Rarement (1 à 3 fois par mois)","4. Parfois (Environ une fois par semaine)","5. Régulièrement (Plusieurs fois par semaine)","6. Quotidiennement (Une fois par jour)","7. Très fréquemment (Plusieurs fois par jour)"},0)+1,""),"")</f>
        <v/>
      </c>
      <c r="R201" t="str">
        <f>IF(DONNEES_SOURCE!$CA201=TRUE,DONNEES_SOURCE!$BW201,"")</f>
        <v/>
      </c>
      <c r="S201" t="str">
        <f>IF(DONNEES_SOURCE!$CA201=TRUE,DONNEES_SOURCE!$AU201,"")</f>
        <v/>
      </c>
      <c r="T201" t="str">
        <f>IF(DONNEES_SOURCE!$CA201=TRUE,DONNEES_SOURCE!$BW201,"")</f>
        <v/>
      </c>
      <c r="U201" t="str">
        <f>IF(DONNEES_SOURCE!$CA201=TRUE,IFERROR(MATCH(DONNEES_SOURCE!$B201,{"2. Très rarement (Moins d'une fois par mois)","3. Rarement (1 à 3 fois par mois)","4. Parfois (Environ une fois par semaine)","5. Régulièrement (Plusieurs fois par semaine)","6. Quotidiennement (Une fois par jour)","7. Très fréquemment (Plusieurs fois par jour)"},0)+1,""),"")</f>
        <v/>
      </c>
    </row>
    <row r="202" spans="16:21" x14ac:dyDescent="0.25">
      <c r="P202" t="str">
        <f>IF(DONNEES_SOURCE!$CA202=TRUE,DONNEES_SOURCE!$BV202,"")</f>
        <v/>
      </c>
      <c r="Q202" t="str">
        <f>IF(DONNEES_SOURCE!$CA202=TRUE,IFERROR(MATCH(DONNEES_SOURCE!$B202,{"2. Très rarement (Moins d'une fois par mois)","3. Rarement (1 à 3 fois par mois)","4. Parfois (Environ une fois par semaine)","5. Régulièrement (Plusieurs fois par semaine)","6. Quotidiennement (Une fois par jour)","7. Très fréquemment (Plusieurs fois par jour)"},0)+1,""),"")</f>
        <v/>
      </c>
      <c r="R202" t="str">
        <f>IF(DONNEES_SOURCE!$CA202=TRUE,DONNEES_SOURCE!$BW202,"")</f>
        <v/>
      </c>
      <c r="S202" t="str">
        <f>IF(DONNEES_SOURCE!$CA202=TRUE,DONNEES_SOURCE!$AU202,"")</f>
        <v/>
      </c>
      <c r="T202" t="str">
        <f>IF(DONNEES_SOURCE!$CA202=TRUE,DONNEES_SOURCE!$BW202,"")</f>
        <v/>
      </c>
      <c r="U202" t="str">
        <f>IF(DONNEES_SOURCE!$CA202=TRUE,IFERROR(MATCH(DONNEES_SOURCE!$B202,{"2. Très rarement (Moins d'une fois par mois)","3. Rarement (1 à 3 fois par mois)","4. Parfois (Environ une fois par semaine)","5. Régulièrement (Plusieurs fois par semaine)","6. Quotidiennement (Une fois par jour)","7. Très fréquemment (Plusieurs fois par jour)"},0)+1,""),"")</f>
        <v/>
      </c>
    </row>
    <row r="203" spans="16:21" x14ac:dyDescent="0.25">
      <c r="P203" t="str">
        <f>IF(DONNEES_SOURCE!$CA203=TRUE,DONNEES_SOURCE!$BV203,"")</f>
        <v/>
      </c>
      <c r="Q203" t="str">
        <f>IF(DONNEES_SOURCE!$CA203=TRUE,IFERROR(MATCH(DONNEES_SOURCE!$B203,{"2. Très rarement (Moins d'une fois par mois)","3. Rarement (1 à 3 fois par mois)","4. Parfois (Environ une fois par semaine)","5. Régulièrement (Plusieurs fois par semaine)","6. Quotidiennement (Une fois par jour)","7. Très fréquemment (Plusieurs fois par jour)"},0)+1,""),"")</f>
        <v/>
      </c>
      <c r="R203" t="str">
        <f>IF(DONNEES_SOURCE!$CA203=TRUE,DONNEES_SOURCE!$BW203,"")</f>
        <v/>
      </c>
      <c r="S203" t="str">
        <f>IF(DONNEES_SOURCE!$CA203=TRUE,DONNEES_SOURCE!$AU203,"")</f>
        <v/>
      </c>
      <c r="T203" t="str">
        <f>IF(DONNEES_SOURCE!$CA203=TRUE,DONNEES_SOURCE!$BW203,"")</f>
        <v/>
      </c>
      <c r="U203" t="str">
        <f>IF(DONNEES_SOURCE!$CA203=TRUE,IFERROR(MATCH(DONNEES_SOURCE!$B203,{"2. Très rarement (Moins d'une fois par mois)","3. Rarement (1 à 3 fois par mois)","4. Parfois (Environ une fois par semaine)","5. Régulièrement (Plusieurs fois par semaine)","6. Quotidiennement (Une fois par jour)","7. Très fréquemment (Plusieurs fois par jour)"},0)+1,""),"")</f>
        <v/>
      </c>
    </row>
    <row r="204" spans="16:21" x14ac:dyDescent="0.25">
      <c r="P204" t="str">
        <f>IF(DONNEES_SOURCE!$CA204=TRUE,DONNEES_SOURCE!$BV204,"")</f>
        <v/>
      </c>
      <c r="Q204" t="str">
        <f>IF(DONNEES_SOURCE!$CA204=TRUE,IFERROR(MATCH(DONNEES_SOURCE!$B204,{"2. Très rarement (Moins d'une fois par mois)","3. Rarement (1 à 3 fois par mois)","4. Parfois (Environ une fois par semaine)","5. Régulièrement (Plusieurs fois par semaine)","6. Quotidiennement (Une fois par jour)","7. Très fréquemment (Plusieurs fois par jour)"},0)+1,""),"")</f>
        <v/>
      </c>
      <c r="R204" t="str">
        <f>IF(DONNEES_SOURCE!$CA204=TRUE,DONNEES_SOURCE!$BW204,"")</f>
        <v/>
      </c>
      <c r="S204" t="str">
        <f>IF(DONNEES_SOURCE!$CA204=TRUE,DONNEES_SOURCE!$AU204,"")</f>
        <v/>
      </c>
      <c r="T204" t="str">
        <f>IF(DONNEES_SOURCE!$CA204=TRUE,DONNEES_SOURCE!$BW204,"")</f>
        <v/>
      </c>
      <c r="U204" t="str">
        <f>IF(DONNEES_SOURCE!$CA204=TRUE,IFERROR(MATCH(DONNEES_SOURCE!$B204,{"2. Très rarement (Moins d'une fois par mois)","3. Rarement (1 à 3 fois par mois)","4. Parfois (Environ une fois par semaine)","5. Régulièrement (Plusieurs fois par semaine)","6. Quotidiennement (Une fois par jour)","7. Très fréquemment (Plusieurs fois par jour)"},0)+1,""),"")</f>
        <v/>
      </c>
    </row>
    <row r="205" spans="16:21" x14ac:dyDescent="0.25">
      <c r="P205" t="str">
        <f>IF(DONNEES_SOURCE!$CA205=TRUE,DONNEES_SOURCE!$BV205,"")</f>
        <v/>
      </c>
      <c r="Q205" t="str">
        <f>IF(DONNEES_SOURCE!$CA205=TRUE,IFERROR(MATCH(DONNEES_SOURCE!$B205,{"2. Très rarement (Moins d'une fois par mois)","3. Rarement (1 à 3 fois par mois)","4. Parfois (Environ une fois par semaine)","5. Régulièrement (Plusieurs fois par semaine)","6. Quotidiennement (Une fois par jour)","7. Très fréquemment (Plusieurs fois par jour)"},0)+1,""),"")</f>
        <v/>
      </c>
      <c r="R205" t="str">
        <f>IF(DONNEES_SOURCE!$CA205=TRUE,DONNEES_SOURCE!$BW205,"")</f>
        <v/>
      </c>
      <c r="S205" t="str">
        <f>IF(DONNEES_SOURCE!$CA205=TRUE,DONNEES_SOURCE!$AU205,"")</f>
        <v/>
      </c>
      <c r="T205" t="str">
        <f>IF(DONNEES_SOURCE!$CA205=TRUE,DONNEES_SOURCE!$BW205,"")</f>
        <v/>
      </c>
      <c r="U205" t="str">
        <f>IF(DONNEES_SOURCE!$CA205=TRUE,IFERROR(MATCH(DONNEES_SOURCE!$B205,{"2. Très rarement (Moins d'une fois par mois)","3. Rarement (1 à 3 fois par mois)","4. Parfois (Environ une fois par semaine)","5. Régulièrement (Plusieurs fois par semaine)","6. Quotidiennement (Une fois par jour)","7. Très fréquemment (Plusieurs fois par jour)"},0)+1,""),"")</f>
        <v/>
      </c>
    </row>
    <row r="206" spans="16:21" x14ac:dyDescent="0.25">
      <c r="P206" t="str">
        <f>IF(DONNEES_SOURCE!$CA206=TRUE,DONNEES_SOURCE!$BV206,"")</f>
        <v/>
      </c>
      <c r="Q206" t="str">
        <f>IF(DONNEES_SOURCE!$CA206=TRUE,IFERROR(MATCH(DONNEES_SOURCE!$B206,{"2. Très rarement (Moins d'une fois par mois)","3. Rarement (1 à 3 fois par mois)","4. Parfois (Environ une fois par semaine)","5. Régulièrement (Plusieurs fois par semaine)","6. Quotidiennement (Une fois par jour)","7. Très fréquemment (Plusieurs fois par jour)"},0)+1,""),"")</f>
        <v/>
      </c>
      <c r="R206" t="str">
        <f>IF(DONNEES_SOURCE!$CA206=TRUE,DONNEES_SOURCE!$BW206,"")</f>
        <v/>
      </c>
      <c r="S206" t="str">
        <f>IF(DONNEES_SOURCE!$CA206=TRUE,DONNEES_SOURCE!$AU206,"")</f>
        <v/>
      </c>
      <c r="T206" t="str">
        <f>IF(DONNEES_SOURCE!$CA206=TRUE,DONNEES_SOURCE!$BW206,"")</f>
        <v/>
      </c>
      <c r="U206" t="str">
        <f>IF(DONNEES_SOURCE!$CA206=TRUE,IFERROR(MATCH(DONNEES_SOURCE!$B206,{"2. Très rarement (Moins d'une fois par mois)","3. Rarement (1 à 3 fois par mois)","4. Parfois (Environ une fois par semaine)","5. Régulièrement (Plusieurs fois par semaine)","6. Quotidiennement (Une fois par jour)","7. Très fréquemment (Plusieurs fois par jour)"},0)+1,""),"")</f>
        <v/>
      </c>
    </row>
    <row r="207" spans="16:21" x14ac:dyDescent="0.25">
      <c r="P207" t="str">
        <f>IF(DONNEES_SOURCE!$CA207=TRUE,DONNEES_SOURCE!$BV207,"")</f>
        <v/>
      </c>
      <c r="Q207" t="str">
        <f>IF(DONNEES_SOURCE!$CA207=TRUE,IFERROR(MATCH(DONNEES_SOURCE!$B207,{"2. Très rarement (Moins d'une fois par mois)","3. Rarement (1 à 3 fois par mois)","4. Parfois (Environ une fois par semaine)","5. Régulièrement (Plusieurs fois par semaine)","6. Quotidiennement (Une fois par jour)","7. Très fréquemment (Plusieurs fois par jour)"},0)+1,""),"")</f>
        <v/>
      </c>
      <c r="R207" t="str">
        <f>IF(DONNEES_SOURCE!$CA207=TRUE,DONNEES_SOURCE!$BW207,"")</f>
        <v/>
      </c>
      <c r="S207" t="str">
        <f>IF(DONNEES_SOURCE!$CA207=TRUE,DONNEES_SOURCE!$AU207,"")</f>
        <v/>
      </c>
      <c r="T207" t="str">
        <f>IF(DONNEES_SOURCE!$CA207=TRUE,DONNEES_SOURCE!$BW207,"")</f>
        <v/>
      </c>
      <c r="U207" t="str">
        <f>IF(DONNEES_SOURCE!$CA207=TRUE,IFERROR(MATCH(DONNEES_SOURCE!$B207,{"2. Très rarement (Moins d'une fois par mois)","3. Rarement (1 à 3 fois par mois)","4. Parfois (Environ une fois par semaine)","5. Régulièrement (Plusieurs fois par semaine)","6. Quotidiennement (Une fois par jour)","7. Très fréquemment (Plusieurs fois par jour)"},0)+1,""),"")</f>
        <v/>
      </c>
    </row>
    <row r="208" spans="16:21" x14ac:dyDescent="0.25">
      <c r="P208" t="str">
        <f>IF(DONNEES_SOURCE!$CA208=TRUE,DONNEES_SOURCE!$BV208,"")</f>
        <v/>
      </c>
      <c r="Q208" t="str">
        <f>IF(DONNEES_SOURCE!$CA208=TRUE,IFERROR(MATCH(DONNEES_SOURCE!$B208,{"2. Très rarement (Moins d'une fois par mois)","3. Rarement (1 à 3 fois par mois)","4. Parfois (Environ une fois par semaine)","5. Régulièrement (Plusieurs fois par semaine)","6. Quotidiennement (Une fois par jour)","7. Très fréquemment (Plusieurs fois par jour)"},0)+1,""),"")</f>
        <v/>
      </c>
      <c r="R208" t="str">
        <f>IF(DONNEES_SOURCE!$CA208=TRUE,DONNEES_SOURCE!$BW208,"")</f>
        <v/>
      </c>
      <c r="S208" t="str">
        <f>IF(DONNEES_SOURCE!$CA208=TRUE,DONNEES_SOURCE!$AU208,"")</f>
        <v/>
      </c>
      <c r="T208" t="str">
        <f>IF(DONNEES_SOURCE!$CA208=TRUE,DONNEES_SOURCE!$BW208,"")</f>
        <v/>
      </c>
      <c r="U208" t="str">
        <f>IF(DONNEES_SOURCE!$CA208=TRUE,IFERROR(MATCH(DONNEES_SOURCE!$B208,{"2. Très rarement (Moins d'une fois par mois)","3. Rarement (1 à 3 fois par mois)","4. Parfois (Environ une fois par semaine)","5. Régulièrement (Plusieurs fois par semaine)","6. Quotidiennement (Une fois par jour)","7. Très fréquemment (Plusieurs fois par jour)"},0)+1,""),"")</f>
        <v/>
      </c>
    </row>
    <row r="209" spans="16:21" x14ac:dyDescent="0.25">
      <c r="P209" t="str">
        <f>IF(DONNEES_SOURCE!$CA209=TRUE,DONNEES_SOURCE!$BV209,"")</f>
        <v/>
      </c>
      <c r="Q209" t="str">
        <f>IF(DONNEES_SOURCE!$CA209=TRUE,IFERROR(MATCH(DONNEES_SOURCE!$B209,{"2. Très rarement (Moins d'une fois par mois)","3. Rarement (1 à 3 fois par mois)","4. Parfois (Environ une fois par semaine)","5. Régulièrement (Plusieurs fois par semaine)","6. Quotidiennement (Une fois par jour)","7. Très fréquemment (Plusieurs fois par jour)"},0)+1,""),"")</f>
        <v/>
      </c>
      <c r="R209" t="str">
        <f>IF(DONNEES_SOURCE!$CA209=TRUE,DONNEES_SOURCE!$BW209,"")</f>
        <v/>
      </c>
      <c r="S209" t="str">
        <f>IF(DONNEES_SOURCE!$CA209=TRUE,DONNEES_SOURCE!$AU209,"")</f>
        <v/>
      </c>
      <c r="T209" t="str">
        <f>IF(DONNEES_SOURCE!$CA209=TRUE,DONNEES_SOURCE!$BW209,"")</f>
        <v/>
      </c>
      <c r="U209" t="str">
        <f>IF(DONNEES_SOURCE!$CA209=TRUE,IFERROR(MATCH(DONNEES_SOURCE!$B209,{"2. Très rarement (Moins d'une fois par mois)","3. Rarement (1 à 3 fois par mois)","4. Parfois (Environ une fois par semaine)","5. Régulièrement (Plusieurs fois par semaine)","6. Quotidiennement (Une fois par jour)","7. Très fréquemment (Plusieurs fois par jour)"},0)+1,""),"")</f>
        <v/>
      </c>
    </row>
    <row r="210" spans="16:21" x14ac:dyDescent="0.25">
      <c r="P210" t="str">
        <f>IF(DONNEES_SOURCE!$CA210=TRUE,DONNEES_SOURCE!$BV210,"")</f>
        <v/>
      </c>
      <c r="Q210" t="str">
        <f>IF(DONNEES_SOURCE!$CA210=TRUE,IFERROR(MATCH(DONNEES_SOURCE!$B210,{"2. Très rarement (Moins d'une fois par mois)","3. Rarement (1 à 3 fois par mois)","4. Parfois (Environ une fois par semaine)","5. Régulièrement (Plusieurs fois par semaine)","6. Quotidiennement (Une fois par jour)","7. Très fréquemment (Plusieurs fois par jour)"},0)+1,""),"")</f>
        <v/>
      </c>
      <c r="R210" t="str">
        <f>IF(DONNEES_SOURCE!$CA210=TRUE,DONNEES_SOURCE!$BW210,"")</f>
        <v/>
      </c>
      <c r="S210" t="str">
        <f>IF(DONNEES_SOURCE!$CA210=TRUE,DONNEES_SOURCE!$AU210,"")</f>
        <v/>
      </c>
      <c r="T210" t="str">
        <f>IF(DONNEES_SOURCE!$CA210=TRUE,DONNEES_SOURCE!$BW210,"")</f>
        <v/>
      </c>
      <c r="U210" t="str">
        <f>IF(DONNEES_SOURCE!$CA210=TRUE,IFERROR(MATCH(DONNEES_SOURCE!$B210,{"2. Très rarement (Moins d'une fois par mois)","3. Rarement (1 à 3 fois par mois)","4. Parfois (Environ une fois par semaine)","5. Régulièrement (Plusieurs fois par semaine)","6. Quotidiennement (Une fois par jour)","7. Très fréquemment (Plusieurs fois par jour)"},0)+1,""),"")</f>
        <v/>
      </c>
    </row>
    <row r="211" spans="16:21" x14ac:dyDescent="0.25">
      <c r="P211" t="str">
        <f>IF(DONNEES_SOURCE!$CA211=TRUE,DONNEES_SOURCE!$BV211,"")</f>
        <v/>
      </c>
      <c r="Q211" t="str">
        <f>IF(DONNEES_SOURCE!$CA211=TRUE,IFERROR(MATCH(DONNEES_SOURCE!$B211,{"2. Très rarement (Moins d'une fois par mois)","3. Rarement (1 à 3 fois par mois)","4. Parfois (Environ une fois par semaine)","5. Régulièrement (Plusieurs fois par semaine)","6. Quotidiennement (Une fois par jour)","7. Très fréquemment (Plusieurs fois par jour)"},0)+1,""),"")</f>
        <v/>
      </c>
      <c r="R211" t="str">
        <f>IF(DONNEES_SOURCE!$CA211=TRUE,DONNEES_SOURCE!$BW211,"")</f>
        <v/>
      </c>
      <c r="S211" t="str">
        <f>IF(DONNEES_SOURCE!$CA211=TRUE,DONNEES_SOURCE!$AU211,"")</f>
        <v/>
      </c>
      <c r="T211" t="str">
        <f>IF(DONNEES_SOURCE!$CA211=TRUE,DONNEES_SOURCE!$BW211,"")</f>
        <v/>
      </c>
      <c r="U211" t="str">
        <f>IF(DONNEES_SOURCE!$CA211=TRUE,IFERROR(MATCH(DONNEES_SOURCE!$B211,{"2. Très rarement (Moins d'une fois par mois)","3. Rarement (1 à 3 fois par mois)","4. Parfois (Environ une fois par semaine)","5. Régulièrement (Plusieurs fois par semaine)","6. Quotidiennement (Une fois par jour)","7. Très fréquemment (Plusieurs fois par jour)"},0)+1,""),"")</f>
        <v/>
      </c>
    </row>
    <row r="212" spans="16:21" x14ac:dyDescent="0.25">
      <c r="P212" t="str">
        <f>IF(DONNEES_SOURCE!$CA212=TRUE,DONNEES_SOURCE!$BV212,"")</f>
        <v/>
      </c>
      <c r="Q212" t="str">
        <f>IF(DONNEES_SOURCE!$CA212=TRUE,IFERROR(MATCH(DONNEES_SOURCE!$B212,{"2. Très rarement (Moins d'une fois par mois)","3. Rarement (1 à 3 fois par mois)","4. Parfois (Environ une fois par semaine)","5. Régulièrement (Plusieurs fois par semaine)","6. Quotidiennement (Une fois par jour)","7. Très fréquemment (Plusieurs fois par jour)"},0)+1,""),"")</f>
        <v/>
      </c>
      <c r="R212" t="str">
        <f>IF(DONNEES_SOURCE!$CA212=TRUE,DONNEES_SOURCE!$BW212,"")</f>
        <v/>
      </c>
      <c r="S212" t="str">
        <f>IF(DONNEES_SOURCE!$CA212=TRUE,DONNEES_SOURCE!$AU212,"")</f>
        <v/>
      </c>
      <c r="T212" t="str">
        <f>IF(DONNEES_SOURCE!$CA212=TRUE,DONNEES_SOURCE!$BW212,"")</f>
        <v/>
      </c>
      <c r="U212" t="str">
        <f>IF(DONNEES_SOURCE!$CA212=TRUE,IFERROR(MATCH(DONNEES_SOURCE!$B212,{"2. Très rarement (Moins d'une fois par mois)","3. Rarement (1 à 3 fois par mois)","4. Parfois (Environ une fois par semaine)","5. Régulièrement (Plusieurs fois par semaine)","6. Quotidiennement (Une fois par jour)","7. Très fréquemment (Plusieurs fois par jour)"},0)+1,""),"")</f>
        <v/>
      </c>
    </row>
    <row r="213" spans="16:21" x14ac:dyDescent="0.25">
      <c r="P213" t="str">
        <f>IF(DONNEES_SOURCE!$CA213=TRUE,DONNEES_SOURCE!$BV213,"")</f>
        <v/>
      </c>
      <c r="Q213" t="str">
        <f>IF(DONNEES_SOURCE!$CA213=TRUE,IFERROR(MATCH(DONNEES_SOURCE!$B213,{"2. Très rarement (Moins d'une fois par mois)","3. Rarement (1 à 3 fois par mois)","4. Parfois (Environ une fois par semaine)","5. Régulièrement (Plusieurs fois par semaine)","6. Quotidiennement (Une fois par jour)","7. Très fréquemment (Plusieurs fois par jour)"},0)+1,""),"")</f>
        <v/>
      </c>
      <c r="R213" t="str">
        <f>IF(DONNEES_SOURCE!$CA213=TRUE,DONNEES_SOURCE!$BW213,"")</f>
        <v/>
      </c>
      <c r="S213" t="str">
        <f>IF(DONNEES_SOURCE!$CA213=TRUE,DONNEES_SOURCE!$AU213,"")</f>
        <v/>
      </c>
      <c r="T213" t="str">
        <f>IF(DONNEES_SOURCE!$CA213=TRUE,DONNEES_SOURCE!$BW213,"")</f>
        <v/>
      </c>
      <c r="U213" t="str">
        <f>IF(DONNEES_SOURCE!$CA213=TRUE,IFERROR(MATCH(DONNEES_SOURCE!$B213,{"2. Très rarement (Moins d'une fois par mois)","3. Rarement (1 à 3 fois par mois)","4. Parfois (Environ une fois par semaine)","5. Régulièrement (Plusieurs fois par semaine)","6. Quotidiennement (Une fois par jour)","7. Très fréquemment (Plusieurs fois par jour)"},0)+1,""),"")</f>
        <v/>
      </c>
    </row>
    <row r="214" spans="16:21" x14ac:dyDescent="0.25">
      <c r="P214" t="str">
        <f>IF(DONNEES_SOURCE!$CA214=TRUE,DONNEES_SOURCE!$BV214,"")</f>
        <v/>
      </c>
      <c r="Q214" t="str">
        <f>IF(DONNEES_SOURCE!$CA214=TRUE,IFERROR(MATCH(DONNEES_SOURCE!$B214,{"2. Très rarement (Moins d'une fois par mois)","3. Rarement (1 à 3 fois par mois)","4. Parfois (Environ une fois par semaine)","5. Régulièrement (Plusieurs fois par semaine)","6. Quotidiennement (Une fois par jour)","7. Très fréquemment (Plusieurs fois par jour)"},0)+1,""),"")</f>
        <v/>
      </c>
      <c r="R214" t="str">
        <f>IF(DONNEES_SOURCE!$CA214=TRUE,DONNEES_SOURCE!$BW214,"")</f>
        <v/>
      </c>
      <c r="S214" t="str">
        <f>IF(DONNEES_SOURCE!$CA214=TRUE,DONNEES_SOURCE!$AU214,"")</f>
        <v/>
      </c>
      <c r="T214" t="str">
        <f>IF(DONNEES_SOURCE!$CA214=TRUE,DONNEES_SOURCE!$BW214,"")</f>
        <v/>
      </c>
      <c r="U214" t="str">
        <f>IF(DONNEES_SOURCE!$CA214=TRUE,IFERROR(MATCH(DONNEES_SOURCE!$B214,{"2. Très rarement (Moins d'une fois par mois)","3. Rarement (1 à 3 fois par mois)","4. Parfois (Environ une fois par semaine)","5. Régulièrement (Plusieurs fois par semaine)","6. Quotidiennement (Une fois par jour)","7. Très fréquemment (Plusieurs fois par jour)"},0)+1,""),"")</f>
        <v/>
      </c>
    </row>
    <row r="215" spans="16:21" x14ac:dyDescent="0.25">
      <c r="P215" t="str">
        <f>IF(DONNEES_SOURCE!$CA215=TRUE,DONNEES_SOURCE!$BV215,"")</f>
        <v/>
      </c>
      <c r="Q215" t="str">
        <f>IF(DONNEES_SOURCE!$CA215=TRUE,IFERROR(MATCH(DONNEES_SOURCE!$B215,{"2. Très rarement (Moins d'une fois par mois)","3. Rarement (1 à 3 fois par mois)","4. Parfois (Environ une fois par semaine)","5. Régulièrement (Plusieurs fois par semaine)","6. Quotidiennement (Une fois par jour)","7. Très fréquemment (Plusieurs fois par jour)"},0)+1,""),"")</f>
        <v/>
      </c>
      <c r="R215" t="str">
        <f>IF(DONNEES_SOURCE!$CA215=TRUE,DONNEES_SOURCE!$BW215,"")</f>
        <v/>
      </c>
      <c r="S215" t="str">
        <f>IF(DONNEES_SOURCE!$CA215=TRUE,DONNEES_SOURCE!$AU215,"")</f>
        <v/>
      </c>
      <c r="T215" t="str">
        <f>IF(DONNEES_SOURCE!$CA215=TRUE,DONNEES_SOURCE!$BW215,"")</f>
        <v/>
      </c>
      <c r="U215" t="str">
        <f>IF(DONNEES_SOURCE!$CA215=TRUE,IFERROR(MATCH(DONNEES_SOURCE!$B215,{"2. Très rarement (Moins d'une fois par mois)","3. Rarement (1 à 3 fois par mois)","4. Parfois (Environ une fois par semaine)","5. Régulièrement (Plusieurs fois par semaine)","6. Quotidiennement (Une fois par jour)","7. Très fréquemment (Plusieurs fois par jour)"},0)+1,""),"")</f>
        <v/>
      </c>
    </row>
    <row r="216" spans="16:21" x14ac:dyDescent="0.25">
      <c r="P216" t="str">
        <f>IF(DONNEES_SOURCE!$CA216=TRUE,DONNEES_SOURCE!$BV216,"")</f>
        <v/>
      </c>
      <c r="Q216" t="str">
        <f>IF(DONNEES_SOURCE!$CA216=TRUE,IFERROR(MATCH(DONNEES_SOURCE!$B216,{"2. Très rarement (Moins d'une fois par mois)","3. Rarement (1 à 3 fois par mois)","4. Parfois (Environ une fois par semaine)","5. Régulièrement (Plusieurs fois par semaine)","6. Quotidiennement (Une fois par jour)","7. Très fréquemment (Plusieurs fois par jour)"},0)+1,""),"")</f>
        <v/>
      </c>
      <c r="R216" t="str">
        <f>IF(DONNEES_SOURCE!$CA216=TRUE,DONNEES_SOURCE!$BW216,"")</f>
        <v/>
      </c>
      <c r="S216" t="str">
        <f>IF(DONNEES_SOURCE!$CA216=TRUE,DONNEES_SOURCE!$AU216,"")</f>
        <v/>
      </c>
      <c r="T216" t="str">
        <f>IF(DONNEES_SOURCE!$CA216=TRUE,DONNEES_SOURCE!$BW216,"")</f>
        <v/>
      </c>
      <c r="U216" t="str">
        <f>IF(DONNEES_SOURCE!$CA216=TRUE,IFERROR(MATCH(DONNEES_SOURCE!$B216,{"2. Très rarement (Moins d'une fois par mois)","3. Rarement (1 à 3 fois par mois)","4. Parfois (Environ une fois par semaine)","5. Régulièrement (Plusieurs fois par semaine)","6. Quotidiennement (Une fois par jour)","7. Très fréquemment (Plusieurs fois par jour)"},0)+1,""),"")</f>
        <v/>
      </c>
    </row>
    <row r="217" spans="16:21" x14ac:dyDescent="0.25">
      <c r="P217" t="str">
        <f>IF(DONNEES_SOURCE!$CA217=TRUE,DONNEES_SOURCE!$BV217,"")</f>
        <v/>
      </c>
      <c r="Q217" t="str">
        <f>IF(DONNEES_SOURCE!$CA217=TRUE,IFERROR(MATCH(DONNEES_SOURCE!$B217,{"2. Très rarement (Moins d'une fois par mois)","3. Rarement (1 à 3 fois par mois)","4. Parfois (Environ une fois par semaine)","5. Régulièrement (Plusieurs fois par semaine)","6. Quotidiennement (Une fois par jour)","7. Très fréquemment (Plusieurs fois par jour)"},0)+1,""),"")</f>
        <v/>
      </c>
      <c r="R217" t="str">
        <f>IF(DONNEES_SOURCE!$CA217=TRUE,DONNEES_SOURCE!$BW217,"")</f>
        <v/>
      </c>
      <c r="S217" t="str">
        <f>IF(DONNEES_SOURCE!$CA217=TRUE,DONNEES_SOURCE!$AU217,"")</f>
        <v/>
      </c>
      <c r="T217" t="str">
        <f>IF(DONNEES_SOURCE!$CA217=TRUE,DONNEES_SOURCE!$BW217,"")</f>
        <v/>
      </c>
      <c r="U217" t="str">
        <f>IF(DONNEES_SOURCE!$CA217=TRUE,IFERROR(MATCH(DONNEES_SOURCE!$B217,{"2. Très rarement (Moins d'une fois par mois)","3. Rarement (1 à 3 fois par mois)","4. Parfois (Environ une fois par semaine)","5. Régulièrement (Plusieurs fois par semaine)","6. Quotidiennement (Une fois par jour)","7. Très fréquemment (Plusieurs fois par jour)"},0)+1,""),"")</f>
        <v/>
      </c>
    </row>
    <row r="218" spans="16:21" x14ac:dyDescent="0.25">
      <c r="P218" t="str">
        <f>IF(DONNEES_SOURCE!$CA218=TRUE,DONNEES_SOURCE!$BV218,"")</f>
        <v/>
      </c>
      <c r="Q218" t="str">
        <f>IF(DONNEES_SOURCE!$CA218=TRUE,IFERROR(MATCH(DONNEES_SOURCE!$B218,{"2. Très rarement (Moins d'une fois par mois)","3. Rarement (1 à 3 fois par mois)","4. Parfois (Environ une fois par semaine)","5. Régulièrement (Plusieurs fois par semaine)","6. Quotidiennement (Une fois par jour)","7. Très fréquemment (Plusieurs fois par jour)"},0)+1,""),"")</f>
        <v/>
      </c>
      <c r="R218" t="str">
        <f>IF(DONNEES_SOURCE!$CA218=TRUE,DONNEES_SOURCE!$BW218,"")</f>
        <v/>
      </c>
      <c r="S218" t="str">
        <f>IF(DONNEES_SOURCE!$CA218=TRUE,DONNEES_SOURCE!$AU218,"")</f>
        <v/>
      </c>
      <c r="T218" t="str">
        <f>IF(DONNEES_SOURCE!$CA218=TRUE,DONNEES_SOURCE!$BW218,"")</f>
        <v/>
      </c>
      <c r="U218" t="str">
        <f>IF(DONNEES_SOURCE!$CA218=TRUE,IFERROR(MATCH(DONNEES_SOURCE!$B218,{"2. Très rarement (Moins d'une fois par mois)","3. Rarement (1 à 3 fois par mois)","4. Parfois (Environ une fois par semaine)","5. Régulièrement (Plusieurs fois par semaine)","6. Quotidiennement (Une fois par jour)","7. Très fréquemment (Plusieurs fois par jour)"},0)+1,""),"")</f>
        <v/>
      </c>
    </row>
    <row r="219" spans="16:21" x14ac:dyDescent="0.25">
      <c r="P219" t="str">
        <f>IF(DONNEES_SOURCE!$CA219=TRUE,DONNEES_SOURCE!$BV219,"")</f>
        <v/>
      </c>
      <c r="Q219" t="str">
        <f>IF(DONNEES_SOURCE!$CA219=TRUE,IFERROR(MATCH(DONNEES_SOURCE!$B219,{"2. Très rarement (Moins d'une fois par mois)","3. Rarement (1 à 3 fois par mois)","4. Parfois (Environ une fois par semaine)","5. Régulièrement (Plusieurs fois par semaine)","6. Quotidiennement (Une fois par jour)","7. Très fréquemment (Plusieurs fois par jour)"},0)+1,""),"")</f>
        <v/>
      </c>
      <c r="R219" t="str">
        <f>IF(DONNEES_SOURCE!$CA219=TRUE,DONNEES_SOURCE!$BW219,"")</f>
        <v/>
      </c>
      <c r="S219" t="str">
        <f>IF(DONNEES_SOURCE!$CA219=TRUE,DONNEES_SOURCE!$AU219,"")</f>
        <v/>
      </c>
      <c r="T219" t="str">
        <f>IF(DONNEES_SOURCE!$CA219=TRUE,DONNEES_SOURCE!$BW219,"")</f>
        <v/>
      </c>
      <c r="U219" t="str">
        <f>IF(DONNEES_SOURCE!$CA219=TRUE,IFERROR(MATCH(DONNEES_SOURCE!$B219,{"2. Très rarement (Moins d'une fois par mois)","3. Rarement (1 à 3 fois par mois)","4. Parfois (Environ une fois par semaine)","5. Régulièrement (Plusieurs fois par semaine)","6. Quotidiennement (Une fois par jour)","7. Très fréquemment (Plusieurs fois par jour)"},0)+1,""),"")</f>
        <v/>
      </c>
    </row>
    <row r="220" spans="16:21" x14ac:dyDescent="0.25">
      <c r="P220" t="str">
        <f>IF(DONNEES_SOURCE!$CA220=TRUE,DONNEES_SOURCE!$BV220,"")</f>
        <v/>
      </c>
      <c r="Q220" t="str">
        <f>IF(DONNEES_SOURCE!$CA220=TRUE,IFERROR(MATCH(DONNEES_SOURCE!$B220,{"2. Très rarement (Moins d'une fois par mois)","3. Rarement (1 à 3 fois par mois)","4. Parfois (Environ une fois par semaine)","5. Régulièrement (Plusieurs fois par semaine)","6. Quotidiennement (Une fois par jour)","7. Très fréquemment (Plusieurs fois par jour)"},0)+1,""),"")</f>
        <v/>
      </c>
      <c r="R220" t="str">
        <f>IF(DONNEES_SOURCE!$CA220=TRUE,DONNEES_SOURCE!$BW220,"")</f>
        <v/>
      </c>
      <c r="S220" t="str">
        <f>IF(DONNEES_SOURCE!$CA220=TRUE,DONNEES_SOURCE!$AU220,"")</f>
        <v/>
      </c>
      <c r="T220" t="str">
        <f>IF(DONNEES_SOURCE!$CA220=TRUE,DONNEES_SOURCE!$BW220,"")</f>
        <v/>
      </c>
      <c r="U220" t="str">
        <f>IF(DONNEES_SOURCE!$CA220=TRUE,IFERROR(MATCH(DONNEES_SOURCE!$B220,{"2. Très rarement (Moins d'une fois par mois)","3. Rarement (1 à 3 fois par mois)","4. Parfois (Environ une fois par semaine)","5. Régulièrement (Plusieurs fois par semaine)","6. Quotidiennement (Une fois par jour)","7. Très fréquemment (Plusieurs fois par jour)"},0)+1,""),"")</f>
        <v/>
      </c>
    </row>
    <row r="221" spans="16:21" x14ac:dyDescent="0.25">
      <c r="P221" t="str">
        <f>IF(DONNEES_SOURCE!$CA221=TRUE,DONNEES_SOURCE!$BV221,"")</f>
        <v/>
      </c>
      <c r="Q221" t="str">
        <f>IF(DONNEES_SOURCE!$CA221=TRUE,IFERROR(MATCH(DONNEES_SOURCE!$B221,{"2. Très rarement (Moins d'une fois par mois)","3. Rarement (1 à 3 fois par mois)","4. Parfois (Environ une fois par semaine)","5. Régulièrement (Plusieurs fois par semaine)","6. Quotidiennement (Une fois par jour)","7. Très fréquemment (Plusieurs fois par jour)"},0)+1,""),"")</f>
        <v/>
      </c>
      <c r="R221" t="str">
        <f>IF(DONNEES_SOURCE!$CA221=TRUE,DONNEES_SOURCE!$BW221,"")</f>
        <v/>
      </c>
      <c r="S221" t="str">
        <f>IF(DONNEES_SOURCE!$CA221=TRUE,DONNEES_SOURCE!$AU221,"")</f>
        <v/>
      </c>
      <c r="T221" t="str">
        <f>IF(DONNEES_SOURCE!$CA221=TRUE,DONNEES_SOURCE!$BW221,"")</f>
        <v/>
      </c>
      <c r="U221" t="str">
        <f>IF(DONNEES_SOURCE!$CA221=TRUE,IFERROR(MATCH(DONNEES_SOURCE!$B221,{"2. Très rarement (Moins d'une fois par mois)","3. Rarement (1 à 3 fois par mois)","4. Parfois (Environ une fois par semaine)","5. Régulièrement (Plusieurs fois par semaine)","6. Quotidiennement (Une fois par jour)","7. Très fréquemment (Plusieurs fois par jour)"},0)+1,""),"")</f>
        <v/>
      </c>
    </row>
    <row r="222" spans="16:21" x14ac:dyDescent="0.25">
      <c r="P222" t="str">
        <f>IF(DONNEES_SOURCE!$CA222=TRUE,DONNEES_SOURCE!$BV222,"")</f>
        <v/>
      </c>
      <c r="Q222" t="str">
        <f>IF(DONNEES_SOURCE!$CA222=TRUE,IFERROR(MATCH(DONNEES_SOURCE!$B222,{"2. Très rarement (Moins d'une fois par mois)","3. Rarement (1 à 3 fois par mois)","4. Parfois (Environ une fois par semaine)","5. Régulièrement (Plusieurs fois par semaine)","6. Quotidiennement (Une fois par jour)","7. Très fréquemment (Plusieurs fois par jour)"},0)+1,""),"")</f>
        <v/>
      </c>
      <c r="R222" t="str">
        <f>IF(DONNEES_SOURCE!$CA222=TRUE,DONNEES_SOURCE!$BW222,"")</f>
        <v/>
      </c>
      <c r="S222" t="str">
        <f>IF(DONNEES_SOURCE!$CA222=TRUE,DONNEES_SOURCE!$AU222,"")</f>
        <v/>
      </c>
      <c r="T222" t="str">
        <f>IF(DONNEES_SOURCE!$CA222=TRUE,DONNEES_SOURCE!$BW222,"")</f>
        <v/>
      </c>
      <c r="U222" t="str">
        <f>IF(DONNEES_SOURCE!$CA222=TRUE,IFERROR(MATCH(DONNEES_SOURCE!$B222,{"2. Très rarement (Moins d'une fois par mois)","3. Rarement (1 à 3 fois par mois)","4. Parfois (Environ une fois par semaine)","5. Régulièrement (Plusieurs fois par semaine)","6. Quotidiennement (Une fois par jour)","7. Très fréquemment (Plusieurs fois par jour)"},0)+1,""),"")</f>
        <v/>
      </c>
    </row>
    <row r="223" spans="16:21" x14ac:dyDescent="0.25">
      <c r="P223" t="str">
        <f>IF(DONNEES_SOURCE!$CA223=TRUE,DONNEES_SOURCE!$BV223,"")</f>
        <v/>
      </c>
      <c r="Q223" t="str">
        <f>IF(DONNEES_SOURCE!$CA223=TRUE,IFERROR(MATCH(DONNEES_SOURCE!$B223,{"2. Très rarement (Moins d'une fois par mois)","3. Rarement (1 à 3 fois par mois)","4. Parfois (Environ une fois par semaine)","5. Régulièrement (Plusieurs fois par semaine)","6. Quotidiennement (Une fois par jour)","7. Très fréquemment (Plusieurs fois par jour)"},0)+1,""),"")</f>
        <v/>
      </c>
      <c r="R223" t="str">
        <f>IF(DONNEES_SOURCE!$CA223=TRUE,DONNEES_SOURCE!$BW223,"")</f>
        <v/>
      </c>
      <c r="S223" t="str">
        <f>IF(DONNEES_SOURCE!$CA223=TRUE,DONNEES_SOURCE!$AU223,"")</f>
        <v/>
      </c>
      <c r="T223" t="str">
        <f>IF(DONNEES_SOURCE!$CA223=TRUE,DONNEES_SOURCE!$BW223,"")</f>
        <v/>
      </c>
      <c r="U223" t="str">
        <f>IF(DONNEES_SOURCE!$CA223=TRUE,IFERROR(MATCH(DONNEES_SOURCE!$B223,{"2. Très rarement (Moins d'une fois par mois)","3. Rarement (1 à 3 fois par mois)","4. Parfois (Environ une fois par semaine)","5. Régulièrement (Plusieurs fois par semaine)","6. Quotidiennement (Une fois par jour)","7. Très fréquemment (Plusieurs fois par jour)"},0)+1,""),"")</f>
        <v/>
      </c>
    </row>
    <row r="224" spans="16:21" x14ac:dyDescent="0.25">
      <c r="P224" t="str">
        <f>IF(DONNEES_SOURCE!$CA224=TRUE,DONNEES_SOURCE!$BV224,"")</f>
        <v/>
      </c>
      <c r="Q224" t="str">
        <f>IF(DONNEES_SOURCE!$CA224=TRUE,IFERROR(MATCH(DONNEES_SOURCE!$B224,{"2. Très rarement (Moins d'une fois par mois)","3. Rarement (1 à 3 fois par mois)","4. Parfois (Environ une fois par semaine)","5. Régulièrement (Plusieurs fois par semaine)","6. Quotidiennement (Une fois par jour)","7. Très fréquemment (Plusieurs fois par jour)"},0)+1,""),"")</f>
        <v/>
      </c>
      <c r="R224" t="str">
        <f>IF(DONNEES_SOURCE!$CA224=TRUE,DONNEES_SOURCE!$BW224,"")</f>
        <v/>
      </c>
      <c r="S224" t="str">
        <f>IF(DONNEES_SOURCE!$CA224=TRUE,DONNEES_SOURCE!$AU224,"")</f>
        <v/>
      </c>
      <c r="T224" t="str">
        <f>IF(DONNEES_SOURCE!$CA224=TRUE,DONNEES_SOURCE!$BW224,"")</f>
        <v/>
      </c>
      <c r="U224" t="str">
        <f>IF(DONNEES_SOURCE!$CA224=TRUE,IFERROR(MATCH(DONNEES_SOURCE!$B224,{"2. Très rarement (Moins d'une fois par mois)","3. Rarement (1 à 3 fois par mois)","4. Parfois (Environ une fois par semaine)","5. Régulièrement (Plusieurs fois par semaine)","6. Quotidiennement (Une fois par jour)","7. Très fréquemment (Plusieurs fois par jour)"},0)+1,""),"")</f>
        <v/>
      </c>
    </row>
    <row r="225" spans="16:21" x14ac:dyDescent="0.25">
      <c r="P225" t="str">
        <f>IF(DONNEES_SOURCE!$CA225=TRUE,DONNEES_SOURCE!$BV225,"")</f>
        <v/>
      </c>
      <c r="Q225" t="str">
        <f>IF(DONNEES_SOURCE!$CA225=TRUE,IFERROR(MATCH(DONNEES_SOURCE!$B225,{"2. Très rarement (Moins d'une fois par mois)","3. Rarement (1 à 3 fois par mois)","4. Parfois (Environ une fois par semaine)","5. Régulièrement (Plusieurs fois par semaine)","6. Quotidiennement (Une fois par jour)","7. Très fréquemment (Plusieurs fois par jour)"},0)+1,""),"")</f>
        <v/>
      </c>
      <c r="R225" t="str">
        <f>IF(DONNEES_SOURCE!$CA225=TRUE,DONNEES_SOURCE!$BW225,"")</f>
        <v/>
      </c>
      <c r="S225" t="str">
        <f>IF(DONNEES_SOURCE!$CA225=TRUE,DONNEES_SOURCE!$AU225,"")</f>
        <v/>
      </c>
      <c r="T225" t="str">
        <f>IF(DONNEES_SOURCE!$CA225=TRUE,DONNEES_SOURCE!$BW225,"")</f>
        <v/>
      </c>
      <c r="U225" t="str">
        <f>IF(DONNEES_SOURCE!$CA225=TRUE,IFERROR(MATCH(DONNEES_SOURCE!$B225,{"2. Très rarement (Moins d'une fois par mois)","3. Rarement (1 à 3 fois par mois)","4. Parfois (Environ une fois par semaine)","5. Régulièrement (Plusieurs fois par semaine)","6. Quotidiennement (Une fois par jour)","7. Très fréquemment (Plusieurs fois par jour)"},0)+1,""),"")</f>
        <v/>
      </c>
    </row>
    <row r="226" spans="16:21" x14ac:dyDescent="0.25">
      <c r="P226" t="str">
        <f>IF(DONNEES_SOURCE!$CA226=TRUE,DONNEES_SOURCE!$BV226,"")</f>
        <v/>
      </c>
      <c r="Q226" t="str">
        <f>IF(DONNEES_SOURCE!$CA226=TRUE,IFERROR(MATCH(DONNEES_SOURCE!$B226,{"2. Très rarement (Moins d'une fois par mois)","3. Rarement (1 à 3 fois par mois)","4. Parfois (Environ une fois par semaine)","5. Régulièrement (Plusieurs fois par semaine)","6. Quotidiennement (Une fois par jour)","7. Très fréquemment (Plusieurs fois par jour)"},0)+1,""),"")</f>
        <v/>
      </c>
      <c r="R226" t="str">
        <f>IF(DONNEES_SOURCE!$CA226=TRUE,DONNEES_SOURCE!$BW226,"")</f>
        <v/>
      </c>
      <c r="S226" t="str">
        <f>IF(DONNEES_SOURCE!$CA226=TRUE,DONNEES_SOURCE!$AU226,"")</f>
        <v/>
      </c>
      <c r="T226" t="str">
        <f>IF(DONNEES_SOURCE!$CA226=TRUE,DONNEES_SOURCE!$BW226,"")</f>
        <v/>
      </c>
      <c r="U226" t="str">
        <f>IF(DONNEES_SOURCE!$CA226=TRUE,IFERROR(MATCH(DONNEES_SOURCE!$B226,{"2. Très rarement (Moins d'une fois par mois)","3. Rarement (1 à 3 fois par mois)","4. Parfois (Environ une fois par semaine)","5. Régulièrement (Plusieurs fois par semaine)","6. Quotidiennement (Une fois par jour)","7. Très fréquemment (Plusieurs fois par jour)"},0)+1,""),"")</f>
        <v/>
      </c>
    </row>
    <row r="227" spans="16:21" x14ac:dyDescent="0.25">
      <c r="P227" t="str">
        <f>IF(DONNEES_SOURCE!$CA227=TRUE,DONNEES_SOURCE!$BV227,"")</f>
        <v/>
      </c>
      <c r="Q227" t="str">
        <f>IF(DONNEES_SOURCE!$CA227=TRUE,IFERROR(MATCH(DONNEES_SOURCE!$B227,{"2. Très rarement (Moins d'une fois par mois)","3. Rarement (1 à 3 fois par mois)","4. Parfois (Environ une fois par semaine)","5. Régulièrement (Plusieurs fois par semaine)","6. Quotidiennement (Une fois par jour)","7. Très fréquemment (Plusieurs fois par jour)"},0)+1,""),"")</f>
        <v/>
      </c>
      <c r="R227" t="str">
        <f>IF(DONNEES_SOURCE!$CA227=TRUE,DONNEES_SOURCE!$BW227,"")</f>
        <v/>
      </c>
      <c r="S227" t="str">
        <f>IF(DONNEES_SOURCE!$CA227=TRUE,DONNEES_SOURCE!$AU227,"")</f>
        <v/>
      </c>
      <c r="T227" t="str">
        <f>IF(DONNEES_SOURCE!$CA227=TRUE,DONNEES_SOURCE!$BW227,"")</f>
        <v/>
      </c>
      <c r="U227" t="str">
        <f>IF(DONNEES_SOURCE!$CA227=TRUE,IFERROR(MATCH(DONNEES_SOURCE!$B227,{"2. Très rarement (Moins d'une fois par mois)","3. Rarement (1 à 3 fois par mois)","4. Parfois (Environ une fois par semaine)","5. Régulièrement (Plusieurs fois par semaine)","6. Quotidiennement (Une fois par jour)","7. Très fréquemment (Plusieurs fois par jour)"},0)+1,""),"")</f>
        <v/>
      </c>
    </row>
    <row r="228" spans="16:21" x14ac:dyDescent="0.25">
      <c r="P228" t="str">
        <f>IF(DONNEES_SOURCE!$CA228=TRUE,DONNEES_SOURCE!$BV228,"")</f>
        <v/>
      </c>
      <c r="Q228" t="str">
        <f>IF(DONNEES_SOURCE!$CA228=TRUE,IFERROR(MATCH(DONNEES_SOURCE!$B228,{"2. Très rarement (Moins d'une fois par mois)","3. Rarement (1 à 3 fois par mois)","4. Parfois (Environ une fois par semaine)","5. Régulièrement (Plusieurs fois par semaine)","6. Quotidiennement (Une fois par jour)","7. Très fréquemment (Plusieurs fois par jour)"},0)+1,""),"")</f>
        <v/>
      </c>
      <c r="R228" t="str">
        <f>IF(DONNEES_SOURCE!$CA228=TRUE,DONNEES_SOURCE!$BW228,"")</f>
        <v/>
      </c>
      <c r="S228" t="str">
        <f>IF(DONNEES_SOURCE!$CA228=TRUE,DONNEES_SOURCE!$AU228,"")</f>
        <v/>
      </c>
      <c r="T228" t="str">
        <f>IF(DONNEES_SOURCE!$CA228=TRUE,DONNEES_SOURCE!$BW228,"")</f>
        <v/>
      </c>
      <c r="U228" t="str">
        <f>IF(DONNEES_SOURCE!$CA228=TRUE,IFERROR(MATCH(DONNEES_SOURCE!$B228,{"2. Très rarement (Moins d'une fois par mois)","3. Rarement (1 à 3 fois par mois)","4. Parfois (Environ une fois par semaine)","5. Régulièrement (Plusieurs fois par semaine)","6. Quotidiennement (Une fois par jour)","7. Très fréquemment (Plusieurs fois par jour)"},0)+1,""),"")</f>
        <v/>
      </c>
    </row>
    <row r="229" spans="16:21" x14ac:dyDescent="0.25">
      <c r="P229" t="str">
        <f>IF(DONNEES_SOURCE!$CA229=TRUE,DONNEES_SOURCE!$BV229,"")</f>
        <v/>
      </c>
      <c r="Q229" t="str">
        <f>IF(DONNEES_SOURCE!$CA229=TRUE,IFERROR(MATCH(DONNEES_SOURCE!$B229,{"2. Très rarement (Moins d'une fois par mois)","3. Rarement (1 à 3 fois par mois)","4. Parfois (Environ une fois par semaine)","5. Régulièrement (Plusieurs fois par semaine)","6. Quotidiennement (Une fois par jour)","7. Très fréquemment (Plusieurs fois par jour)"},0)+1,""),"")</f>
        <v/>
      </c>
      <c r="R229" t="str">
        <f>IF(DONNEES_SOURCE!$CA229=TRUE,DONNEES_SOURCE!$BW229,"")</f>
        <v/>
      </c>
      <c r="S229" t="str">
        <f>IF(DONNEES_SOURCE!$CA229=TRUE,DONNEES_SOURCE!$AU229,"")</f>
        <v/>
      </c>
      <c r="T229" t="str">
        <f>IF(DONNEES_SOURCE!$CA229=TRUE,DONNEES_SOURCE!$BW229,"")</f>
        <v/>
      </c>
      <c r="U229" t="str">
        <f>IF(DONNEES_SOURCE!$CA229=TRUE,IFERROR(MATCH(DONNEES_SOURCE!$B229,{"2. Très rarement (Moins d'une fois par mois)","3. Rarement (1 à 3 fois par mois)","4. Parfois (Environ une fois par semaine)","5. Régulièrement (Plusieurs fois par semaine)","6. Quotidiennement (Une fois par jour)","7. Très fréquemment (Plusieurs fois par jour)"},0)+1,""),"")</f>
        <v/>
      </c>
    </row>
    <row r="230" spans="16:21" x14ac:dyDescent="0.25">
      <c r="P230" t="str">
        <f>IF(DONNEES_SOURCE!$CA230=TRUE,DONNEES_SOURCE!$BV230,"")</f>
        <v/>
      </c>
      <c r="Q230" t="str">
        <f>IF(DONNEES_SOURCE!$CA230=TRUE,IFERROR(MATCH(DONNEES_SOURCE!$B230,{"2. Très rarement (Moins d'une fois par mois)","3. Rarement (1 à 3 fois par mois)","4. Parfois (Environ une fois par semaine)","5. Régulièrement (Plusieurs fois par semaine)","6. Quotidiennement (Une fois par jour)","7. Très fréquemment (Plusieurs fois par jour)"},0)+1,""),"")</f>
        <v/>
      </c>
      <c r="R230" t="str">
        <f>IF(DONNEES_SOURCE!$CA230=TRUE,DONNEES_SOURCE!$BW230,"")</f>
        <v/>
      </c>
      <c r="S230" t="str">
        <f>IF(DONNEES_SOURCE!$CA230=TRUE,DONNEES_SOURCE!$AU230,"")</f>
        <v/>
      </c>
      <c r="T230" t="str">
        <f>IF(DONNEES_SOURCE!$CA230=TRUE,DONNEES_SOURCE!$BW230,"")</f>
        <v/>
      </c>
      <c r="U230" t="str">
        <f>IF(DONNEES_SOURCE!$CA230=TRUE,IFERROR(MATCH(DONNEES_SOURCE!$B230,{"2. Très rarement (Moins d'une fois par mois)","3. Rarement (1 à 3 fois par mois)","4. Parfois (Environ une fois par semaine)","5. Régulièrement (Plusieurs fois par semaine)","6. Quotidiennement (Une fois par jour)","7. Très fréquemment (Plusieurs fois par jour)"},0)+1,""),"")</f>
        <v/>
      </c>
    </row>
    <row r="231" spans="16:21" x14ac:dyDescent="0.25">
      <c r="P231" t="str">
        <f>IF(DONNEES_SOURCE!$CA231=TRUE,DONNEES_SOURCE!$BV231,"")</f>
        <v/>
      </c>
      <c r="Q231" t="str">
        <f>IF(DONNEES_SOURCE!$CA231=TRUE,IFERROR(MATCH(DONNEES_SOURCE!$B231,{"2. Très rarement (Moins d'une fois par mois)","3. Rarement (1 à 3 fois par mois)","4. Parfois (Environ une fois par semaine)","5. Régulièrement (Plusieurs fois par semaine)","6. Quotidiennement (Une fois par jour)","7. Très fréquemment (Plusieurs fois par jour)"},0)+1,""),"")</f>
        <v/>
      </c>
      <c r="R231" t="str">
        <f>IF(DONNEES_SOURCE!$CA231=TRUE,DONNEES_SOURCE!$BW231,"")</f>
        <v/>
      </c>
      <c r="S231" t="str">
        <f>IF(DONNEES_SOURCE!$CA231=TRUE,DONNEES_SOURCE!$AU231,"")</f>
        <v/>
      </c>
      <c r="T231" t="str">
        <f>IF(DONNEES_SOURCE!$CA231=TRUE,DONNEES_SOURCE!$BW231,"")</f>
        <v/>
      </c>
      <c r="U231" t="str">
        <f>IF(DONNEES_SOURCE!$CA231=TRUE,IFERROR(MATCH(DONNEES_SOURCE!$B231,{"2. Très rarement (Moins d'une fois par mois)","3. Rarement (1 à 3 fois par mois)","4. Parfois (Environ une fois par semaine)","5. Régulièrement (Plusieurs fois par semaine)","6. Quotidiennement (Une fois par jour)","7. Très fréquemment (Plusieurs fois par jour)"},0)+1,""),"")</f>
        <v/>
      </c>
    </row>
    <row r="232" spans="16:21" x14ac:dyDescent="0.25">
      <c r="P232" t="str">
        <f>IF(DONNEES_SOURCE!$CA232=TRUE,DONNEES_SOURCE!$BV232,"")</f>
        <v/>
      </c>
      <c r="Q232" t="str">
        <f>IF(DONNEES_SOURCE!$CA232=TRUE,IFERROR(MATCH(DONNEES_SOURCE!$B232,{"2. Très rarement (Moins d'une fois par mois)","3. Rarement (1 à 3 fois par mois)","4. Parfois (Environ une fois par semaine)","5. Régulièrement (Plusieurs fois par semaine)","6. Quotidiennement (Une fois par jour)","7. Très fréquemment (Plusieurs fois par jour)"},0)+1,""),"")</f>
        <v/>
      </c>
      <c r="R232" t="str">
        <f>IF(DONNEES_SOURCE!$CA232=TRUE,DONNEES_SOURCE!$BW232,"")</f>
        <v/>
      </c>
      <c r="S232" t="str">
        <f>IF(DONNEES_SOURCE!$CA232=TRUE,DONNEES_SOURCE!$AU232,"")</f>
        <v/>
      </c>
      <c r="T232" t="str">
        <f>IF(DONNEES_SOURCE!$CA232=TRUE,DONNEES_SOURCE!$BW232,"")</f>
        <v/>
      </c>
      <c r="U232" t="str">
        <f>IF(DONNEES_SOURCE!$CA232=TRUE,IFERROR(MATCH(DONNEES_SOURCE!$B232,{"2. Très rarement (Moins d'une fois par mois)","3. Rarement (1 à 3 fois par mois)","4. Parfois (Environ une fois par semaine)","5. Régulièrement (Plusieurs fois par semaine)","6. Quotidiennement (Une fois par jour)","7. Très fréquemment (Plusieurs fois par jour)"},0)+1,""),"")</f>
        <v/>
      </c>
    </row>
    <row r="233" spans="16:21" x14ac:dyDescent="0.25">
      <c r="P233" t="str">
        <f>IF(DONNEES_SOURCE!$CA233=TRUE,DONNEES_SOURCE!$BV233,"")</f>
        <v/>
      </c>
      <c r="Q233" t="str">
        <f>IF(DONNEES_SOURCE!$CA233=TRUE,IFERROR(MATCH(DONNEES_SOURCE!$B233,{"2. Très rarement (Moins d'une fois par mois)","3. Rarement (1 à 3 fois par mois)","4. Parfois (Environ une fois par semaine)","5. Régulièrement (Plusieurs fois par semaine)","6. Quotidiennement (Une fois par jour)","7. Très fréquemment (Plusieurs fois par jour)"},0)+1,""),"")</f>
        <v/>
      </c>
      <c r="R233" t="str">
        <f>IF(DONNEES_SOURCE!$CA233=TRUE,DONNEES_SOURCE!$BW233,"")</f>
        <v/>
      </c>
      <c r="S233" t="str">
        <f>IF(DONNEES_SOURCE!$CA233=TRUE,DONNEES_SOURCE!$AU233,"")</f>
        <v/>
      </c>
      <c r="T233" t="str">
        <f>IF(DONNEES_SOURCE!$CA233=TRUE,DONNEES_SOURCE!$BW233,"")</f>
        <v/>
      </c>
      <c r="U233" t="str">
        <f>IF(DONNEES_SOURCE!$CA233=TRUE,IFERROR(MATCH(DONNEES_SOURCE!$B233,{"2. Très rarement (Moins d'une fois par mois)","3. Rarement (1 à 3 fois par mois)","4. Parfois (Environ une fois par semaine)","5. Régulièrement (Plusieurs fois par semaine)","6. Quotidiennement (Une fois par jour)","7. Très fréquemment (Plusieurs fois par jour)"},0)+1,""),"")</f>
        <v/>
      </c>
    </row>
    <row r="234" spans="16:21" x14ac:dyDescent="0.25">
      <c r="P234" t="str">
        <f>IF(DONNEES_SOURCE!$CA234=TRUE,DONNEES_SOURCE!$BV234,"")</f>
        <v/>
      </c>
      <c r="Q234" t="str">
        <f>IF(DONNEES_SOURCE!$CA234=TRUE,IFERROR(MATCH(DONNEES_SOURCE!$B234,{"2. Très rarement (Moins d'une fois par mois)","3. Rarement (1 à 3 fois par mois)","4. Parfois (Environ une fois par semaine)","5. Régulièrement (Plusieurs fois par semaine)","6. Quotidiennement (Une fois par jour)","7. Très fréquemment (Plusieurs fois par jour)"},0)+1,""),"")</f>
        <v/>
      </c>
      <c r="R234" t="str">
        <f>IF(DONNEES_SOURCE!$CA234=TRUE,DONNEES_SOURCE!$BW234,"")</f>
        <v/>
      </c>
      <c r="S234" t="str">
        <f>IF(DONNEES_SOURCE!$CA234=TRUE,DONNEES_SOURCE!$AU234,"")</f>
        <v/>
      </c>
      <c r="T234" t="str">
        <f>IF(DONNEES_SOURCE!$CA234=TRUE,DONNEES_SOURCE!$BW234,"")</f>
        <v/>
      </c>
      <c r="U234" t="str">
        <f>IF(DONNEES_SOURCE!$CA234=TRUE,IFERROR(MATCH(DONNEES_SOURCE!$B234,{"2. Très rarement (Moins d'une fois par mois)","3. Rarement (1 à 3 fois par mois)","4. Parfois (Environ une fois par semaine)","5. Régulièrement (Plusieurs fois par semaine)","6. Quotidiennement (Une fois par jour)","7. Très fréquemment (Plusieurs fois par jour)"},0)+1,""),"")</f>
        <v/>
      </c>
    </row>
    <row r="235" spans="16:21" x14ac:dyDescent="0.25">
      <c r="P235" t="str">
        <f>IF(DONNEES_SOURCE!$CA235=TRUE,DONNEES_SOURCE!$BV235,"")</f>
        <v/>
      </c>
      <c r="Q235" t="str">
        <f>IF(DONNEES_SOURCE!$CA235=TRUE,IFERROR(MATCH(DONNEES_SOURCE!$B235,{"2. Très rarement (Moins d'une fois par mois)","3. Rarement (1 à 3 fois par mois)","4. Parfois (Environ une fois par semaine)","5. Régulièrement (Plusieurs fois par semaine)","6. Quotidiennement (Une fois par jour)","7. Très fréquemment (Plusieurs fois par jour)"},0)+1,""),"")</f>
        <v/>
      </c>
      <c r="R235" t="str">
        <f>IF(DONNEES_SOURCE!$CA235=TRUE,DONNEES_SOURCE!$BW235,"")</f>
        <v/>
      </c>
      <c r="S235" t="str">
        <f>IF(DONNEES_SOURCE!$CA235=TRUE,DONNEES_SOURCE!$AU235,"")</f>
        <v/>
      </c>
      <c r="T235" t="str">
        <f>IF(DONNEES_SOURCE!$CA235=TRUE,DONNEES_SOURCE!$BW235,"")</f>
        <v/>
      </c>
      <c r="U235" t="str">
        <f>IF(DONNEES_SOURCE!$CA235=TRUE,IFERROR(MATCH(DONNEES_SOURCE!$B235,{"2. Très rarement (Moins d'une fois par mois)","3. Rarement (1 à 3 fois par mois)","4. Parfois (Environ une fois par semaine)","5. Régulièrement (Plusieurs fois par semaine)","6. Quotidiennement (Une fois par jour)","7. Très fréquemment (Plusieurs fois par jour)"},0)+1,""),"")</f>
        <v/>
      </c>
    </row>
    <row r="236" spans="16:21" x14ac:dyDescent="0.25">
      <c r="P236" t="str">
        <f>IF(DONNEES_SOURCE!$CA236=TRUE,DONNEES_SOURCE!$BV236,"")</f>
        <v/>
      </c>
      <c r="Q236" t="str">
        <f>IF(DONNEES_SOURCE!$CA236=TRUE,IFERROR(MATCH(DONNEES_SOURCE!$B236,{"2. Très rarement (Moins d'une fois par mois)","3. Rarement (1 à 3 fois par mois)","4. Parfois (Environ une fois par semaine)","5. Régulièrement (Plusieurs fois par semaine)","6. Quotidiennement (Une fois par jour)","7. Très fréquemment (Plusieurs fois par jour)"},0)+1,""),"")</f>
        <v/>
      </c>
      <c r="R236" t="str">
        <f>IF(DONNEES_SOURCE!$CA236=TRUE,DONNEES_SOURCE!$BW236,"")</f>
        <v/>
      </c>
      <c r="S236" t="str">
        <f>IF(DONNEES_SOURCE!$CA236=TRUE,DONNEES_SOURCE!$AU236,"")</f>
        <v/>
      </c>
      <c r="T236" t="str">
        <f>IF(DONNEES_SOURCE!$CA236=TRUE,DONNEES_SOURCE!$BW236,"")</f>
        <v/>
      </c>
      <c r="U236" t="str">
        <f>IF(DONNEES_SOURCE!$CA236=TRUE,IFERROR(MATCH(DONNEES_SOURCE!$B236,{"2. Très rarement (Moins d'une fois par mois)","3. Rarement (1 à 3 fois par mois)","4. Parfois (Environ une fois par semaine)","5. Régulièrement (Plusieurs fois par semaine)","6. Quotidiennement (Une fois par jour)","7. Très fréquemment (Plusieurs fois par jour)"},0)+1,""),"")</f>
        <v/>
      </c>
    </row>
    <row r="237" spans="16:21" x14ac:dyDescent="0.25">
      <c r="P237" t="str">
        <f>IF(DONNEES_SOURCE!$CA237=TRUE,DONNEES_SOURCE!$BV237,"")</f>
        <v/>
      </c>
      <c r="Q237" t="str">
        <f>IF(DONNEES_SOURCE!$CA237=TRUE,IFERROR(MATCH(DONNEES_SOURCE!$B237,{"2. Très rarement (Moins d'une fois par mois)","3. Rarement (1 à 3 fois par mois)","4. Parfois (Environ une fois par semaine)","5. Régulièrement (Plusieurs fois par semaine)","6. Quotidiennement (Une fois par jour)","7. Très fréquemment (Plusieurs fois par jour)"},0)+1,""),"")</f>
        <v/>
      </c>
      <c r="R237" t="str">
        <f>IF(DONNEES_SOURCE!$CA237=TRUE,DONNEES_SOURCE!$BW237,"")</f>
        <v/>
      </c>
      <c r="S237" t="str">
        <f>IF(DONNEES_SOURCE!$CA237=TRUE,DONNEES_SOURCE!$AU237,"")</f>
        <v/>
      </c>
      <c r="T237" t="str">
        <f>IF(DONNEES_SOURCE!$CA237=TRUE,DONNEES_SOURCE!$BW237,"")</f>
        <v/>
      </c>
      <c r="U237" t="str">
        <f>IF(DONNEES_SOURCE!$CA237=TRUE,IFERROR(MATCH(DONNEES_SOURCE!$B237,{"2. Très rarement (Moins d'une fois par mois)","3. Rarement (1 à 3 fois par mois)","4. Parfois (Environ une fois par semaine)","5. Régulièrement (Plusieurs fois par semaine)","6. Quotidiennement (Une fois par jour)","7. Très fréquemment (Plusieurs fois par jour)"},0)+1,""),"")</f>
        <v/>
      </c>
    </row>
    <row r="238" spans="16:21" x14ac:dyDescent="0.25">
      <c r="P238" t="str">
        <f>IF(DONNEES_SOURCE!$CA238=TRUE,DONNEES_SOURCE!$BV238,"")</f>
        <v/>
      </c>
      <c r="Q238" t="str">
        <f>IF(DONNEES_SOURCE!$CA238=TRUE,IFERROR(MATCH(DONNEES_SOURCE!$B238,{"2. Très rarement (Moins d'une fois par mois)","3. Rarement (1 à 3 fois par mois)","4. Parfois (Environ une fois par semaine)","5. Régulièrement (Plusieurs fois par semaine)","6. Quotidiennement (Une fois par jour)","7. Très fréquemment (Plusieurs fois par jour)"},0)+1,""),"")</f>
        <v/>
      </c>
      <c r="R238" t="str">
        <f>IF(DONNEES_SOURCE!$CA238=TRUE,DONNEES_SOURCE!$BW238,"")</f>
        <v/>
      </c>
      <c r="S238" t="str">
        <f>IF(DONNEES_SOURCE!$CA238=TRUE,DONNEES_SOURCE!$AU238,"")</f>
        <v/>
      </c>
      <c r="T238" t="str">
        <f>IF(DONNEES_SOURCE!$CA238=TRUE,DONNEES_SOURCE!$BW238,"")</f>
        <v/>
      </c>
      <c r="U238" t="str">
        <f>IF(DONNEES_SOURCE!$CA238=TRUE,IFERROR(MATCH(DONNEES_SOURCE!$B238,{"2. Très rarement (Moins d'une fois par mois)","3. Rarement (1 à 3 fois par mois)","4. Parfois (Environ une fois par semaine)","5. Régulièrement (Plusieurs fois par semaine)","6. Quotidiennement (Une fois par jour)","7. Très fréquemment (Plusieurs fois par jour)"},0)+1,""),"")</f>
        <v/>
      </c>
    </row>
    <row r="239" spans="16:21" x14ac:dyDescent="0.25">
      <c r="P239" t="str">
        <f>IF(DONNEES_SOURCE!$CA239=TRUE,DONNEES_SOURCE!$BV239,"")</f>
        <v/>
      </c>
      <c r="Q239" t="str">
        <f>IF(DONNEES_SOURCE!$CA239=TRUE,IFERROR(MATCH(DONNEES_SOURCE!$B239,{"2. Très rarement (Moins d'une fois par mois)","3. Rarement (1 à 3 fois par mois)","4. Parfois (Environ une fois par semaine)","5. Régulièrement (Plusieurs fois par semaine)","6. Quotidiennement (Une fois par jour)","7. Très fréquemment (Plusieurs fois par jour)"},0)+1,""),"")</f>
        <v/>
      </c>
      <c r="R239" t="str">
        <f>IF(DONNEES_SOURCE!$CA239=TRUE,DONNEES_SOURCE!$BW239,"")</f>
        <v/>
      </c>
      <c r="S239" t="str">
        <f>IF(DONNEES_SOURCE!$CA239=TRUE,DONNEES_SOURCE!$AU239,"")</f>
        <v/>
      </c>
      <c r="T239" t="str">
        <f>IF(DONNEES_SOURCE!$CA239=TRUE,DONNEES_SOURCE!$BW239,"")</f>
        <v/>
      </c>
      <c r="U239" t="str">
        <f>IF(DONNEES_SOURCE!$CA239=TRUE,IFERROR(MATCH(DONNEES_SOURCE!$B239,{"2. Très rarement (Moins d'une fois par mois)","3. Rarement (1 à 3 fois par mois)","4. Parfois (Environ une fois par semaine)","5. Régulièrement (Plusieurs fois par semaine)","6. Quotidiennement (Une fois par jour)","7. Très fréquemment (Plusieurs fois par jour)"},0)+1,""),"")</f>
        <v/>
      </c>
    </row>
    <row r="240" spans="16:21" x14ac:dyDescent="0.25">
      <c r="P240" t="str">
        <f>IF(DONNEES_SOURCE!$CA240=TRUE,DONNEES_SOURCE!$BV240,"")</f>
        <v/>
      </c>
      <c r="Q240" t="str">
        <f>IF(DONNEES_SOURCE!$CA240=TRUE,IFERROR(MATCH(DONNEES_SOURCE!$B240,{"2. Très rarement (Moins d'une fois par mois)","3. Rarement (1 à 3 fois par mois)","4. Parfois (Environ une fois par semaine)","5. Régulièrement (Plusieurs fois par semaine)","6. Quotidiennement (Une fois par jour)","7. Très fréquemment (Plusieurs fois par jour)"},0)+1,""),"")</f>
        <v/>
      </c>
      <c r="R240" t="str">
        <f>IF(DONNEES_SOURCE!$CA240=TRUE,DONNEES_SOURCE!$BW240,"")</f>
        <v/>
      </c>
      <c r="S240" t="str">
        <f>IF(DONNEES_SOURCE!$CA240=TRUE,DONNEES_SOURCE!$AU240,"")</f>
        <v/>
      </c>
      <c r="T240" t="str">
        <f>IF(DONNEES_SOURCE!$CA240=TRUE,DONNEES_SOURCE!$BW240,"")</f>
        <v/>
      </c>
      <c r="U240" t="str">
        <f>IF(DONNEES_SOURCE!$CA240=TRUE,IFERROR(MATCH(DONNEES_SOURCE!$B240,{"2. Très rarement (Moins d'une fois par mois)","3. Rarement (1 à 3 fois par mois)","4. Parfois (Environ une fois par semaine)","5. Régulièrement (Plusieurs fois par semaine)","6. Quotidiennement (Une fois par jour)","7. Très fréquemment (Plusieurs fois par jour)"},0)+1,""),"")</f>
        <v/>
      </c>
    </row>
    <row r="241" spans="16:21" x14ac:dyDescent="0.25">
      <c r="P241" t="str">
        <f>IF(DONNEES_SOURCE!$CA241=TRUE,DONNEES_SOURCE!$BV241,"")</f>
        <v/>
      </c>
      <c r="Q241" t="str">
        <f>IF(DONNEES_SOURCE!$CA241=TRUE,IFERROR(MATCH(DONNEES_SOURCE!$B241,{"2. Très rarement (Moins d'une fois par mois)","3. Rarement (1 à 3 fois par mois)","4. Parfois (Environ une fois par semaine)","5. Régulièrement (Plusieurs fois par semaine)","6. Quotidiennement (Une fois par jour)","7. Très fréquemment (Plusieurs fois par jour)"},0)+1,""),"")</f>
        <v/>
      </c>
      <c r="R241" t="str">
        <f>IF(DONNEES_SOURCE!$CA241=TRUE,DONNEES_SOURCE!$BW241,"")</f>
        <v/>
      </c>
      <c r="S241" t="str">
        <f>IF(DONNEES_SOURCE!$CA241=TRUE,DONNEES_SOURCE!$AU241,"")</f>
        <v/>
      </c>
      <c r="T241" t="str">
        <f>IF(DONNEES_SOURCE!$CA241=TRUE,DONNEES_SOURCE!$BW241,"")</f>
        <v/>
      </c>
      <c r="U241" t="str">
        <f>IF(DONNEES_SOURCE!$CA241=TRUE,IFERROR(MATCH(DONNEES_SOURCE!$B241,{"2. Très rarement (Moins d'une fois par mois)","3. Rarement (1 à 3 fois par mois)","4. Parfois (Environ une fois par semaine)","5. Régulièrement (Plusieurs fois par semaine)","6. Quotidiennement (Une fois par jour)","7. Très fréquemment (Plusieurs fois par jour)"},0)+1,""),"")</f>
        <v/>
      </c>
    </row>
    <row r="242" spans="16:21" x14ac:dyDescent="0.25">
      <c r="P242" t="str">
        <f>IF(DONNEES_SOURCE!$CA242=TRUE,DONNEES_SOURCE!$BV242,"")</f>
        <v/>
      </c>
      <c r="Q242" t="str">
        <f>IF(DONNEES_SOURCE!$CA242=TRUE,IFERROR(MATCH(DONNEES_SOURCE!$B242,{"2. Très rarement (Moins d'une fois par mois)","3. Rarement (1 à 3 fois par mois)","4. Parfois (Environ une fois par semaine)","5. Régulièrement (Plusieurs fois par semaine)","6. Quotidiennement (Une fois par jour)","7. Très fréquemment (Plusieurs fois par jour)"},0)+1,""),"")</f>
        <v/>
      </c>
      <c r="R242" t="str">
        <f>IF(DONNEES_SOURCE!$CA242=TRUE,DONNEES_SOURCE!$BW242,"")</f>
        <v/>
      </c>
      <c r="S242" t="str">
        <f>IF(DONNEES_SOURCE!$CA242=TRUE,DONNEES_SOURCE!$AU242,"")</f>
        <v/>
      </c>
      <c r="T242" t="str">
        <f>IF(DONNEES_SOURCE!$CA242=TRUE,DONNEES_SOURCE!$BW242,"")</f>
        <v/>
      </c>
      <c r="U242" t="str">
        <f>IF(DONNEES_SOURCE!$CA242=TRUE,IFERROR(MATCH(DONNEES_SOURCE!$B242,{"2. Très rarement (Moins d'une fois par mois)","3. Rarement (1 à 3 fois par mois)","4. Parfois (Environ une fois par semaine)","5. Régulièrement (Plusieurs fois par semaine)","6. Quotidiennement (Une fois par jour)","7. Très fréquemment (Plusieurs fois par jour)"},0)+1,""),"")</f>
        <v/>
      </c>
    </row>
    <row r="243" spans="16:21" x14ac:dyDescent="0.25">
      <c r="P243" t="str">
        <f>IF(DONNEES_SOURCE!$CA243=TRUE,DONNEES_SOURCE!$BV243,"")</f>
        <v/>
      </c>
      <c r="Q243" t="str">
        <f>IF(DONNEES_SOURCE!$CA243=TRUE,IFERROR(MATCH(DONNEES_SOURCE!$B243,{"2. Très rarement (Moins d'une fois par mois)","3. Rarement (1 à 3 fois par mois)","4. Parfois (Environ une fois par semaine)","5. Régulièrement (Plusieurs fois par semaine)","6. Quotidiennement (Une fois par jour)","7. Très fréquemment (Plusieurs fois par jour)"},0)+1,""),"")</f>
        <v/>
      </c>
      <c r="R243" t="str">
        <f>IF(DONNEES_SOURCE!$CA243=TRUE,DONNEES_SOURCE!$BW243,"")</f>
        <v/>
      </c>
      <c r="S243" t="str">
        <f>IF(DONNEES_SOURCE!$CA243=TRUE,DONNEES_SOURCE!$AU243,"")</f>
        <v/>
      </c>
      <c r="T243" t="str">
        <f>IF(DONNEES_SOURCE!$CA243=TRUE,DONNEES_SOURCE!$BW243,"")</f>
        <v/>
      </c>
      <c r="U243" t="str">
        <f>IF(DONNEES_SOURCE!$CA243=TRUE,IFERROR(MATCH(DONNEES_SOURCE!$B243,{"2. Très rarement (Moins d'une fois par mois)","3. Rarement (1 à 3 fois par mois)","4. Parfois (Environ une fois par semaine)","5. Régulièrement (Plusieurs fois par semaine)","6. Quotidiennement (Une fois par jour)","7. Très fréquemment (Plusieurs fois par jour)"},0)+1,""),"")</f>
        <v/>
      </c>
    </row>
    <row r="244" spans="16:21" x14ac:dyDescent="0.25">
      <c r="P244" t="str">
        <f>IF(DONNEES_SOURCE!$CA244=TRUE,DONNEES_SOURCE!$BV244,"")</f>
        <v/>
      </c>
      <c r="Q244" t="str">
        <f>IF(DONNEES_SOURCE!$CA244=TRUE,IFERROR(MATCH(DONNEES_SOURCE!$B244,{"2. Très rarement (Moins d'une fois par mois)","3. Rarement (1 à 3 fois par mois)","4. Parfois (Environ une fois par semaine)","5. Régulièrement (Plusieurs fois par semaine)","6. Quotidiennement (Une fois par jour)","7. Très fréquemment (Plusieurs fois par jour)"},0)+1,""),"")</f>
        <v/>
      </c>
      <c r="R244" t="str">
        <f>IF(DONNEES_SOURCE!$CA244=TRUE,DONNEES_SOURCE!$BW244,"")</f>
        <v/>
      </c>
      <c r="S244" t="str">
        <f>IF(DONNEES_SOURCE!$CA244=TRUE,DONNEES_SOURCE!$AU244,"")</f>
        <v/>
      </c>
      <c r="T244" t="str">
        <f>IF(DONNEES_SOURCE!$CA244=TRUE,DONNEES_SOURCE!$BW244,"")</f>
        <v/>
      </c>
      <c r="U244" t="str">
        <f>IF(DONNEES_SOURCE!$CA244=TRUE,IFERROR(MATCH(DONNEES_SOURCE!$B244,{"2. Très rarement (Moins d'une fois par mois)","3. Rarement (1 à 3 fois par mois)","4. Parfois (Environ une fois par semaine)","5. Régulièrement (Plusieurs fois par semaine)","6. Quotidiennement (Une fois par jour)","7. Très fréquemment (Plusieurs fois par jour)"},0)+1,""),"")</f>
        <v/>
      </c>
    </row>
    <row r="245" spans="16:21" x14ac:dyDescent="0.25">
      <c r="P245" t="str">
        <f>IF(DONNEES_SOURCE!$CA245=TRUE,DONNEES_SOURCE!$BV245,"")</f>
        <v/>
      </c>
      <c r="Q245" t="str">
        <f>IF(DONNEES_SOURCE!$CA245=TRUE,IFERROR(MATCH(DONNEES_SOURCE!$B245,{"2. Très rarement (Moins d'une fois par mois)","3. Rarement (1 à 3 fois par mois)","4. Parfois (Environ une fois par semaine)","5. Régulièrement (Plusieurs fois par semaine)","6. Quotidiennement (Une fois par jour)","7. Très fréquemment (Plusieurs fois par jour)"},0)+1,""),"")</f>
        <v/>
      </c>
      <c r="R245" t="str">
        <f>IF(DONNEES_SOURCE!$CA245=TRUE,DONNEES_SOURCE!$BW245,"")</f>
        <v/>
      </c>
      <c r="S245" t="str">
        <f>IF(DONNEES_SOURCE!$CA245=TRUE,DONNEES_SOURCE!$AU245,"")</f>
        <v/>
      </c>
      <c r="T245" t="str">
        <f>IF(DONNEES_SOURCE!$CA245=TRUE,DONNEES_SOURCE!$BW245,"")</f>
        <v/>
      </c>
      <c r="U245" t="str">
        <f>IF(DONNEES_SOURCE!$CA245=TRUE,IFERROR(MATCH(DONNEES_SOURCE!$B245,{"2. Très rarement (Moins d'une fois par mois)","3. Rarement (1 à 3 fois par mois)","4. Parfois (Environ une fois par semaine)","5. Régulièrement (Plusieurs fois par semaine)","6. Quotidiennement (Une fois par jour)","7. Très fréquemment (Plusieurs fois par jour)"},0)+1,""),"")</f>
        <v/>
      </c>
    </row>
    <row r="246" spans="16:21" x14ac:dyDescent="0.25">
      <c r="P246" t="str">
        <f>IF(DONNEES_SOURCE!$CA246=TRUE,DONNEES_SOURCE!$BV246,"")</f>
        <v/>
      </c>
      <c r="Q246" t="str">
        <f>IF(DONNEES_SOURCE!$CA246=TRUE,IFERROR(MATCH(DONNEES_SOURCE!$B246,{"2. Très rarement (Moins d'une fois par mois)","3. Rarement (1 à 3 fois par mois)","4. Parfois (Environ une fois par semaine)","5. Régulièrement (Plusieurs fois par semaine)","6. Quotidiennement (Une fois par jour)","7. Très fréquemment (Plusieurs fois par jour)"},0)+1,""),"")</f>
        <v/>
      </c>
      <c r="R246" t="str">
        <f>IF(DONNEES_SOURCE!$CA246=TRUE,DONNEES_SOURCE!$BW246,"")</f>
        <v/>
      </c>
      <c r="S246" t="str">
        <f>IF(DONNEES_SOURCE!$CA246=TRUE,DONNEES_SOURCE!$AU246,"")</f>
        <v/>
      </c>
      <c r="T246" t="str">
        <f>IF(DONNEES_SOURCE!$CA246=TRUE,DONNEES_SOURCE!$BW246,"")</f>
        <v/>
      </c>
      <c r="U246" t="str">
        <f>IF(DONNEES_SOURCE!$CA246=TRUE,IFERROR(MATCH(DONNEES_SOURCE!$B246,{"2. Très rarement (Moins d'une fois par mois)","3. Rarement (1 à 3 fois par mois)","4. Parfois (Environ une fois par semaine)","5. Régulièrement (Plusieurs fois par semaine)","6. Quotidiennement (Une fois par jour)","7. Très fréquemment (Plusieurs fois par jour)"},0)+1,""),"")</f>
        <v/>
      </c>
    </row>
    <row r="247" spans="16:21" x14ac:dyDescent="0.25">
      <c r="P247" t="str">
        <f>IF(DONNEES_SOURCE!$CA247=TRUE,DONNEES_SOURCE!$BV247,"")</f>
        <v/>
      </c>
      <c r="Q247" t="str">
        <f>IF(DONNEES_SOURCE!$CA247=TRUE,IFERROR(MATCH(DONNEES_SOURCE!$B247,{"2. Très rarement (Moins d'une fois par mois)","3. Rarement (1 à 3 fois par mois)","4. Parfois (Environ une fois par semaine)","5. Régulièrement (Plusieurs fois par semaine)","6. Quotidiennement (Une fois par jour)","7. Très fréquemment (Plusieurs fois par jour)"},0)+1,""),"")</f>
        <v/>
      </c>
      <c r="R247" t="str">
        <f>IF(DONNEES_SOURCE!$CA247=TRUE,DONNEES_SOURCE!$BW247,"")</f>
        <v/>
      </c>
      <c r="S247" t="str">
        <f>IF(DONNEES_SOURCE!$CA247=TRUE,DONNEES_SOURCE!$AU247,"")</f>
        <v/>
      </c>
      <c r="T247" t="str">
        <f>IF(DONNEES_SOURCE!$CA247=TRUE,DONNEES_SOURCE!$BW247,"")</f>
        <v/>
      </c>
      <c r="U247" t="str">
        <f>IF(DONNEES_SOURCE!$CA247=TRUE,IFERROR(MATCH(DONNEES_SOURCE!$B247,{"2. Très rarement (Moins d'une fois par mois)","3. Rarement (1 à 3 fois par mois)","4. Parfois (Environ une fois par semaine)","5. Régulièrement (Plusieurs fois par semaine)","6. Quotidiennement (Une fois par jour)","7. Très fréquemment (Plusieurs fois par jour)"},0)+1,""),"")</f>
        <v/>
      </c>
    </row>
    <row r="248" spans="16:21" x14ac:dyDescent="0.25">
      <c r="P248" t="str">
        <f>IF(DONNEES_SOURCE!$CA248=TRUE,DONNEES_SOURCE!$BV248,"")</f>
        <v/>
      </c>
      <c r="Q248" t="str">
        <f>IF(DONNEES_SOURCE!$CA248=TRUE,IFERROR(MATCH(DONNEES_SOURCE!$B248,{"2. Très rarement (Moins d'une fois par mois)","3. Rarement (1 à 3 fois par mois)","4. Parfois (Environ une fois par semaine)","5. Régulièrement (Plusieurs fois par semaine)","6. Quotidiennement (Une fois par jour)","7. Très fréquemment (Plusieurs fois par jour)"},0)+1,""),"")</f>
        <v/>
      </c>
      <c r="R248" t="str">
        <f>IF(DONNEES_SOURCE!$CA248=TRUE,DONNEES_SOURCE!$BW248,"")</f>
        <v/>
      </c>
      <c r="S248" t="str">
        <f>IF(DONNEES_SOURCE!$CA248=TRUE,DONNEES_SOURCE!$AU248,"")</f>
        <v/>
      </c>
      <c r="T248" t="str">
        <f>IF(DONNEES_SOURCE!$CA248=TRUE,DONNEES_SOURCE!$BW248,"")</f>
        <v/>
      </c>
      <c r="U248" t="str">
        <f>IF(DONNEES_SOURCE!$CA248=TRUE,IFERROR(MATCH(DONNEES_SOURCE!$B248,{"2. Très rarement (Moins d'une fois par mois)","3. Rarement (1 à 3 fois par mois)","4. Parfois (Environ une fois par semaine)","5. Régulièrement (Plusieurs fois par semaine)","6. Quotidiennement (Une fois par jour)","7. Très fréquemment (Plusieurs fois par jour)"},0)+1,""),"")</f>
        <v/>
      </c>
    </row>
    <row r="249" spans="16:21" x14ac:dyDescent="0.25">
      <c r="P249" t="str">
        <f>IF(DONNEES_SOURCE!$CA249=TRUE,DONNEES_SOURCE!$BV249,"")</f>
        <v/>
      </c>
      <c r="Q249" t="str">
        <f>IF(DONNEES_SOURCE!$CA249=TRUE,IFERROR(MATCH(DONNEES_SOURCE!$B249,{"2. Très rarement (Moins d'une fois par mois)","3. Rarement (1 à 3 fois par mois)","4. Parfois (Environ une fois par semaine)","5. Régulièrement (Plusieurs fois par semaine)","6. Quotidiennement (Une fois par jour)","7. Très fréquemment (Plusieurs fois par jour)"},0)+1,""),"")</f>
        <v/>
      </c>
      <c r="R249" t="str">
        <f>IF(DONNEES_SOURCE!$CA249=TRUE,DONNEES_SOURCE!$BW249,"")</f>
        <v/>
      </c>
      <c r="S249" t="str">
        <f>IF(DONNEES_SOURCE!$CA249=TRUE,DONNEES_SOURCE!$AU249,"")</f>
        <v/>
      </c>
      <c r="T249" t="str">
        <f>IF(DONNEES_SOURCE!$CA249=TRUE,DONNEES_SOURCE!$BW249,"")</f>
        <v/>
      </c>
      <c r="U249" t="str">
        <f>IF(DONNEES_SOURCE!$CA249=TRUE,IFERROR(MATCH(DONNEES_SOURCE!$B249,{"2. Très rarement (Moins d'une fois par mois)","3. Rarement (1 à 3 fois par mois)","4. Parfois (Environ une fois par semaine)","5. Régulièrement (Plusieurs fois par semaine)","6. Quotidiennement (Une fois par jour)","7. Très fréquemment (Plusieurs fois par jour)"},0)+1,""),"")</f>
        <v/>
      </c>
    </row>
    <row r="250" spans="16:21" x14ac:dyDescent="0.25">
      <c r="P250" t="str">
        <f>IF(DONNEES_SOURCE!$CA250=TRUE,DONNEES_SOURCE!$BV250,"")</f>
        <v/>
      </c>
      <c r="Q250" t="str">
        <f>IF(DONNEES_SOURCE!$CA250=TRUE,IFERROR(MATCH(DONNEES_SOURCE!$B250,{"2. Très rarement (Moins d'une fois par mois)","3. Rarement (1 à 3 fois par mois)","4. Parfois (Environ une fois par semaine)","5. Régulièrement (Plusieurs fois par semaine)","6. Quotidiennement (Une fois par jour)","7. Très fréquemment (Plusieurs fois par jour)"},0)+1,""),"")</f>
        <v/>
      </c>
      <c r="R250" t="str">
        <f>IF(DONNEES_SOURCE!$CA250=TRUE,DONNEES_SOURCE!$BW250,"")</f>
        <v/>
      </c>
      <c r="S250" t="str">
        <f>IF(DONNEES_SOURCE!$CA250=TRUE,DONNEES_SOURCE!$AU250,"")</f>
        <v/>
      </c>
      <c r="T250" t="str">
        <f>IF(DONNEES_SOURCE!$CA250=TRUE,DONNEES_SOURCE!$BW250,"")</f>
        <v/>
      </c>
      <c r="U250" t="str">
        <f>IF(DONNEES_SOURCE!$CA250=TRUE,IFERROR(MATCH(DONNEES_SOURCE!$B250,{"2. Très rarement (Moins d'une fois par mois)","3. Rarement (1 à 3 fois par mois)","4. Parfois (Environ une fois par semaine)","5. Régulièrement (Plusieurs fois par semaine)","6. Quotidiennement (Une fois par jour)","7. Très fréquemment (Plusieurs fois par jour)"},0)+1,""),"")</f>
        <v/>
      </c>
    </row>
    <row r="251" spans="16:21" x14ac:dyDescent="0.25">
      <c r="P251" t="str">
        <f>IF(DONNEES_SOURCE!$CA251=TRUE,DONNEES_SOURCE!$BV251,"")</f>
        <v/>
      </c>
      <c r="Q251" t="str">
        <f>IF(DONNEES_SOURCE!$CA251=TRUE,IFERROR(MATCH(DONNEES_SOURCE!$B251,{"2. Très rarement (Moins d'une fois par mois)","3. Rarement (1 à 3 fois par mois)","4. Parfois (Environ une fois par semaine)","5. Régulièrement (Plusieurs fois par semaine)","6. Quotidiennement (Une fois par jour)","7. Très fréquemment (Plusieurs fois par jour)"},0)+1,""),"")</f>
        <v/>
      </c>
      <c r="R251" t="str">
        <f>IF(DONNEES_SOURCE!$CA251=TRUE,DONNEES_SOURCE!$BW251,"")</f>
        <v/>
      </c>
      <c r="S251" t="str">
        <f>IF(DONNEES_SOURCE!$CA251=TRUE,DONNEES_SOURCE!$AU251,"")</f>
        <v/>
      </c>
      <c r="T251" t="str">
        <f>IF(DONNEES_SOURCE!$CA251=TRUE,DONNEES_SOURCE!$BW251,"")</f>
        <v/>
      </c>
      <c r="U251" t="str">
        <f>IF(DONNEES_SOURCE!$CA251=TRUE,IFERROR(MATCH(DONNEES_SOURCE!$B251,{"2. Très rarement (Moins d'une fois par mois)","3. Rarement (1 à 3 fois par mois)","4. Parfois (Environ une fois par semaine)","5. Régulièrement (Plusieurs fois par semaine)","6. Quotidiennement (Une fois par jour)","7. Très fréquemment (Plusieurs fois par jour)"},0)+1,""),"")</f>
        <v/>
      </c>
    </row>
    <row r="252" spans="16:21" x14ac:dyDescent="0.25">
      <c r="P252" t="str">
        <f>IF(DONNEES_SOURCE!$CA252=TRUE,DONNEES_SOURCE!$BV252,"")</f>
        <v/>
      </c>
      <c r="Q252" t="str">
        <f>IF(DONNEES_SOURCE!$CA252=TRUE,IFERROR(MATCH(DONNEES_SOURCE!$B252,{"2. Très rarement (Moins d'une fois par mois)","3. Rarement (1 à 3 fois par mois)","4. Parfois (Environ une fois par semaine)","5. Régulièrement (Plusieurs fois par semaine)","6. Quotidiennement (Une fois par jour)","7. Très fréquemment (Plusieurs fois par jour)"},0)+1,""),"")</f>
        <v/>
      </c>
      <c r="R252" t="str">
        <f>IF(DONNEES_SOURCE!$CA252=TRUE,DONNEES_SOURCE!$BW252,"")</f>
        <v/>
      </c>
      <c r="S252" t="str">
        <f>IF(DONNEES_SOURCE!$CA252=TRUE,DONNEES_SOURCE!$AU252,"")</f>
        <v/>
      </c>
      <c r="T252" t="str">
        <f>IF(DONNEES_SOURCE!$CA252=TRUE,DONNEES_SOURCE!$BW252,"")</f>
        <v/>
      </c>
      <c r="U252" t="str">
        <f>IF(DONNEES_SOURCE!$CA252=TRUE,IFERROR(MATCH(DONNEES_SOURCE!$B252,{"2. Très rarement (Moins d'une fois par mois)","3. Rarement (1 à 3 fois par mois)","4. Parfois (Environ une fois par semaine)","5. Régulièrement (Plusieurs fois par semaine)","6. Quotidiennement (Une fois par jour)","7. Très fréquemment (Plusieurs fois par jour)"},0)+1,""),"")</f>
        <v/>
      </c>
    </row>
    <row r="253" spans="16:21" x14ac:dyDescent="0.25">
      <c r="P253" t="str">
        <f>IF(DONNEES_SOURCE!$CA253=TRUE,DONNEES_SOURCE!$BV253,"")</f>
        <v/>
      </c>
      <c r="Q253" t="str">
        <f>IF(DONNEES_SOURCE!$CA253=TRUE,IFERROR(MATCH(DONNEES_SOURCE!$B253,{"2. Très rarement (Moins d'une fois par mois)","3. Rarement (1 à 3 fois par mois)","4. Parfois (Environ une fois par semaine)","5. Régulièrement (Plusieurs fois par semaine)","6. Quotidiennement (Une fois par jour)","7. Très fréquemment (Plusieurs fois par jour)"},0)+1,""),"")</f>
        <v/>
      </c>
      <c r="R253" t="str">
        <f>IF(DONNEES_SOURCE!$CA253=TRUE,DONNEES_SOURCE!$BW253,"")</f>
        <v/>
      </c>
      <c r="S253" t="str">
        <f>IF(DONNEES_SOURCE!$CA253=TRUE,DONNEES_SOURCE!$AU253,"")</f>
        <v/>
      </c>
      <c r="T253" t="str">
        <f>IF(DONNEES_SOURCE!$CA253=TRUE,DONNEES_SOURCE!$BW253,"")</f>
        <v/>
      </c>
      <c r="U253" t="str">
        <f>IF(DONNEES_SOURCE!$CA253=TRUE,IFERROR(MATCH(DONNEES_SOURCE!$B253,{"2. Très rarement (Moins d'une fois par mois)","3. Rarement (1 à 3 fois par mois)","4. Parfois (Environ une fois par semaine)","5. Régulièrement (Plusieurs fois par semaine)","6. Quotidiennement (Une fois par jour)","7. Très fréquemment (Plusieurs fois par jour)"},0)+1,""),"")</f>
        <v/>
      </c>
    </row>
    <row r="254" spans="16:21" x14ac:dyDescent="0.25">
      <c r="P254" t="str">
        <f>IF(DONNEES_SOURCE!$CA254=TRUE,DONNEES_SOURCE!$BV254,"")</f>
        <v/>
      </c>
      <c r="Q254" t="str">
        <f>IF(DONNEES_SOURCE!$CA254=TRUE,IFERROR(MATCH(DONNEES_SOURCE!$B254,{"2. Très rarement (Moins d'une fois par mois)","3. Rarement (1 à 3 fois par mois)","4. Parfois (Environ une fois par semaine)","5. Régulièrement (Plusieurs fois par semaine)","6. Quotidiennement (Une fois par jour)","7. Très fréquemment (Plusieurs fois par jour)"},0)+1,""),"")</f>
        <v/>
      </c>
      <c r="R254" t="str">
        <f>IF(DONNEES_SOURCE!$CA254=TRUE,DONNEES_SOURCE!$BW254,"")</f>
        <v/>
      </c>
      <c r="S254" t="str">
        <f>IF(DONNEES_SOURCE!$CA254=TRUE,DONNEES_SOURCE!$AU254,"")</f>
        <v/>
      </c>
      <c r="T254" t="str">
        <f>IF(DONNEES_SOURCE!$CA254=TRUE,DONNEES_SOURCE!$BW254,"")</f>
        <v/>
      </c>
      <c r="U254" t="str">
        <f>IF(DONNEES_SOURCE!$CA254=TRUE,IFERROR(MATCH(DONNEES_SOURCE!$B254,{"2. Très rarement (Moins d'une fois par mois)","3. Rarement (1 à 3 fois par mois)","4. Parfois (Environ une fois par semaine)","5. Régulièrement (Plusieurs fois par semaine)","6. Quotidiennement (Une fois par jour)","7. Très fréquemment (Plusieurs fois par jour)"},0)+1,""),"")</f>
        <v/>
      </c>
    </row>
    <row r="255" spans="16:21" x14ac:dyDescent="0.25">
      <c r="P255" t="str">
        <f>IF(DONNEES_SOURCE!$CA255=TRUE,DONNEES_SOURCE!$BV255,"")</f>
        <v/>
      </c>
      <c r="Q255" t="str">
        <f>IF(DONNEES_SOURCE!$CA255=TRUE,IFERROR(MATCH(DONNEES_SOURCE!$B255,{"2. Très rarement (Moins d'une fois par mois)","3. Rarement (1 à 3 fois par mois)","4. Parfois (Environ une fois par semaine)","5. Régulièrement (Plusieurs fois par semaine)","6. Quotidiennement (Une fois par jour)","7. Très fréquemment (Plusieurs fois par jour)"},0)+1,""),"")</f>
        <v/>
      </c>
      <c r="R255" t="str">
        <f>IF(DONNEES_SOURCE!$CA255=TRUE,DONNEES_SOURCE!$BW255,"")</f>
        <v/>
      </c>
      <c r="S255" t="str">
        <f>IF(DONNEES_SOURCE!$CA255=TRUE,DONNEES_SOURCE!$AU255,"")</f>
        <v/>
      </c>
      <c r="T255" t="str">
        <f>IF(DONNEES_SOURCE!$CA255=TRUE,DONNEES_SOURCE!$BW255,"")</f>
        <v/>
      </c>
      <c r="U255" t="str">
        <f>IF(DONNEES_SOURCE!$CA255=TRUE,IFERROR(MATCH(DONNEES_SOURCE!$B255,{"2. Très rarement (Moins d'une fois par mois)","3. Rarement (1 à 3 fois par mois)","4. Parfois (Environ une fois par semaine)","5. Régulièrement (Plusieurs fois par semaine)","6. Quotidiennement (Une fois par jour)","7. Très fréquemment (Plusieurs fois par jour)"},0)+1,""),"")</f>
        <v/>
      </c>
    </row>
    <row r="256" spans="16:21" x14ac:dyDescent="0.25">
      <c r="P256" t="str">
        <f>IF(DONNEES_SOURCE!$CA256=TRUE,DONNEES_SOURCE!$BV256,"")</f>
        <v/>
      </c>
      <c r="Q256" t="str">
        <f>IF(DONNEES_SOURCE!$CA256=TRUE,IFERROR(MATCH(DONNEES_SOURCE!$B256,{"2. Très rarement (Moins d'une fois par mois)","3. Rarement (1 à 3 fois par mois)","4. Parfois (Environ une fois par semaine)","5. Régulièrement (Plusieurs fois par semaine)","6. Quotidiennement (Une fois par jour)","7. Très fréquemment (Plusieurs fois par jour)"},0)+1,""),"")</f>
        <v/>
      </c>
      <c r="R256" t="str">
        <f>IF(DONNEES_SOURCE!$CA256=TRUE,DONNEES_SOURCE!$BW256,"")</f>
        <v/>
      </c>
      <c r="S256" t="str">
        <f>IF(DONNEES_SOURCE!$CA256=TRUE,DONNEES_SOURCE!$AU256,"")</f>
        <v/>
      </c>
      <c r="T256" t="str">
        <f>IF(DONNEES_SOURCE!$CA256=TRUE,DONNEES_SOURCE!$BW256,"")</f>
        <v/>
      </c>
      <c r="U256" t="str">
        <f>IF(DONNEES_SOURCE!$CA256=TRUE,IFERROR(MATCH(DONNEES_SOURCE!$B256,{"2. Très rarement (Moins d'une fois par mois)","3. Rarement (1 à 3 fois par mois)","4. Parfois (Environ une fois par semaine)","5. Régulièrement (Plusieurs fois par semaine)","6. Quotidiennement (Une fois par jour)","7. Très fréquemment (Plusieurs fois par jour)"},0)+1,""),"")</f>
        <v/>
      </c>
    </row>
    <row r="257" spans="16:21" x14ac:dyDescent="0.25">
      <c r="P257" t="str">
        <f>IF(DONNEES_SOURCE!$CA257=TRUE,DONNEES_SOURCE!$BV257,"")</f>
        <v/>
      </c>
      <c r="Q257" t="str">
        <f>IF(DONNEES_SOURCE!$CA257=TRUE,IFERROR(MATCH(DONNEES_SOURCE!$B257,{"2. Très rarement (Moins d'une fois par mois)","3. Rarement (1 à 3 fois par mois)","4. Parfois (Environ une fois par semaine)","5. Régulièrement (Plusieurs fois par semaine)","6. Quotidiennement (Une fois par jour)","7. Très fréquemment (Plusieurs fois par jour)"},0)+1,""),"")</f>
        <v/>
      </c>
      <c r="R257" t="str">
        <f>IF(DONNEES_SOURCE!$CA257=TRUE,DONNEES_SOURCE!$BW257,"")</f>
        <v/>
      </c>
      <c r="S257" t="str">
        <f>IF(DONNEES_SOURCE!$CA257=TRUE,DONNEES_SOURCE!$AU257,"")</f>
        <v/>
      </c>
      <c r="T257" t="str">
        <f>IF(DONNEES_SOURCE!$CA257=TRUE,DONNEES_SOURCE!$BW257,"")</f>
        <v/>
      </c>
      <c r="U257" t="str">
        <f>IF(DONNEES_SOURCE!$CA257=TRUE,IFERROR(MATCH(DONNEES_SOURCE!$B257,{"2. Très rarement (Moins d'une fois par mois)","3. Rarement (1 à 3 fois par mois)","4. Parfois (Environ une fois par semaine)","5. Régulièrement (Plusieurs fois par semaine)","6. Quotidiennement (Une fois par jour)","7. Très fréquemment (Plusieurs fois par jour)"},0)+1,""),"")</f>
        <v/>
      </c>
    </row>
    <row r="258" spans="16:21" x14ac:dyDescent="0.25">
      <c r="P258" t="str">
        <f>IF(DONNEES_SOURCE!$CA258=TRUE,DONNEES_SOURCE!$BV258,"")</f>
        <v/>
      </c>
      <c r="Q258" t="str">
        <f>IF(DONNEES_SOURCE!$CA258=TRUE,IFERROR(MATCH(DONNEES_SOURCE!$B258,{"2. Très rarement (Moins d'une fois par mois)","3. Rarement (1 à 3 fois par mois)","4. Parfois (Environ une fois par semaine)","5. Régulièrement (Plusieurs fois par semaine)","6. Quotidiennement (Une fois par jour)","7. Très fréquemment (Plusieurs fois par jour)"},0)+1,""),"")</f>
        <v/>
      </c>
      <c r="R258" t="str">
        <f>IF(DONNEES_SOURCE!$CA258=TRUE,DONNEES_SOURCE!$BW258,"")</f>
        <v/>
      </c>
      <c r="S258" t="str">
        <f>IF(DONNEES_SOURCE!$CA258=TRUE,DONNEES_SOURCE!$AU258,"")</f>
        <v/>
      </c>
      <c r="T258" t="str">
        <f>IF(DONNEES_SOURCE!$CA258=TRUE,DONNEES_SOURCE!$BW258,"")</f>
        <v/>
      </c>
      <c r="U258" t="str">
        <f>IF(DONNEES_SOURCE!$CA258=TRUE,IFERROR(MATCH(DONNEES_SOURCE!$B258,{"2. Très rarement (Moins d'une fois par mois)","3. Rarement (1 à 3 fois par mois)","4. Parfois (Environ une fois par semaine)","5. Régulièrement (Plusieurs fois par semaine)","6. Quotidiennement (Une fois par jour)","7. Très fréquemment (Plusieurs fois par jour)"},0)+1,""),"")</f>
        <v/>
      </c>
    </row>
    <row r="259" spans="16:21" x14ac:dyDescent="0.25">
      <c r="P259" t="str">
        <f>IF(DONNEES_SOURCE!$CA259=TRUE,DONNEES_SOURCE!$BV259,"")</f>
        <v/>
      </c>
      <c r="Q259" t="str">
        <f>IF(DONNEES_SOURCE!$CA259=TRUE,IFERROR(MATCH(DONNEES_SOURCE!$B259,{"2. Très rarement (Moins d'une fois par mois)","3. Rarement (1 à 3 fois par mois)","4. Parfois (Environ une fois par semaine)","5. Régulièrement (Plusieurs fois par semaine)","6. Quotidiennement (Une fois par jour)","7. Très fréquemment (Plusieurs fois par jour)"},0)+1,""),"")</f>
        <v/>
      </c>
      <c r="R259" t="str">
        <f>IF(DONNEES_SOURCE!$CA259=TRUE,DONNEES_SOURCE!$BW259,"")</f>
        <v/>
      </c>
      <c r="S259" t="str">
        <f>IF(DONNEES_SOURCE!$CA259=TRUE,DONNEES_SOURCE!$AU259,"")</f>
        <v/>
      </c>
      <c r="T259" t="str">
        <f>IF(DONNEES_SOURCE!$CA259=TRUE,DONNEES_SOURCE!$BW259,"")</f>
        <v/>
      </c>
      <c r="U259" t="str">
        <f>IF(DONNEES_SOURCE!$CA259=TRUE,IFERROR(MATCH(DONNEES_SOURCE!$B259,{"2. Très rarement (Moins d'une fois par mois)","3. Rarement (1 à 3 fois par mois)","4. Parfois (Environ une fois par semaine)","5. Régulièrement (Plusieurs fois par semaine)","6. Quotidiennement (Une fois par jour)","7. Très fréquemment (Plusieurs fois par jour)"},0)+1,""),"")</f>
        <v/>
      </c>
    </row>
    <row r="260" spans="16:21" x14ac:dyDescent="0.25">
      <c r="P260" t="str">
        <f>IF(DONNEES_SOURCE!$CA260=TRUE,DONNEES_SOURCE!$BV260,"")</f>
        <v/>
      </c>
      <c r="Q260" t="str">
        <f>IF(DONNEES_SOURCE!$CA260=TRUE,IFERROR(MATCH(DONNEES_SOURCE!$B260,{"2. Très rarement (Moins d'une fois par mois)","3. Rarement (1 à 3 fois par mois)","4. Parfois (Environ une fois par semaine)","5. Régulièrement (Plusieurs fois par semaine)","6. Quotidiennement (Une fois par jour)","7. Très fréquemment (Plusieurs fois par jour)"},0)+1,""),"")</f>
        <v/>
      </c>
      <c r="R260" t="str">
        <f>IF(DONNEES_SOURCE!$CA260=TRUE,DONNEES_SOURCE!$BW260,"")</f>
        <v/>
      </c>
      <c r="S260" t="str">
        <f>IF(DONNEES_SOURCE!$CA260=TRUE,DONNEES_SOURCE!$AU260,"")</f>
        <v/>
      </c>
      <c r="T260" t="str">
        <f>IF(DONNEES_SOURCE!$CA260=TRUE,DONNEES_SOURCE!$BW260,"")</f>
        <v/>
      </c>
      <c r="U260" t="str">
        <f>IF(DONNEES_SOURCE!$CA260=TRUE,IFERROR(MATCH(DONNEES_SOURCE!$B260,{"2. Très rarement (Moins d'une fois par mois)","3. Rarement (1 à 3 fois par mois)","4. Parfois (Environ une fois par semaine)","5. Régulièrement (Plusieurs fois par semaine)","6. Quotidiennement (Une fois par jour)","7. Très fréquemment (Plusieurs fois par jour)"},0)+1,""),"")</f>
        <v/>
      </c>
    </row>
    <row r="261" spans="16:21" x14ac:dyDescent="0.25">
      <c r="P261" t="str">
        <f>IF(DONNEES_SOURCE!$CA261=TRUE,DONNEES_SOURCE!$BV261,"")</f>
        <v/>
      </c>
      <c r="Q261" t="str">
        <f>IF(DONNEES_SOURCE!$CA261=TRUE,IFERROR(MATCH(DONNEES_SOURCE!$B261,{"2. Très rarement (Moins d'une fois par mois)","3. Rarement (1 à 3 fois par mois)","4. Parfois (Environ une fois par semaine)","5. Régulièrement (Plusieurs fois par semaine)","6. Quotidiennement (Une fois par jour)","7. Très fréquemment (Plusieurs fois par jour)"},0)+1,""),"")</f>
        <v/>
      </c>
      <c r="R261" t="str">
        <f>IF(DONNEES_SOURCE!$CA261=TRUE,DONNEES_SOURCE!$BW261,"")</f>
        <v/>
      </c>
      <c r="S261" t="str">
        <f>IF(DONNEES_SOURCE!$CA261=TRUE,DONNEES_SOURCE!$AU261,"")</f>
        <v/>
      </c>
      <c r="T261" t="str">
        <f>IF(DONNEES_SOURCE!$CA261=TRUE,DONNEES_SOURCE!$BW261,"")</f>
        <v/>
      </c>
      <c r="U261" t="str">
        <f>IF(DONNEES_SOURCE!$CA261=TRUE,IFERROR(MATCH(DONNEES_SOURCE!$B261,{"2. Très rarement (Moins d'une fois par mois)","3. Rarement (1 à 3 fois par mois)","4. Parfois (Environ une fois par semaine)","5. Régulièrement (Plusieurs fois par semaine)","6. Quotidiennement (Une fois par jour)","7. Très fréquemment (Plusieurs fois par jour)"},0)+1,""),"")</f>
        <v/>
      </c>
    </row>
    <row r="262" spans="16:21" x14ac:dyDescent="0.25">
      <c r="P262" t="str">
        <f>IF(DONNEES_SOURCE!$CA262=TRUE,DONNEES_SOURCE!$BV262,"")</f>
        <v/>
      </c>
      <c r="Q262" t="str">
        <f>IF(DONNEES_SOURCE!$CA262=TRUE,IFERROR(MATCH(DONNEES_SOURCE!$B262,{"2. Très rarement (Moins d'une fois par mois)","3. Rarement (1 à 3 fois par mois)","4. Parfois (Environ une fois par semaine)","5. Régulièrement (Plusieurs fois par semaine)","6. Quotidiennement (Une fois par jour)","7. Très fréquemment (Plusieurs fois par jour)"},0)+1,""),"")</f>
        <v/>
      </c>
      <c r="R262" t="str">
        <f>IF(DONNEES_SOURCE!$CA262=TRUE,DONNEES_SOURCE!$BW262,"")</f>
        <v/>
      </c>
      <c r="S262" t="str">
        <f>IF(DONNEES_SOURCE!$CA262=TRUE,DONNEES_SOURCE!$AU262,"")</f>
        <v/>
      </c>
      <c r="T262" t="str">
        <f>IF(DONNEES_SOURCE!$CA262=TRUE,DONNEES_SOURCE!$BW262,"")</f>
        <v/>
      </c>
      <c r="U262" t="str">
        <f>IF(DONNEES_SOURCE!$CA262=TRUE,IFERROR(MATCH(DONNEES_SOURCE!$B262,{"2. Très rarement (Moins d'une fois par mois)","3. Rarement (1 à 3 fois par mois)","4. Parfois (Environ une fois par semaine)","5. Régulièrement (Plusieurs fois par semaine)","6. Quotidiennement (Une fois par jour)","7. Très fréquemment (Plusieurs fois par jour)"},0)+1,""),"")</f>
        <v/>
      </c>
    </row>
    <row r="263" spans="16:21" x14ac:dyDescent="0.25">
      <c r="P263" t="str">
        <f>IF(DONNEES_SOURCE!$CA263=TRUE,DONNEES_SOURCE!$BV263,"")</f>
        <v/>
      </c>
      <c r="Q263" t="str">
        <f>IF(DONNEES_SOURCE!$CA263=TRUE,IFERROR(MATCH(DONNEES_SOURCE!$B263,{"2. Très rarement (Moins d'une fois par mois)","3. Rarement (1 à 3 fois par mois)","4. Parfois (Environ une fois par semaine)","5. Régulièrement (Plusieurs fois par semaine)","6. Quotidiennement (Une fois par jour)","7. Très fréquemment (Plusieurs fois par jour)"},0)+1,""),"")</f>
        <v/>
      </c>
      <c r="R263" t="str">
        <f>IF(DONNEES_SOURCE!$CA263=TRUE,DONNEES_SOURCE!$BW263,"")</f>
        <v/>
      </c>
      <c r="S263" t="str">
        <f>IF(DONNEES_SOURCE!$CA263=TRUE,DONNEES_SOURCE!$AU263,"")</f>
        <v/>
      </c>
      <c r="T263" t="str">
        <f>IF(DONNEES_SOURCE!$CA263=TRUE,DONNEES_SOURCE!$BW263,"")</f>
        <v/>
      </c>
      <c r="U263" t="str">
        <f>IF(DONNEES_SOURCE!$CA263=TRUE,IFERROR(MATCH(DONNEES_SOURCE!$B263,{"2. Très rarement (Moins d'une fois par mois)","3. Rarement (1 à 3 fois par mois)","4. Parfois (Environ une fois par semaine)","5. Régulièrement (Plusieurs fois par semaine)","6. Quotidiennement (Une fois par jour)","7. Très fréquemment (Plusieurs fois par jour)"},0)+1,""),"")</f>
        <v/>
      </c>
    </row>
    <row r="264" spans="16:21" x14ac:dyDescent="0.25">
      <c r="P264" t="str">
        <f>IF(DONNEES_SOURCE!$CA264=TRUE,DONNEES_SOURCE!$BV264,"")</f>
        <v/>
      </c>
      <c r="Q264" t="str">
        <f>IF(DONNEES_SOURCE!$CA264=TRUE,IFERROR(MATCH(DONNEES_SOURCE!$B264,{"2. Très rarement (Moins d'une fois par mois)","3. Rarement (1 à 3 fois par mois)","4. Parfois (Environ une fois par semaine)","5. Régulièrement (Plusieurs fois par semaine)","6. Quotidiennement (Une fois par jour)","7. Très fréquemment (Plusieurs fois par jour)"},0)+1,""),"")</f>
        <v/>
      </c>
      <c r="R264" t="str">
        <f>IF(DONNEES_SOURCE!$CA264=TRUE,DONNEES_SOURCE!$BW264,"")</f>
        <v/>
      </c>
      <c r="S264" t="str">
        <f>IF(DONNEES_SOURCE!$CA264=TRUE,DONNEES_SOURCE!$AU264,"")</f>
        <v/>
      </c>
      <c r="T264" t="str">
        <f>IF(DONNEES_SOURCE!$CA264=TRUE,DONNEES_SOURCE!$BW264,"")</f>
        <v/>
      </c>
      <c r="U264" t="str">
        <f>IF(DONNEES_SOURCE!$CA264=TRUE,IFERROR(MATCH(DONNEES_SOURCE!$B264,{"2. Très rarement (Moins d'une fois par mois)","3. Rarement (1 à 3 fois par mois)","4. Parfois (Environ une fois par semaine)","5. Régulièrement (Plusieurs fois par semaine)","6. Quotidiennement (Une fois par jour)","7. Très fréquemment (Plusieurs fois par jour)"},0)+1,""),"")</f>
        <v/>
      </c>
    </row>
    <row r="265" spans="16:21" x14ac:dyDescent="0.25">
      <c r="P265" t="str">
        <f>IF(DONNEES_SOURCE!$CA265=TRUE,DONNEES_SOURCE!$BV265,"")</f>
        <v/>
      </c>
      <c r="Q265" t="str">
        <f>IF(DONNEES_SOURCE!$CA265=TRUE,IFERROR(MATCH(DONNEES_SOURCE!$B265,{"2. Très rarement (Moins d'une fois par mois)","3. Rarement (1 à 3 fois par mois)","4. Parfois (Environ une fois par semaine)","5. Régulièrement (Plusieurs fois par semaine)","6. Quotidiennement (Une fois par jour)","7. Très fréquemment (Plusieurs fois par jour)"},0)+1,""),"")</f>
        <v/>
      </c>
      <c r="R265" t="str">
        <f>IF(DONNEES_SOURCE!$CA265=TRUE,DONNEES_SOURCE!$BW265,"")</f>
        <v/>
      </c>
      <c r="S265" t="str">
        <f>IF(DONNEES_SOURCE!$CA265=TRUE,DONNEES_SOURCE!$AU265,"")</f>
        <v/>
      </c>
      <c r="T265" t="str">
        <f>IF(DONNEES_SOURCE!$CA265=TRUE,DONNEES_SOURCE!$BW265,"")</f>
        <v/>
      </c>
      <c r="U265" t="str">
        <f>IF(DONNEES_SOURCE!$CA265=TRUE,IFERROR(MATCH(DONNEES_SOURCE!$B265,{"2. Très rarement (Moins d'une fois par mois)","3. Rarement (1 à 3 fois par mois)","4. Parfois (Environ une fois par semaine)","5. Régulièrement (Plusieurs fois par semaine)","6. Quotidiennement (Une fois par jour)","7. Très fréquemment (Plusieurs fois par jour)"},0)+1,""),"")</f>
        <v/>
      </c>
    </row>
    <row r="266" spans="16:21" x14ac:dyDescent="0.25">
      <c r="P266" t="str">
        <f>IF(DONNEES_SOURCE!$CA266=TRUE,DONNEES_SOURCE!$BV266,"")</f>
        <v/>
      </c>
      <c r="Q266" t="str">
        <f>IF(DONNEES_SOURCE!$CA266=TRUE,IFERROR(MATCH(DONNEES_SOURCE!$B266,{"2. Très rarement (Moins d'une fois par mois)","3. Rarement (1 à 3 fois par mois)","4. Parfois (Environ une fois par semaine)","5. Régulièrement (Plusieurs fois par semaine)","6. Quotidiennement (Une fois par jour)","7. Très fréquemment (Plusieurs fois par jour)"},0)+1,""),"")</f>
        <v/>
      </c>
      <c r="R266" t="str">
        <f>IF(DONNEES_SOURCE!$CA266=TRUE,DONNEES_SOURCE!$BW266,"")</f>
        <v/>
      </c>
      <c r="S266" t="str">
        <f>IF(DONNEES_SOURCE!$CA266=TRUE,DONNEES_SOURCE!$AU266,"")</f>
        <v/>
      </c>
      <c r="T266" t="str">
        <f>IF(DONNEES_SOURCE!$CA266=TRUE,DONNEES_SOURCE!$BW266,"")</f>
        <v/>
      </c>
      <c r="U266" t="str">
        <f>IF(DONNEES_SOURCE!$CA266=TRUE,IFERROR(MATCH(DONNEES_SOURCE!$B266,{"2. Très rarement (Moins d'une fois par mois)","3. Rarement (1 à 3 fois par mois)","4. Parfois (Environ une fois par semaine)","5. Régulièrement (Plusieurs fois par semaine)","6. Quotidiennement (Une fois par jour)","7. Très fréquemment (Plusieurs fois par jour)"},0)+1,""),"")</f>
        <v/>
      </c>
    </row>
    <row r="267" spans="16:21" x14ac:dyDescent="0.25">
      <c r="P267" t="str">
        <f>IF(DONNEES_SOURCE!$CA267=TRUE,DONNEES_SOURCE!$BV267,"")</f>
        <v/>
      </c>
      <c r="Q267" t="str">
        <f>IF(DONNEES_SOURCE!$CA267=TRUE,IFERROR(MATCH(DONNEES_SOURCE!$B267,{"2. Très rarement (Moins d'une fois par mois)","3. Rarement (1 à 3 fois par mois)","4. Parfois (Environ une fois par semaine)","5. Régulièrement (Plusieurs fois par semaine)","6. Quotidiennement (Une fois par jour)","7. Très fréquemment (Plusieurs fois par jour)"},0)+1,""),"")</f>
        <v/>
      </c>
      <c r="R267" t="str">
        <f>IF(DONNEES_SOURCE!$CA267=TRUE,DONNEES_SOURCE!$BW267,"")</f>
        <v/>
      </c>
      <c r="S267" t="str">
        <f>IF(DONNEES_SOURCE!$CA267=TRUE,DONNEES_SOURCE!$AU267,"")</f>
        <v/>
      </c>
      <c r="T267" t="str">
        <f>IF(DONNEES_SOURCE!$CA267=TRUE,DONNEES_SOURCE!$BW267,"")</f>
        <v/>
      </c>
      <c r="U267" t="str">
        <f>IF(DONNEES_SOURCE!$CA267=TRUE,IFERROR(MATCH(DONNEES_SOURCE!$B267,{"2. Très rarement (Moins d'une fois par mois)","3. Rarement (1 à 3 fois par mois)","4. Parfois (Environ une fois par semaine)","5. Régulièrement (Plusieurs fois par semaine)","6. Quotidiennement (Une fois par jour)","7. Très fréquemment (Plusieurs fois par jour)"},0)+1,""),"")</f>
        <v/>
      </c>
    </row>
    <row r="268" spans="16:21" x14ac:dyDescent="0.25">
      <c r="P268" t="str">
        <f>IF(DONNEES_SOURCE!$CA268=TRUE,DONNEES_SOURCE!$BV268,"")</f>
        <v/>
      </c>
      <c r="Q268" t="str">
        <f>IF(DONNEES_SOURCE!$CA268=TRUE,IFERROR(MATCH(DONNEES_SOURCE!$B268,{"2. Très rarement (Moins d'une fois par mois)","3. Rarement (1 à 3 fois par mois)","4. Parfois (Environ une fois par semaine)","5. Régulièrement (Plusieurs fois par semaine)","6. Quotidiennement (Une fois par jour)","7. Très fréquemment (Plusieurs fois par jour)"},0)+1,""),"")</f>
        <v/>
      </c>
      <c r="R268" t="str">
        <f>IF(DONNEES_SOURCE!$CA268=TRUE,DONNEES_SOURCE!$BW268,"")</f>
        <v/>
      </c>
      <c r="S268" t="str">
        <f>IF(DONNEES_SOURCE!$CA268=TRUE,DONNEES_SOURCE!$AU268,"")</f>
        <v/>
      </c>
      <c r="T268" t="str">
        <f>IF(DONNEES_SOURCE!$CA268=TRUE,DONNEES_SOURCE!$BW268,"")</f>
        <v/>
      </c>
      <c r="U268" t="str">
        <f>IF(DONNEES_SOURCE!$CA268=TRUE,IFERROR(MATCH(DONNEES_SOURCE!$B268,{"2. Très rarement (Moins d'une fois par mois)","3. Rarement (1 à 3 fois par mois)","4. Parfois (Environ une fois par semaine)","5. Régulièrement (Plusieurs fois par semaine)","6. Quotidiennement (Une fois par jour)","7. Très fréquemment (Plusieurs fois par jour)"},0)+1,""),"")</f>
        <v/>
      </c>
    </row>
    <row r="269" spans="16:21" x14ac:dyDescent="0.25">
      <c r="P269" t="str">
        <f>IF(DONNEES_SOURCE!$CA269=TRUE,DONNEES_SOURCE!$BV269,"")</f>
        <v/>
      </c>
      <c r="Q269" t="str">
        <f>IF(DONNEES_SOURCE!$CA269=TRUE,IFERROR(MATCH(DONNEES_SOURCE!$B269,{"2. Très rarement (Moins d'une fois par mois)","3. Rarement (1 à 3 fois par mois)","4. Parfois (Environ une fois par semaine)","5. Régulièrement (Plusieurs fois par semaine)","6. Quotidiennement (Une fois par jour)","7. Très fréquemment (Plusieurs fois par jour)"},0)+1,""),"")</f>
        <v/>
      </c>
      <c r="R269" t="str">
        <f>IF(DONNEES_SOURCE!$CA269=TRUE,DONNEES_SOURCE!$BW269,"")</f>
        <v/>
      </c>
      <c r="S269" t="str">
        <f>IF(DONNEES_SOURCE!$CA269=TRUE,DONNEES_SOURCE!$AU269,"")</f>
        <v/>
      </c>
      <c r="T269" t="str">
        <f>IF(DONNEES_SOURCE!$CA269=TRUE,DONNEES_SOURCE!$BW269,"")</f>
        <v/>
      </c>
      <c r="U269" t="str">
        <f>IF(DONNEES_SOURCE!$CA269=TRUE,IFERROR(MATCH(DONNEES_SOURCE!$B269,{"2. Très rarement (Moins d'une fois par mois)","3. Rarement (1 à 3 fois par mois)","4. Parfois (Environ une fois par semaine)","5. Régulièrement (Plusieurs fois par semaine)","6. Quotidiennement (Une fois par jour)","7. Très fréquemment (Plusieurs fois par jour)"},0)+1,""),"")</f>
        <v/>
      </c>
    </row>
    <row r="270" spans="16:21" x14ac:dyDescent="0.25">
      <c r="P270" t="str">
        <f>IF(DONNEES_SOURCE!$CA270=TRUE,DONNEES_SOURCE!$BV270,"")</f>
        <v/>
      </c>
      <c r="Q270" t="str">
        <f>IF(DONNEES_SOURCE!$CA270=TRUE,IFERROR(MATCH(DONNEES_SOURCE!$B270,{"2. Très rarement (Moins d'une fois par mois)","3. Rarement (1 à 3 fois par mois)","4. Parfois (Environ une fois par semaine)","5. Régulièrement (Plusieurs fois par semaine)","6. Quotidiennement (Une fois par jour)","7. Très fréquemment (Plusieurs fois par jour)"},0)+1,""),"")</f>
        <v/>
      </c>
      <c r="R270" t="str">
        <f>IF(DONNEES_SOURCE!$CA270=TRUE,DONNEES_SOURCE!$BW270,"")</f>
        <v/>
      </c>
      <c r="S270" t="str">
        <f>IF(DONNEES_SOURCE!$CA270=TRUE,DONNEES_SOURCE!$AU270,"")</f>
        <v/>
      </c>
      <c r="T270" t="str">
        <f>IF(DONNEES_SOURCE!$CA270=TRUE,DONNEES_SOURCE!$BW270,"")</f>
        <v/>
      </c>
      <c r="U270" t="str">
        <f>IF(DONNEES_SOURCE!$CA270=TRUE,IFERROR(MATCH(DONNEES_SOURCE!$B270,{"2. Très rarement (Moins d'une fois par mois)","3. Rarement (1 à 3 fois par mois)","4. Parfois (Environ une fois par semaine)","5. Régulièrement (Plusieurs fois par semaine)","6. Quotidiennement (Une fois par jour)","7. Très fréquemment (Plusieurs fois par jour)"},0)+1,""),"")</f>
        <v/>
      </c>
    </row>
    <row r="271" spans="16:21" x14ac:dyDescent="0.25">
      <c r="P271" t="str">
        <f>IF(DONNEES_SOURCE!$CA271=TRUE,DONNEES_SOURCE!$BV271,"")</f>
        <v/>
      </c>
      <c r="Q271" t="str">
        <f>IF(DONNEES_SOURCE!$CA271=TRUE,IFERROR(MATCH(DONNEES_SOURCE!$B271,{"2. Très rarement (Moins d'une fois par mois)","3. Rarement (1 à 3 fois par mois)","4. Parfois (Environ une fois par semaine)","5. Régulièrement (Plusieurs fois par semaine)","6. Quotidiennement (Une fois par jour)","7. Très fréquemment (Plusieurs fois par jour)"},0)+1,""),"")</f>
        <v/>
      </c>
      <c r="R271" t="str">
        <f>IF(DONNEES_SOURCE!$CA271=TRUE,DONNEES_SOURCE!$BW271,"")</f>
        <v/>
      </c>
      <c r="S271" t="str">
        <f>IF(DONNEES_SOURCE!$CA271=TRUE,DONNEES_SOURCE!$AU271,"")</f>
        <v/>
      </c>
      <c r="T271" t="str">
        <f>IF(DONNEES_SOURCE!$CA271=TRUE,DONNEES_SOURCE!$BW271,"")</f>
        <v/>
      </c>
      <c r="U271" t="str">
        <f>IF(DONNEES_SOURCE!$CA271=TRUE,IFERROR(MATCH(DONNEES_SOURCE!$B271,{"2. Très rarement (Moins d'une fois par mois)","3. Rarement (1 à 3 fois par mois)","4. Parfois (Environ une fois par semaine)","5. Régulièrement (Plusieurs fois par semaine)","6. Quotidiennement (Une fois par jour)","7. Très fréquemment (Plusieurs fois par jour)"},0)+1,""),"")</f>
        <v/>
      </c>
    </row>
    <row r="272" spans="16:21" x14ac:dyDescent="0.25">
      <c r="P272" t="str">
        <f>IF(DONNEES_SOURCE!$CA272=TRUE,DONNEES_SOURCE!$BV272,"")</f>
        <v/>
      </c>
      <c r="Q272" t="str">
        <f>IF(DONNEES_SOURCE!$CA272=TRUE,IFERROR(MATCH(DONNEES_SOURCE!$B272,{"2. Très rarement (Moins d'une fois par mois)","3. Rarement (1 à 3 fois par mois)","4. Parfois (Environ une fois par semaine)","5. Régulièrement (Plusieurs fois par semaine)","6. Quotidiennement (Une fois par jour)","7. Très fréquemment (Plusieurs fois par jour)"},0)+1,""),"")</f>
        <v/>
      </c>
      <c r="R272" t="str">
        <f>IF(DONNEES_SOURCE!$CA272=TRUE,DONNEES_SOURCE!$BW272,"")</f>
        <v/>
      </c>
      <c r="S272" t="str">
        <f>IF(DONNEES_SOURCE!$CA272=TRUE,DONNEES_SOURCE!$AU272,"")</f>
        <v/>
      </c>
      <c r="T272" t="str">
        <f>IF(DONNEES_SOURCE!$CA272=TRUE,DONNEES_SOURCE!$BW272,"")</f>
        <v/>
      </c>
      <c r="U272" t="str">
        <f>IF(DONNEES_SOURCE!$CA272=TRUE,IFERROR(MATCH(DONNEES_SOURCE!$B272,{"2. Très rarement (Moins d'une fois par mois)","3. Rarement (1 à 3 fois par mois)","4. Parfois (Environ une fois par semaine)","5. Régulièrement (Plusieurs fois par semaine)","6. Quotidiennement (Une fois par jour)","7. Très fréquemment (Plusieurs fois par jour)"},0)+1,""),"")</f>
        <v/>
      </c>
    </row>
    <row r="273" spans="16:21" x14ac:dyDescent="0.25">
      <c r="P273" t="str">
        <f>IF(DONNEES_SOURCE!$CA273=TRUE,DONNEES_SOURCE!$BV273,"")</f>
        <v/>
      </c>
      <c r="Q273" t="str">
        <f>IF(DONNEES_SOURCE!$CA273=TRUE,IFERROR(MATCH(DONNEES_SOURCE!$B273,{"2. Très rarement (Moins d'une fois par mois)","3. Rarement (1 à 3 fois par mois)","4. Parfois (Environ une fois par semaine)","5. Régulièrement (Plusieurs fois par semaine)","6. Quotidiennement (Une fois par jour)","7. Très fréquemment (Plusieurs fois par jour)"},0)+1,""),"")</f>
        <v/>
      </c>
      <c r="R273" t="str">
        <f>IF(DONNEES_SOURCE!$CA273=TRUE,DONNEES_SOURCE!$BW273,"")</f>
        <v/>
      </c>
      <c r="S273" t="str">
        <f>IF(DONNEES_SOURCE!$CA273=TRUE,DONNEES_SOURCE!$AU273,"")</f>
        <v/>
      </c>
      <c r="T273" t="str">
        <f>IF(DONNEES_SOURCE!$CA273=TRUE,DONNEES_SOURCE!$BW273,"")</f>
        <v/>
      </c>
      <c r="U273" t="str">
        <f>IF(DONNEES_SOURCE!$CA273=TRUE,IFERROR(MATCH(DONNEES_SOURCE!$B273,{"2. Très rarement (Moins d'une fois par mois)","3. Rarement (1 à 3 fois par mois)","4. Parfois (Environ une fois par semaine)","5. Régulièrement (Plusieurs fois par semaine)","6. Quotidiennement (Une fois par jour)","7. Très fréquemment (Plusieurs fois par jour)"},0)+1,""),"")</f>
        <v/>
      </c>
    </row>
    <row r="274" spans="16:21" x14ac:dyDescent="0.25">
      <c r="P274" t="str">
        <f>IF(DONNEES_SOURCE!$CA274=TRUE,DONNEES_SOURCE!$BV274,"")</f>
        <v/>
      </c>
      <c r="Q274" t="str">
        <f>IF(DONNEES_SOURCE!$CA274=TRUE,IFERROR(MATCH(DONNEES_SOURCE!$B274,{"2. Très rarement (Moins d'une fois par mois)","3. Rarement (1 à 3 fois par mois)","4. Parfois (Environ une fois par semaine)","5. Régulièrement (Plusieurs fois par semaine)","6. Quotidiennement (Une fois par jour)","7. Très fréquemment (Plusieurs fois par jour)"},0)+1,""),"")</f>
        <v/>
      </c>
      <c r="R274" t="str">
        <f>IF(DONNEES_SOURCE!$CA274=TRUE,DONNEES_SOURCE!$BW274,"")</f>
        <v/>
      </c>
      <c r="S274" t="str">
        <f>IF(DONNEES_SOURCE!$CA274=TRUE,DONNEES_SOURCE!$AU274,"")</f>
        <v/>
      </c>
      <c r="T274" t="str">
        <f>IF(DONNEES_SOURCE!$CA274=TRUE,DONNEES_SOURCE!$BW274,"")</f>
        <v/>
      </c>
      <c r="U274" t="str">
        <f>IF(DONNEES_SOURCE!$CA274=TRUE,IFERROR(MATCH(DONNEES_SOURCE!$B274,{"2. Très rarement (Moins d'une fois par mois)","3. Rarement (1 à 3 fois par mois)","4. Parfois (Environ une fois par semaine)","5. Régulièrement (Plusieurs fois par semaine)","6. Quotidiennement (Une fois par jour)","7. Très fréquemment (Plusieurs fois par jour)"},0)+1,""),"")</f>
        <v/>
      </c>
    </row>
    <row r="275" spans="16:21" x14ac:dyDescent="0.25">
      <c r="P275" t="str">
        <f>IF(DONNEES_SOURCE!$CA275=TRUE,DONNEES_SOURCE!$BV275,"")</f>
        <v/>
      </c>
      <c r="Q275" t="str">
        <f>IF(DONNEES_SOURCE!$CA275=TRUE,IFERROR(MATCH(DONNEES_SOURCE!$B275,{"2. Très rarement (Moins d'une fois par mois)","3. Rarement (1 à 3 fois par mois)","4. Parfois (Environ une fois par semaine)","5. Régulièrement (Plusieurs fois par semaine)","6. Quotidiennement (Une fois par jour)","7. Très fréquemment (Plusieurs fois par jour)"},0)+1,""),"")</f>
        <v/>
      </c>
      <c r="R275" t="str">
        <f>IF(DONNEES_SOURCE!$CA275=TRUE,DONNEES_SOURCE!$BW275,"")</f>
        <v/>
      </c>
      <c r="S275" t="str">
        <f>IF(DONNEES_SOURCE!$CA275=TRUE,DONNEES_SOURCE!$AU275,"")</f>
        <v/>
      </c>
      <c r="T275" t="str">
        <f>IF(DONNEES_SOURCE!$CA275=TRUE,DONNEES_SOURCE!$BW275,"")</f>
        <v/>
      </c>
      <c r="U275" t="str">
        <f>IF(DONNEES_SOURCE!$CA275=TRUE,IFERROR(MATCH(DONNEES_SOURCE!$B275,{"2. Très rarement (Moins d'une fois par mois)","3. Rarement (1 à 3 fois par mois)","4. Parfois (Environ une fois par semaine)","5. Régulièrement (Plusieurs fois par semaine)","6. Quotidiennement (Une fois par jour)","7. Très fréquemment (Plusieurs fois par jour)"},0)+1,""),"")</f>
        <v/>
      </c>
    </row>
    <row r="276" spans="16:21" x14ac:dyDescent="0.25">
      <c r="P276" t="str">
        <f>IF(DONNEES_SOURCE!$CA276=TRUE,DONNEES_SOURCE!$BV276,"")</f>
        <v/>
      </c>
      <c r="Q276" t="str">
        <f>IF(DONNEES_SOURCE!$CA276=TRUE,IFERROR(MATCH(DONNEES_SOURCE!$B276,{"2. Très rarement (Moins d'une fois par mois)","3. Rarement (1 à 3 fois par mois)","4. Parfois (Environ une fois par semaine)","5. Régulièrement (Plusieurs fois par semaine)","6. Quotidiennement (Une fois par jour)","7. Très fréquemment (Plusieurs fois par jour)"},0)+1,""),"")</f>
        <v/>
      </c>
      <c r="R276" t="str">
        <f>IF(DONNEES_SOURCE!$CA276=TRUE,DONNEES_SOURCE!$BW276,"")</f>
        <v/>
      </c>
      <c r="S276" t="str">
        <f>IF(DONNEES_SOURCE!$CA276=TRUE,DONNEES_SOURCE!$AU276,"")</f>
        <v/>
      </c>
      <c r="T276" t="str">
        <f>IF(DONNEES_SOURCE!$CA276=TRUE,DONNEES_SOURCE!$BW276,"")</f>
        <v/>
      </c>
      <c r="U276" t="str">
        <f>IF(DONNEES_SOURCE!$CA276=TRUE,IFERROR(MATCH(DONNEES_SOURCE!$B276,{"2. Très rarement (Moins d'une fois par mois)","3. Rarement (1 à 3 fois par mois)","4. Parfois (Environ une fois par semaine)","5. Régulièrement (Plusieurs fois par semaine)","6. Quotidiennement (Une fois par jour)","7. Très fréquemment (Plusieurs fois par jour)"},0)+1,""),"")</f>
        <v/>
      </c>
    </row>
    <row r="277" spans="16:21" x14ac:dyDescent="0.25">
      <c r="P277" t="str">
        <f>IF(DONNEES_SOURCE!$CA277=TRUE,DONNEES_SOURCE!$BV277,"")</f>
        <v/>
      </c>
      <c r="Q277" t="str">
        <f>IF(DONNEES_SOURCE!$CA277=TRUE,IFERROR(MATCH(DONNEES_SOURCE!$B277,{"2. Très rarement (Moins d'une fois par mois)","3. Rarement (1 à 3 fois par mois)","4. Parfois (Environ une fois par semaine)","5. Régulièrement (Plusieurs fois par semaine)","6. Quotidiennement (Une fois par jour)","7. Très fréquemment (Plusieurs fois par jour)"},0)+1,""),"")</f>
        <v/>
      </c>
      <c r="R277" t="str">
        <f>IF(DONNEES_SOURCE!$CA277=TRUE,DONNEES_SOURCE!$BW277,"")</f>
        <v/>
      </c>
      <c r="S277" t="str">
        <f>IF(DONNEES_SOURCE!$CA277=TRUE,DONNEES_SOURCE!$AU277,"")</f>
        <v/>
      </c>
      <c r="T277" t="str">
        <f>IF(DONNEES_SOURCE!$CA277=TRUE,DONNEES_SOURCE!$BW277,"")</f>
        <v/>
      </c>
      <c r="U277" t="str">
        <f>IF(DONNEES_SOURCE!$CA277=TRUE,IFERROR(MATCH(DONNEES_SOURCE!$B277,{"2. Très rarement (Moins d'une fois par mois)","3. Rarement (1 à 3 fois par mois)","4. Parfois (Environ une fois par semaine)","5. Régulièrement (Plusieurs fois par semaine)","6. Quotidiennement (Une fois par jour)","7. Très fréquemment (Plusieurs fois par jour)"},0)+1,""),"")</f>
        <v/>
      </c>
    </row>
    <row r="278" spans="16:21" x14ac:dyDescent="0.25">
      <c r="P278" t="str">
        <f>IF(DONNEES_SOURCE!$CA278=TRUE,DONNEES_SOURCE!$BV278,"")</f>
        <v/>
      </c>
      <c r="Q278" t="str">
        <f>IF(DONNEES_SOURCE!$CA278=TRUE,IFERROR(MATCH(DONNEES_SOURCE!$B278,{"2. Très rarement (Moins d'une fois par mois)","3. Rarement (1 à 3 fois par mois)","4. Parfois (Environ une fois par semaine)","5. Régulièrement (Plusieurs fois par semaine)","6. Quotidiennement (Une fois par jour)","7. Très fréquemment (Plusieurs fois par jour)"},0)+1,""),"")</f>
        <v/>
      </c>
      <c r="R278" t="str">
        <f>IF(DONNEES_SOURCE!$CA278=TRUE,DONNEES_SOURCE!$BW278,"")</f>
        <v/>
      </c>
      <c r="S278" t="str">
        <f>IF(DONNEES_SOURCE!$CA278=TRUE,DONNEES_SOURCE!$AU278,"")</f>
        <v/>
      </c>
      <c r="T278" t="str">
        <f>IF(DONNEES_SOURCE!$CA278=TRUE,DONNEES_SOURCE!$BW278,"")</f>
        <v/>
      </c>
      <c r="U278" t="str">
        <f>IF(DONNEES_SOURCE!$CA278=TRUE,IFERROR(MATCH(DONNEES_SOURCE!$B278,{"2. Très rarement (Moins d'une fois par mois)","3. Rarement (1 à 3 fois par mois)","4. Parfois (Environ une fois par semaine)","5. Régulièrement (Plusieurs fois par semaine)","6. Quotidiennement (Une fois par jour)","7. Très fréquemment (Plusieurs fois par jour)"},0)+1,""),"")</f>
        <v/>
      </c>
    </row>
    <row r="279" spans="16:21" x14ac:dyDescent="0.25">
      <c r="P279" t="str">
        <f>IF(DONNEES_SOURCE!$CA279=TRUE,DONNEES_SOURCE!$BV279,"")</f>
        <v/>
      </c>
      <c r="Q279" t="str">
        <f>IF(DONNEES_SOURCE!$CA279=TRUE,IFERROR(MATCH(DONNEES_SOURCE!$B279,{"2. Très rarement (Moins d'une fois par mois)","3. Rarement (1 à 3 fois par mois)","4. Parfois (Environ une fois par semaine)","5. Régulièrement (Plusieurs fois par semaine)","6. Quotidiennement (Une fois par jour)","7. Très fréquemment (Plusieurs fois par jour)"},0)+1,""),"")</f>
        <v/>
      </c>
      <c r="R279" t="str">
        <f>IF(DONNEES_SOURCE!$CA279=TRUE,DONNEES_SOURCE!$BW279,"")</f>
        <v/>
      </c>
      <c r="S279" t="str">
        <f>IF(DONNEES_SOURCE!$CA279=TRUE,DONNEES_SOURCE!$AU279,"")</f>
        <v/>
      </c>
      <c r="T279" t="str">
        <f>IF(DONNEES_SOURCE!$CA279=TRUE,DONNEES_SOURCE!$BW279,"")</f>
        <v/>
      </c>
      <c r="U279" t="str">
        <f>IF(DONNEES_SOURCE!$CA279=TRUE,IFERROR(MATCH(DONNEES_SOURCE!$B279,{"2. Très rarement (Moins d'une fois par mois)","3. Rarement (1 à 3 fois par mois)","4. Parfois (Environ une fois par semaine)","5. Régulièrement (Plusieurs fois par semaine)","6. Quotidiennement (Une fois par jour)","7. Très fréquemment (Plusieurs fois par jour)"},0)+1,""),"")</f>
        <v/>
      </c>
    </row>
    <row r="280" spans="16:21" x14ac:dyDescent="0.25">
      <c r="P280" t="str">
        <f>IF(DONNEES_SOURCE!$CA280=TRUE,DONNEES_SOURCE!$BV280,"")</f>
        <v/>
      </c>
      <c r="Q280" t="str">
        <f>IF(DONNEES_SOURCE!$CA280=TRUE,IFERROR(MATCH(DONNEES_SOURCE!$B280,{"2. Très rarement (Moins d'une fois par mois)","3. Rarement (1 à 3 fois par mois)","4. Parfois (Environ une fois par semaine)","5. Régulièrement (Plusieurs fois par semaine)","6. Quotidiennement (Une fois par jour)","7. Très fréquemment (Plusieurs fois par jour)"},0)+1,""),"")</f>
        <v/>
      </c>
      <c r="R280" t="str">
        <f>IF(DONNEES_SOURCE!$CA280=TRUE,DONNEES_SOURCE!$BW280,"")</f>
        <v/>
      </c>
      <c r="S280" t="str">
        <f>IF(DONNEES_SOURCE!$CA280=TRUE,DONNEES_SOURCE!$AU280,"")</f>
        <v/>
      </c>
      <c r="T280" t="str">
        <f>IF(DONNEES_SOURCE!$CA280=TRUE,DONNEES_SOURCE!$BW280,"")</f>
        <v/>
      </c>
      <c r="U280" t="str">
        <f>IF(DONNEES_SOURCE!$CA280=TRUE,IFERROR(MATCH(DONNEES_SOURCE!$B280,{"2. Très rarement (Moins d'une fois par mois)","3. Rarement (1 à 3 fois par mois)","4. Parfois (Environ une fois par semaine)","5. Régulièrement (Plusieurs fois par semaine)","6. Quotidiennement (Une fois par jour)","7. Très fréquemment (Plusieurs fois par jour)"},0)+1,""),"")</f>
        <v/>
      </c>
    </row>
    <row r="281" spans="16:21" x14ac:dyDescent="0.25">
      <c r="P281" t="str">
        <f>IF(DONNEES_SOURCE!$CA281=TRUE,DONNEES_SOURCE!$BV281,"")</f>
        <v/>
      </c>
      <c r="Q281" t="str">
        <f>IF(DONNEES_SOURCE!$CA281=TRUE,IFERROR(MATCH(DONNEES_SOURCE!$B281,{"2. Très rarement (Moins d'une fois par mois)","3. Rarement (1 à 3 fois par mois)","4. Parfois (Environ une fois par semaine)","5. Régulièrement (Plusieurs fois par semaine)","6. Quotidiennement (Une fois par jour)","7. Très fréquemment (Plusieurs fois par jour)"},0)+1,""),"")</f>
        <v/>
      </c>
      <c r="R281" t="str">
        <f>IF(DONNEES_SOURCE!$CA281=TRUE,DONNEES_SOURCE!$BW281,"")</f>
        <v/>
      </c>
      <c r="S281" t="str">
        <f>IF(DONNEES_SOURCE!$CA281=TRUE,DONNEES_SOURCE!$AU281,"")</f>
        <v/>
      </c>
      <c r="T281" t="str">
        <f>IF(DONNEES_SOURCE!$CA281=TRUE,DONNEES_SOURCE!$BW281,"")</f>
        <v/>
      </c>
      <c r="U281" t="str">
        <f>IF(DONNEES_SOURCE!$CA281=TRUE,IFERROR(MATCH(DONNEES_SOURCE!$B281,{"2. Très rarement (Moins d'une fois par mois)","3. Rarement (1 à 3 fois par mois)","4. Parfois (Environ une fois par semaine)","5. Régulièrement (Plusieurs fois par semaine)","6. Quotidiennement (Une fois par jour)","7. Très fréquemment (Plusieurs fois par jour)"},0)+1,""),"")</f>
        <v/>
      </c>
    </row>
    <row r="282" spans="16:21" x14ac:dyDescent="0.25">
      <c r="P282" t="str">
        <f>IF(DONNEES_SOURCE!$CA282=TRUE,DONNEES_SOURCE!$BV282,"")</f>
        <v/>
      </c>
      <c r="Q282" t="str">
        <f>IF(DONNEES_SOURCE!$CA282=TRUE,IFERROR(MATCH(DONNEES_SOURCE!$B282,{"2. Très rarement (Moins d'une fois par mois)","3. Rarement (1 à 3 fois par mois)","4. Parfois (Environ une fois par semaine)","5. Régulièrement (Plusieurs fois par semaine)","6. Quotidiennement (Une fois par jour)","7. Très fréquemment (Plusieurs fois par jour)"},0)+1,""),"")</f>
        <v/>
      </c>
      <c r="R282" t="str">
        <f>IF(DONNEES_SOURCE!$CA282=TRUE,DONNEES_SOURCE!$BW282,"")</f>
        <v/>
      </c>
      <c r="S282" t="str">
        <f>IF(DONNEES_SOURCE!$CA282=TRUE,DONNEES_SOURCE!$AU282,"")</f>
        <v/>
      </c>
      <c r="T282" t="str">
        <f>IF(DONNEES_SOURCE!$CA282=TRUE,DONNEES_SOURCE!$BW282,"")</f>
        <v/>
      </c>
      <c r="U282" t="str">
        <f>IF(DONNEES_SOURCE!$CA282=TRUE,IFERROR(MATCH(DONNEES_SOURCE!$B282,{"2. Très rarement (Moins d'une fois par mois)","3. Rarement (1 à 3 fois par mois)","4. Parfois (Environ une fois par semaine)","5. Régulièrement (Plusieurs fois par semaine)","6. Quotidiennement (Une fois par jour)","7. Très fréquemment (Plusieurs fois par jour)"},0)+1,""),"")</f>
        <v/>
      </c>
    </row>
    <row r="283" spans="16:21" x14ac:dyDescent="0.25">
      <c r="P283" t="str">
        <f>IF(DONNEES_SOURCE!$CA283=TRUE,DONNEES_SOURCE!$BV283,"")</f>
        <v/>
      </c>
      <c r="Q283" t="str">
        <f>IF(DONNEES_SOURCE!$CA283=TRUE,IFERROR(MATCH(DONNEES_SOURCE!$B283,{"2. Très rarement (Moins d'une fois par mois)","3. Rarement (1 à 3 fois par mois)","4. Parfois (Environ une fois par semaine)","5. Régulièrement (Plusieurs fois par semaine)","6. Quotidiennement (Une fois par jour)","7. Très fréquemment (Plusieurs fois par jour)"},0)+1,""),"")</f>
        <v/>
      </c>
      <c r="R283" t="str">
        <f>IF(DONNEES_SOURCE!$CA283=TRUE,DONNEES_SOURCE!$BW283,"")</f>
        <v/>
      </c>
      <c r="S283" t="str">
        <f>IF(DONNEES_SOURCE!$CA283=TRUE,DONNEES_SOURCE!$AU283,"")</f>
        <v/>
      </c>
      <c r="T283" t="str">
        <f>IF(DONNEES_SOURCE!$CA283=TRUE,DONNEES_SOURCE!$BW283,"")</f>
        <v/>
      </c>
      <c r="U283" t="str">
        <f>IF(DONNEES_SOURCE!$CA283=TRUE,IFERROR(MATCH(DONNEES_SOURCE!$B283,{"2. Très rarement (Moins d'une fois par mois)","3. Rarement (1 à 3 fois par mois)","4. Parfois (Environ une fois par semaine)","5. Régulièrement (Plusieurs fois par semaine)","6. Quotidiennement (Une fois par jour)","7. Très fréquemment (Plusieurs fois par jour)"},0)+1,""),"")</f>
        <v/>
      </c>
    </row>
    <row r="284" spans="16:21" x14ac:dyDescent="0.25">
      <c r="P284" t="str">
        <f>IF(DONNEES_SOURCE!$CA284=TRUE,DONNEES_SOURCE!$BV284,"")</f>
        <v/>
      </c>
      <c r="Q284" t="str">
        <f>IF(DONNEES_SOURCE!$CA284=TRUE,IFERROR(MATCH(DONNEES_SOURCE!$B284,{"2. Très rarement (Moins d'une fois par mois)","3. Rarement (1 à 3 fois par mois)","4. Parfois (Environ une fois par semaine)","5. Régulièrement (Plusieurs fois par semaine)","6. Quotidiennement (Une fois par jour)","7. Très fréquemment (Plusieurs fois par jour)"},0)+1,""),"")</f>
        <v/>
      </c>
      <c r="R284" t="str">
        <f>IF(DONNEES_SOURCE!$CA284=TRUE,DONNEES_SOURCE!$BW284,"")</f>
        <v/>
      </c>
      <c r="S284" t="str">
        <f>IF(DONNEES_SOURCE!$CA284=TRUE,DONNEES_SOURCE!$AU284,"")</f>
        <v/>
      </c>
      <c r="T284" t="str">
        <f>IF(DONNEES_SOURCE!$CA284=TRUE,DONNEES_SOURCE!$BW284,"")</f>
        <v/>
      </c>
      <c r="U284" t="str">
        <f>IF(DONNEES_SOURCE!$CA284=TRUE,IFERROR(MATCH(DONNEES_SOURCE!$B284,{"2. Très rarement (Moins d'une fois par mois)","3. Rarement (1 à 3 fois par mois)","4. Parfois (Environ une fois par semaine)","5. Régulièrement (Plusieurs fois par semaine)","6. Quotidiennement (Une fois par jour)","7. Très fréquemment (Plusieurs fois par jour)"},0)+1,""),"")</f>
        <v/>
      </c>
    </row>
    <row r="285" spans="16:21" x14ac:dyDescent="0.25">
      <c r="P285" t="str">
        <f>IF(DONNEES_SOURCE!$CA285=TRUE,DONNEES_SOURCE!$BV285,"")</f>
        <v/>
      </c>
      <c r="Q285" t="str">
        <f>IF(DONNEES_SOURCE!$CA285=TRUE,IFERROR(MATCH(DONNEES_SOURCE!$B285,{"2. Très rarement (Moins d'une fois par mois)","3. Rarement (1 à 3 fois par mois)","4. Parfois (Environ une fois par semaine)","5. Régulièrement (Plusieurs fois par semaine)","6. Quotidiennement (Une fois par jour)","7. Très fréquemment (Plusieurs fois par jour)"},0)+1,""),"")</f>
        <v/>
      </c>
      <c r="R285" t="str">
        <f>IF(DONNEES_SOURCE!$CA285=TRUE,DONNEES_SOURCE!$BW285,"")</f>
        <v/>
      </c>
      <c r="S285" t="str">
        <f>IF(DONNEES_SOURCE!$CA285=TRUE,DONNEES_SOURCE!$AU285,"")</f>
        <v/>
      </c>
      <c r="T285" t="str">
        <f>IF(DONNEES_SOURCE!$CA285=TRUE,DONNEES_SOURCE!$BW285,"")</f>
        <v/>
      </c>
      <c r="U285" t="str">
        <f>IF(DONNEES_SOURCE!$CA285=TRUE,IFERROR(MATCH(DONNEES_SOURCE!$B285,{"2. Très rarement (Moins d'une fois par mois)","3. Rarement (1 à 3 fois par mois)","4. Parfois (Environ une fois par semaine)","5. Régulièrement (Plusieurs fois par semaine)","6. Quotidiennement (Une fois par jour)","7. Très fréquemment (Plusieurs fois par jour)"},0)+1,""),"")</f>
        <v/>
      </c>
    </row>
    <row r="286" spans="16:21" x14ac:dyDescent="0.25">
      <c r="P286" t="str">
        <f>IF(DONNEES_SOURCE!$CA286=TRUE,DONNEES_SOURCE!$BV286,"")</f>
        <v/>
      </c>
      <c r="Q286" t="str">
        <f>IF(DONNEES_SOURCE!$CA286=TRUE,IFERROR(MATCH(DONNEES_SOURCE!$B286,{"2. Très rarement (Moins d'une fois par mois)","3. Rarement (1 à 3 fois par mois)","4. Parfois (Environ une fois par semaine)","5. Régulièrement (Plusieurs fois par semaine)","6. Quotidiennement (Une fois par jour)","7. Très fréquemment (Plusieurs fois par jour)"},0)+1,""),"")</f>
        <v/>
      </c>
      <c r="R286" t="str">
        <f>IF(DONNEES_SOURCE!$CA286=TRUE,DONNEES_SOURCE!$BW286,"")</f>
        <v/>
      </c>
      <c r="S286" t="str">
        <f>IF(DONNEES_SOURCE!$CA286=TRUE,DONNEES_SOURCE!$AU286,"")</f>
        <v/>
      </c>
      <c r="T286" t="str">
        <f>IF(DONNEES_SOURCE!$CA286=TRUE,DONNEES_SOURCE!$BW286,"")</f>
        <v/>
      </c>
      <c r="U286" t="str">
        <f>IF(DONNEES_SOURCE!$CA286=TRUE,IFERROR(MATCH(DONNEES_SOURCE!$B286,{"2. Très rarement (Moins d'une fois par mois)","3. Rarement (1 à 3 fois par mois)","4. Parfois (Environ une fois par semaine)","5. Régulièrement (Plusieurs fois par semaine)","6. Quotidiennement (Une fois par jour)","7. Très fréquemment (Plusieurs fois par jour)"},0)+1,""),"")</f>
        <v/>
      </c>
    </row>
    <row r="287" spans="16:21" x14ac:dyDescent="0.25">
      <c r="P287" t="str">
        <f>IF(DONNEES_SOURCE!$CA287=TRUE,DONNEES_SOURCE!$BV287,"")</f>
        <v/>
      </c>
      <c r="Q287" t="str">
        <f>IF(DONNEES_SOURCE!$CA287=TRUE,IFERROR(MATCH(DONNEES_SOURCE!$B287,{"2. Très rarement (Moins d'une fois par mois)","3. Rarement (1 à 3 fois par mois)","4. Parfois (Environ une fois par semaine)","5. Régulièrement (Plusieurs fois par semaine)","6. Quotidiennement (Une fois par jour)","7. Très fréquemment (Plusieurs fois par jour)"},0)+1,""),"")</f>
        <v/>
      </c>
      <c r="R287" t="str">
        <f>IF(DONNEES_SOURCE!$CA287=TRUE,DONNEES_SOURCE!$BW287,"")</f>
        <v/>
      </c>
      <c r="S287" t="str">
        <f>IF(DONNEES_SOURCE!$CA287=TRUE,DONNEES_SOURCE!$AU287,"")</f>
        <v/>
      </c>
      <c r="T287" t="str">
        <f>IF(DONNEES_SOURCE!$CA287=TRUE,DONNEES_SOURCE!$BW287,"")</f>
        <v/>
      </c>
      <c r="U287" t="str">
        <f>IF(DONNEES_SOURCE!$CA287=TRUE,IFERROR(MATCH(DONNEES_SOURCE!$B287,{"2. Très rarement (Moins d'une fois par mois)","3. Rarement (1 à 3 fois par mois)","4. Parfois (Environ une fois par semaine)","5. Régulièrement (Plusieurs fois par semaine)","6. Quotidiennement (Une fois par jour)","7. Très fréquemment (Plusieurs fois par jour)"},0)+1,""),"")</f>
        <v/>
      </c>
    </row>
    <row r="288" spans="16:21" x14ac:dyDescent="0.25">
      <c r="P288" t="str">
        <f>IF(DONNEES_SOURCE!$CA288=TRUE,DONNEES_SOURCE!$BV288,"")</f>
        <v/>
      </c>
      <c r="Q288" t="str">
        <f>IF(DONNEES_SOURCE!$CA288=TRUE,IFERROR(MATCH(DONNEES_SOURCE!$B288,{"2. Très rarement (Moins d'une fois par mois)","3. Rarement (1 à 3 fois par mois)","4. Parfois (Environ une fois par semaine)","5. Régulièrement (Plusieurs fois par semaine)","6. Quotidiennement (Une fois par jour)","7. Très fréquemment (Plusieurs fois par jour)"},0)+1,""),"")</f>
        <v/>
      </c>
      <c r="R288" t="str">
        <f>IF(DONNEES_SOURCE!$CA288=TRUE,DONNEES_SOURCE!$BW288,"")</f>
        <v/>
      </c>
      <c r="S288" t="str">
        <f>IF(DONNEES_SOURCE!$CA288=TRUE,DONNEES_SOURCE!$AU288,"")</f>
        <v/>
      </c>
      <c r="T288" t="str">
        <f>IF(DONNEES_SOURCE!$CA288=TRUE,DONNEES_SOURCE!$BW288,"")</f>
        <v/>
      </c>
      <c r="U288" t="str">
        <f>IF(DONNEES_SOURCE!$CA288=TRUE,IFERROR(MATCH(DONNEES_SOURCE!$B288,{"2. Très rarement (Moins d'une fois par mois)","3. Rarement (1 à 3 fois par mois)","4. Parfois (Environ une fois par semaine)","5. Régulièrement (Plusieurs fois par semaine)","6. Quotidiennement (Une fois par jour)","7. Très fréquemment (Plusieurs fois par jour)"},0)+1,""),"")</f>
        <v/>
      </c>
    </row>
    <row r="289" spans="16:21" x14ac:dyDescent="0.25">
      <c r="P289" t="str">
        <f>IF(DONNEES_SOURCE!$CA289=TRUE,DONNEES_SOURCE!$BV289,"")</f>
        <v/>
      </c>
      <c r="Q289" t="str">
        <f>IF(DONNEES_SOURCE!$CA289=TRUE,IFERROR(MATCH(DONNEES_SOURCE!$B289,{"2. Très rarement (Moins d'une fois par mois)","3. Rarement (1 à 3 fois par mois)","4. Parfois (Environ une fois par semaine)","5. Régulièrement (Plusieurs fois par semaine)","6. Quotidiennement (Une fois par jour)","7. Très fréquemment (Plusieurs fois par jour)"},0)+1,""),"")</f>
        <v/>
      </c>
      <c r="R289" t="str">
        <f>IF(DONNEES_SOURCE!$CA289=TRUE,DONNEES_SOURCE!$BW289,"")</f>
        <v/>
      </c>
      <c r="S289" t="str">
        <f>IF(DONNEES_SOURCE!$CA289=TRUE,DONNEES_SOURCE!$AU289,"")</f>
        <v/>
      </c>
      <c r="T289" t="str">
        <f>IF(DONNEES_SOURCE!$CA289=TRUE,DONNEES_SOURCE!$BW289,"")</f>
        <v/>
      </c>
      <c r="U289" t="str">
        <f>IF(DONNEES_SOURCE!$CA289=TRUE,IFERROR(MATCH(DONNEES_SOURCE!$B289,{"2. Très rarement (Moins d'une fois par mois)","3. Rarement (1 à 3 fois par mois)","4. Parfois (Environ une fois par semaine)","5. Régulièrement (Plusieurs fois par semaine)","6. Quotidiennement (Une fois par jour)","7. Très fréquemment (Plusieurs fois par jour)"},0)+1,""),"")</f>
        <v/>
      </c>
    </row>
    <row r="290" spans="16:21" x14ac:dyDescent="0.25">
      <c r="P290" t="str">
        <f>IF(DONNEES_SOURCE!$CA290=TRUE,DONNEES_SOURCE!$BV290,"")</f>
        <v/>
      </c>
      <c r="Q290" t="str">
        <f>IF(DONNEES_SOURCE!$CA290=TRUE,IFERROR(MATCH(DONNEES_SOURCE!$B290,{"2. Très rarement (Moins d'une fois par mois)","3. Rarement (1 à 3 fois par mois)","4. Parfois (Environ une fois par semaine)","5. Régulièrement (Plusieurs fois par semaine)","6. Quotidiennement (Une fois par jour)","7. Très fréquemment (Plusieurs fois par jour)"},0)+1,""),"")</f>
        <v/>
      </c>
      <c r="R290" t="str">
        <f>IF(DONNEES_SOURCE!$CA290=TRUE,DONNEES_SOURCE!$BW290,"")</f>
        <v/>
      </c>
      <c r="S290" t="str">
        <f>IF(DONNEES_SOURCE!$CA290=TRUE,DONNEES_SOURCE!$AU290,"")</f>
        <v/>
      </c>
      <c r="T290" t="str">
        <f>IF(DONNEES_SOURCE!$CA290=TRUE,DONNEES_SOURCE!$BW290,"")</f>
        <v/>
      </c>
      <c r="U290" t="str">
        <f>IF(DONNEES_SOURCE!$CA290=TRUE,IFERROR(MATCH(DONNEES_SOURCE!$B290,{"2. Très rarement (Moins d'une fois par mois)","3. Rarement (1 à 3 fois par mois)","4. Parfois (Environ une fois par semaine)","5. Régulièrement (Plusieurs fois par semaine)","6. Quotidiennement (Une fois par jour)","7. Très fréquemment (Plusieurs fois par jour)"},0)+1,""),"")</f>
        <v/>
      </c>
    </row>
    <row r="291" spans="16:21" x14ac:dyDescent="0.25">
      <c r="P291" t="str">
        <f>IF(DONNEES_SOURCE!$CA291=TRUE,DONNEES_SOURCE!$BV291,"")</f>
        <v/>
      </c>
      <c r="Q291" t="str">
        <f>IF(DONNEES_SOURCE!$CA291=TRUE,IFERROR(MATCH(DONNEES_SOURCE!$B291,{"2. Très rarement (Moins d'une fois par mois)","3. Rarement (1 à 3 fois par mois)","4. Parfois (Environ une fois par semaine)","5. Régulièrement (Plusieurs fois par semaine)","6. Quotidiennement (Une fois par jour)","7. Très fréquemment (Plusieurs fois par jour)"},0)+1,""),"")</f>
        <v/>
      </c>
      <c r="R291" t="str">
        <f>IF(DONNEES_SOURCE!$CA291=TRUE,DONNEES_SOURCE!$BW291,"")</f>
        <v/>
      </c>
      <c r="S291" t="str">
        <f>IF(DONNEES_SOURCE!$CA291=TRUE,DONNEES_SOURCE!$AU291,"")</f>
        <v/>
      </c>
      <c r="T291" t="str">
        <f>IF(DONNEES_SOURCE!$CA291=TRUE,DONNEES_SOURCE!$BW291,"")</f>
        <v/>
      </c>
      <c r="U291" t="str">
        <f>IF(DONNEES_SOURCE!$CA291=TRUE,IFERROR(MATCH(DONNEES_SOURCE!$B291,{"2. Très rarement (Moins d'une fois par mois)","3. Rarement (1 à 3 fois par mois)","4. Parfois (Environ une fois par semaine)","5. Régulièrement (Plusieurs fois par semaine)","6. Quotidiennement (Une fois par jour)","7. Très fréquemment (Plusieurs fois par jour)"},0)+1,""),"")</f>
        <v/>
      </c>
    </row>
    <row r="292" spans="16:21" x14ac:dyDescent="0.25">
      <c r="P292" t="str">
        <f>IF(DONNEES_SOURCE!$CA292=TRUE,DONNEES_SOURCE!$BV292,"")</f>
        <v/>
      </c>
      <c r="Q292" t="str">
        <f>IF(DONNEES_SOURCE!$CA292=TRUE,IFERROR(MATCH(DONNEES_SOURCE!$B292,{"2. Très rarement (Moins d'une fois par mois)","3. Rarement (1 à 3 fois par mois)","4. Parfois (Environ une fois par semaine)","5. Régulièrement (Plusieurs fois par semaine)","6. Quotidiennement (Une fois par jour)","7. Très fréquemment (Plusieurs fois par jour)"},0)+1,""),"")</f>
        <v/>
      </c>
      <c r="R292" t="str">
        <f>IF(DONNEES_SOURCE!$CA292=TRUE,DONNEES_SOURCE!$BW292,"")</f>
        <v/>
      </c>
      <c r="S292" t="str">
        <f>IF(DONNEES_SOURCE!$CA292=TRUE,DONNEES_SOURCE!$AU292,"")</f>
        <v/>
      </c>
      <c r="T292" t="str">
        <f>IF(DONNEES_SOURCE!$CA292=TRUE,DONNEES_SOURCE!$BW292,"")</f>
        <v/>
      </c>
      <c r="U292" t="str">
        <f>IF(DONNEES_SOURCE!$CA292=TRUE,IFERROR(MATCH(DONNEES_SOURCE!$B292,{"2. Très rarement (Moins d'une fois par mois)","3. Rarement (1 à 3 fois par mois)","4. Parfois (Environ une fois par semaine)","5. Régulièrement (Plusieurs fois par semaine)","6. Quotidiennement (Une fois par jour)","7. Très fréquemment (Plusieurs fois par jour)"},0)+1,""),"")</f>
        <v/>
      </c>
    </row>
    <row r="293" spans="16:21" x14ac:dyDescent="0.25">
      <c r="P293" t="str">
        <f>IF(DONNEES_SOURCE!$CA293=TRUE,DONNEES_SOURCE!$BV293,"")</f>
        <v/>
      </c>
      <c r="Q293" t="str">
        <f>IF(DONNEES_SOURCE!$CA293=TRUE,IFERROR(MATCH(DONNEES_SOURCE!$B293,{"2. Très rarement (Moins d'une fois par mois)","3. Rarement (1 à 3 fois par mois)","4. Parfois (Environ une fois par semaine)","5. Régulièrement (Plusieurs fois par semaine)","6. Quotidiennement (Une fois par jour)","7. Très fréquemment (Plusieurs fois par jour)"},0)+1,""),"")</f>
        <v/>
      </c>
      <c r="R293" t="str">
        <f>IF(DONNEES_SOURCE!$CA293=TRUE,DONNEES_SOURCE!$BW293,"")</f>
        <v/>
      </c>
      <c r="S293" t="str">
        <f>IF(DONNEES_SOURCE!$CA293=TRUE,DONNEES_SOURCE!$AU293,"")</f>
        <v/>
      </c>
      <c r="T293" t="str">
        <f>IF(DONNEES_SOURCE!$CA293=TRUE,DONNEES_SOURCE!$BW293,"")</f>
        <v/>
      </c>
      <c r="U293" t="str">
        <f>IF(DONNEES_SOURCE!$CA293=TRUE,IFERROR(MATCH(DONNEES_SOURCE!$B293,{"2. Très rarement (Moins d'une fois par mois)","3. Rarement (1 à 3 fois par mois)","4. Parfois (Environ une fois par semaine)","5. Régulièrement (Plusieurs fois par semaine)","6. Quotidiennement (Une fois par jour)","7. Très fréquemment (Plusieurs fois par jour)"},0)+1,""),"")</f>
        <v/>
      </c>
    </row>
    <row r="294" spans="16:21" x14ac:dyDescent="0.25">
      <c r="P294" t="str">
        <f>IF(DONNEES_SOURCE!$CA294=TRUE,DONNEES_SOURCE!$BV294,"")</f>
        <v/>
      </c>
      <c r="Q294" t="str">
        <f>IF(DONNEES_SOURCE!$CA294=TRUE,IFERROR(MATCH(DONNEES_SOURCE!$B294,{"2. Très rarement (Moins d'une fois par mois)","3. Rarement (1 à 3 fois par mois)","4. Parfois (Environ une fois par semaine)","5. Régulièrement (Plusieurs fois par semaine)","6. Quotidiennement (Une fois par jour)","7. Très fréquemment (Plusieurs fois par jour)"},0)+1,""),"")</f>
        <v/>
      </c>
      <c r="R294" t="str">
        <f>IF(DONNEES_SOURCE!$CA294=TRUE,DONNEES_SOURCE!$BW294,"")</f>
        <v/>
      </c>
      <c r="S294" t="str">
        <f>IF(DONNEES_SOURCE!$CA294=TRUE,DONNEES_SOURCE!$AU294,"")</f>
        <v/>
      </c>
      <c r="T294" t="str">
        <f>IF(DONNEES_SOURCE!$CA294=TRUE,DONNEES_SOURCE!$BW294,"")</f>
        <v/>
      </c>
      <c r="U294" t="str">
        <f>IF(DONNEES_SOURCE!$CA294=TRUE,IFERROR(MATCH(DONNEES_SOURCE!$B294,{"2. Très rarement (Moins d'une fois par mois)","3. Rarement (1 à 3 fois par mois)","4. Parfois (Environ une fois par semaine)","5. Régulièrement (Plusieurs fois par semaine)","6. Quotidiennement (Une fois par jour)","7. Très fréquemment (Plusieurs fois par jour)"},0)+1,""),"")</f>
        <v/>
      </c>
    </row>
    <row r="295" spans="16:21" x14ac:dyDescent="0.25">
      <c r="P295" t="str">
        <f>IF(DONNEES_SOURCE!$CA295=TRUE,DONNEES_SOURCE!$BV295,"")</f>
        <v/>
      </c>
      <c r="Q295" t="str">
        <f>IF(DONNEES_SOURCE!$CA295=TRUE,IFERROR(MATCH(DONNEES_SOURCE!$B295,{"2. Très rarement (Moins d'une fois par mois)","3. Rarement (1 à 3 fois par mois)","4. Parfois (Environ une fois par semaine)","5. Régulièrement (Plusieurs fois par semaine)","6. Quotidiennement (Une fois par jour)","7. Très fréquemment (Plusieurs fois par jour)"},0)+1,""),"")</f>
        <v/>
      </c>
      <c r="R295" t="str">
        <f>IF(DONNEES_SOURCE!$CA295=TRUE,DONNEES_SOURCE!$BW295,"")</f>
        <v/>
      </c>
      <c r="S295" t="str">
        <f>IF(DONNEES_SOURCE!$CA295=TRUE,DONNEES_SOURCE!$AU295,"")</f>
        <v/>
      </c>
      <c r="T295" t="str">
        <f>IF(DONNEES_SOURCE!$CA295=TRUE,DONNEES_SOURCE!$BW295,"")</f>
        <v/>
      </c>
      <c r="U295" t="str">
        <f>IF(DONNEES_SOURCE!$CA295=TRUE,IFERROR(MATCH(DONNEES_SOURCE!$B295,{"2. Très rarement (Moins d'une fois par mois)","3. Rarement (1 à 3 fois par mois)","4. Parfois (Environ une fois par semaine)","5. Régulièrement (Plusieurs fois par semaine)","6. Quotidiennement (Une fois par jour)","7. Très fréquemment (Plusieurs fois par jour)"},0)+1,""),"")</f>
        <v/>
      </c>
    </row>
    <row r="296" spans="16:21" x14ac:dyDescent="0.25">
      <c r="P296" t="str">
        <f>IF(DONNEES_SOURCE!$CA296=TRUE,DONNEES_SOURCE!$BV296,"")</f>
        <v/>
      </c>
      <c r="Q296" t="str">
        <f>IF(DONNEES_SOURCE!$CA296=TRUE,IFERROR(MATCH(DONNEES_SOURCE!$B296,{"2. Très rarement (Moins d'une fois par mois)","3. Rarement (1 à 3 fois par mois)","4. Parfois (Environ une fois par semaine)","5. Régulièrement (Plusieurs fois par semaine)","6. Quotidiennement (Une fois par jour)","7. Très fréquemment (Plusieurs fois par jour)"},0)+1,""),"")</f>
        <v/>
      </c>
      <c r="R296" t="str">
        <f>IF(DONNEES_SOURCE!$CA296=TRUE,DONNEES_SOURCE!$BW296,"")</f>
        <v/>
      </c>
      <c r="S296" t="str">
        <f>IF(DONNEES_SOURCE!$CA296=TRUE,DONNEES_SOURCE!$AU296,"")</f>
        <v/>
      </c>
      <c r="T296" t="str">
        <f>IF(DONNEES_SOURCE!$CA296=TRUE,DONNEES_SOURCE!$BW296,"")</f>
        <v/>
      </c>
      <c r="U296" t="str">
        <f>IF(DONNEES_SOURCE!$CA296=TRUE,IFERROR(MATCH(DONNEES_SOURCE!$B296,{"2. Très rarement (Moins d'une fois par mois)","3. Rarement (1 à 3 fois par mois)","4. Parfois (Environ une fois par semaine)","5. Régulièrement (Plusieurs fois par semaine)","6. Quotidiennement (Une fois par jour)","7. Très fréquemment (Plusieurs fois par jour)"},0)+1,""),"")</f>
        <v/>
      </c>
    </row>
    <row r="297" spans="16:21" x14ac:dyDescent="0.25">
      <c r="P297" t="str">
        <f>IF(DONNEES_SOURCE!$CA297=TRUE,DONNEES_SOURCE!$BV297,"")</f>
        <v/>
      </c>
      <c r="Q297" t="str">
        <f>IF(DONNEES_SOURCE!$CA297=TRUE,IFERROR(MATCH(DONNEES_SOURCE!$B297,{"2. Très rarement (Moins d'une fois par mois)","3. Rarement (1 à 3 fois par mois)","4. Parfois (Environ une fois par semaine)","5. Régulièrement (Plusieurs fois par semaine)","6. Quotidiennement (Une fois par jour)","7. Très fréquemment (Plusieurs fois par jour)"},0)+1,""),"")</f>
        <v/>
      </c>
      <c r="R297" t="str">
        <f>IF(DONNEES_SOURCE!$CA297=TRUE,DONNEES_SOURCE!$BW297,"")</f>
        <v/>
      </c>
      <c r="S297" t="str">
        <f>IF(DONNEES_SOURCE!$CA297=TRUE,DONNEES_SOURCE!$AU297,"")</f>
        <v/>
      </c>
      <c r="T297" t="str">
        <f>IF(DONNEES_SOURCE!$CA297=TRUE,DONNEES_SOURCE!$BW297,"")</f>
        <v/>
      </c>
      <c r="U297" t="str">
        <f>IF(DONNEES_SOURCE!$CA297=TRUE,IFERROR(MATCH(DONNEES_SOURCE!$B297,{"2. Très rarement (Moins d'une fois par mois)","3. Rarement (1 à 3 fois par mois)","4. Parfois (Environ une fois par semaine)","5. Régulièrement (Plusieurs fois par semaine)","6. Quotidiennement (Une fois par jour)","7. Très fréquemment (Plusieurs fois par jour)"},0)+1,""),"")</f>
        <v/>
      </c>
    </row>
    <row r="298" spans="16:21" x14ac:dyDescent="0.25">
      <c r="P298" t="str">
        <f>IF(DONNEES_SOURCE!$CA298=TRUE,DONNEES_SOURCE!$BV298,"")</f>
        <v/>
      </c>
      <c r="Q298" t="str">
        <f>IF(DONNEES_SOURCE!$CA298=TRUE,IFERROR(MATCH(DONNEES_SOURCE!$B298,{"2. Très rarement (Moins d'une fois par mois)","3. Rarement (1 à 3 fois par mois)","4. Parfois (Environ une fois par semaine)","5. Régulièrement (Plusieurs fois par semaine)","6. Quotidiennement (Une fois par jour)","7. Très fréquemment (Plusieurs fois par jour)"},0)+1,""),"")</f>
        <v/>
      </c>
      <c r="R298" t="str">
        <f>IF(DONNEES_SOURCE!$CA298=TRUE,DONNEES_SOURCE!$BW298,"")</f>
        <v/>
      </c>
      <c r="S298" t="str">
        <f>IF(DONNEES_SOURCE!$CA298=TRUE,DONNEES_SOURCE!$AU298,"")</f>
        <v/>
      </c>
      <c r="T298" t="str">
        <f>IF(DONNEES_SOURCE!$CA298=TRUE,DONNEES_SOURCE!$BW298,"")</f>
        <v/>
      </c>
      <c r="U298" t="str">
        <f>IF(DONNEES_SOURCE!$CA298=TRUE,IFERROR(MATCH(DONNEES_SOURCE!$B298,{"2. Très rarement (Moins d'une fois par mois)","3. Rarement (1 à 3 fois par mois)","4. Parfois (Environ une fois par semaine)","5. Régulièrement (Plusieurs fois par semaine)","6. Quotidiennement (Une fois par jour)","7. Très fréquemment (Plusieurs fois par jour)"},0)+1,""),"")</f>
        <v/>
      </c>
    </row>
    <row r="299" spans="16:21" x14ac:dyDescent="0.25">
      <c r="P299" t="str">
        <f>IF(DONNEES_SOURCE!$CA299=TRUE,DONNEES_SOURCE!$BV299,"")</f>
        <v/>
      </c>
      <c r="Q299" t="str">
        <f>IF(DONNEES_SOURCE!$CA299=TRUE,IFERROR(MATCH(DONNEES_SOURCE!$B299,{"2. Très rarement (Moins d'une fois par mois)","3. Rarement (1 à 3 fois par mois)","4. Parfois (Environ une fois par semaine)","5. Régulièrement (Plusieurs fois par semaine)","6. Quotidiennement (Une fois par jour)","7. Très fréquemment (Plusieurs fois par jour)"},0)+1,""),"")</f>
        <v/>
      </c>
      <c r="R299" t="str">
        <f>IF(DONNEES_SOURCE!$CA299=TRUE,DONNEES_SOURCE!$BW299,"")</f>
        <v/>
      </c>
      <c r="S299" t="str">
        <f>IF(DONNEES_SOURCE!$CA299=TRUE,DONNEES_SOURCE!$AU299,"")</f>
        <v/>
      </c>
      <c r="T299" t="str">
        <f>IF(DONNEES_SOURCE!$CA299=TRUE,DONNEES_SOURCE!$BW299,"")</f>
        <v/>
      </c>
      <c r="U299" t="str">
        <f>IF(DONNEES_SOURCE!$CA299=TRUE,IFERROR(MATCH(DONNEES_SOURCE!$B299,{"2. Très rarement (Moins d'une fois par mois)","3. Rarement (1 à 3 fois par mois)","4. Parfois (Environ une fois par semaine)","5. Régulièrement (Plusieurs fois par semaine)","6. Quotidiennement (Une fois par jour)","7. Très fréquemment (Plusieurs fois par jour)"},0)+1,""),"")</f>
        <v/>
      </c>
    </row>
    <row r="300" spans="16:21" x14ac:dyDescent="0.25">
      <c r="P300" t="str">
        <f>IF(DONNEES_SOURCE!$CA300=TRUE,DONNEES_SOURCE!$BV300,"")</f>
        <v/>
      </c>
      <c r="Q300" t="str">
        <f>IF(DONNEES_SOURCE!$CA300=TRUE,IFERROR(MATCH(DONNEES_SOURCE!$B300,{"2. Très rarement (Moins d'une fois par mois)","3. Rarement (1 à 3 fois par mois)","4. Parfois (Environ une fois par semaine)","5. Régulièrement (Plusieurs fois par semaine)","6. Quotidiennement (Une fois par jour)","7. Très fréquemment (Plusieurs fois par jour)"},0)+1,""),"")</f>
        <v/>
      </c>
      <c r="R300" t="str">
        <f>IF(DONNEES_SOURCE!$CA300=TRUE,DONNEES_SOURCE!$BW300,"")</f>
        <v/>
      </c>
      <c r="S300" t="str">
        <f>IF(DONNEES_SOURCE!$CA300=TRUE,DONNEES_SOURCE!$AU300,"")</f>
        <v/>
      </c>
      <c r="T300" t="str">
        <f>IF(DONNEES_SOURCE!$CA300=TRUE,DONNEES_SOURCE!$BW300,"")</f>
        <v/>
      </c>
      <c r="U300" t="str">
        <f>IF(DONNEES_SOURCE!$CA300=TRUE,IFERROR(MATCH(DONNEES_SOURCE!$B300,{"2. Très rarement (Moins d'une fois par mois)","3. Rarement (1 à 3 fois par mois)","4. Parfois (Environ une fois par semaine)","5. Régulièrement (Plusieurs fois par semaine)","6. Quotidiennement (Une fois par jour)","7. Très fréquemment (Plusieurs fois par jour)"},0)+1,""),"")</f>
        <v/>
      </c>
    </row>
    <row r="301" spans="16:21" x14ac:dyDescent="0.25">
      <c r="P301" t="str">
        <f>IF(DONNEES_SOURCE!$CA301=TRUE,DONNEES_SOURCE!$BV301,"")</f>
        <v/>
      </c>
      <c r="Q301" t="str">
        <f>IF(DONNEES_SOURCE!$CA301=TRUE,IFERROR(MATCH(DONNEES_SOURCE!$B301,{"2. Très rarement (Moins d'une fois par mois)","3. Rarement (1 à 3 fois par mois)","4. Parfois (Environ une fois par semaine)","5. Régulièrement (Plusieurs fois par semaine)","6. Quotidiennement (Une fois par jour)","7. Très fréquemment (Plusieurs fois par jour)"},0)+1,""),"")</f>
        <v/>
      </c>
      <c r="R301" t="str">
        <f>IF(DONNEES_SOURCE!$CA301=TRUE,DONNEES_SOURCE!$BW301,"")</f>
        <v/>
      </c>
      <c r="S301" t="str">
        <f>IF(DONNEES_SOURCE!$CA301=TRUE,DONNEES_SOURCE!$AU301,"")</f>
        <v/>
      </c>
      <c r="T301" t="str">
        <f>IF(DONNEES_SOURCE!$CA301=TRUE,DONNEES_SOURCE!$BW301,"")</f>
        <v/>
      </c>
      <c r="U301" t="str">
        <f>IF(DONNEES_SOURCE!$CA301=TRUE,IFERROR(MATCH(DONNEES_SOURCE!$B301,{"2. Très rarement (Moins d'une fois par mois)","3. Rarement (1 à 3 fois par mois)","4. Parfois (Environ une fois par semaine)","5. Régulièrement (Plusieurs fois par semaine)","6. Quotidiennement (Une fois par jour)","7. Très fréquemment (Plusieurs fois par jour)"},0)+1,""),"")</f>
        <v/>
      </c>
    </row>
    <row r="302" spans="16:21" x14ac:dyDescent="0.25">
      <c r="P302" t="str">
        <f>IF(DONNEES_SOURCE!$CA302=TRUE,DONNEES_SOURCE!$BV302,"")</f>
        <v/>
      </c>
      <c r="Q302" t="str">
        <f>IF(DONNEES_SOURCE!$CA302=TRUE,IFERROR(MATCH(DONNEES_SOURCE!$B302,{"2. Très rarement (Moins d'une fois par mois)","3. Rarement (1 à 3 fois par mois)","4. Parfois (Environ une fois par semaine)","5. Régulièrement (Plusieurs fois par semaine)","6. Quotidiennement (Une fois par jour)","7. Très fréquemment (Plusieurs fois par jour)"},0)+1,""),"")</f>
        <v/>
      </c>
      <c r="R302" t="str">
        <f>IF(DONNEES_SOURCE!$CA302=TRUE,DONNEES_SOURCE!$BW302,"")</f>
        <v/>
      </c>
      <c r="S302" t="str">
        <f>IF(DONNEES_SOURCE!$CA302=TRUE,DONNEES_SOURCE!$AU302,"")</f>
        <v/>
      </c>
      <c r="T302" t="str">
        <f>IF(DONNEES_SOURCE!$CA302=TRUE,DONNEES_SOURCE!$BW302,"")</f>
        <v/>
      </c>
      <c r="U302" t="str">
        <f>IF(DONNEES_SOURCE!$CA302=TRUE,IFERROR(MATCH(DONNEES_SOURCE!$B302,{"2. Très rarement (Moins d'une fois par mois)","3. Rarement (1 à 3 fois par mois)","4. Parfois (Environ une fois par semaine)","5. Régulièrement (Plusieurs fois par semaine)","6. Quotidiennement (Une fois par jour)","7. Très fréquemment (Plusieurs fois par jour)"},0)+1,""),"")</f>
        <v/>
      </c>
    </row>
    <row r="303" spans="16:21" x14ac:dyDescent="0.25">
      <c r="P303" t="str">
        <f>IF(DONNEES_SOURCE!$CA303=TRUE,DONNEES_SOURCE!$BV303,"")</f>
        <v/>
      </c>
      <c r="Q303" t="str">
        <f>IF(DONNEES_SOURCE!$CA303=TRUE,IFERROR(MATCH(DONNEES_SOURCE!$B303,{"2. Très rarement (Moins d'une fois par mois)","3. Rarement (1 à 3 fois par mois)","4. Parfois (Environ une fois par semaine)","5. Régulièrement (Plusieurs fois par semaine)","6. Quotidiennement (Une fois par jour)","7. Très fréquemment (Plusieurs fois par jour)"},0)+1,""),"")</f>
        <v/>
      </c>
      <c r="R303" t="str">
        <f>IF(DONNEES_SOURCE!$CA303=TRUE,DONNEES_SOURCE!$BW303,"")</f>
        <v/>
      </c>
      <c r="S303" t="str">
        <f>IF(DONNEES_SOURCE!$CA303=TRUE,DONNEES_SOURCE!$AU303,"")</f>
        <v/>
      </c>
      <c r="T303" t="str">
        <f>IF(DONNEES_SOURCE!$CA303=TRUE,DONNEES_SOURCE!$BW303,"")</f>
        <v/>
      </c>
      <c r="U303" t="str">
        <f>IF(DONNEES_SOURCE!$CA303=TRUE,IFERROR(MATCH(DONNEES_SOURCE!$B303,{"2. Très rarement (Moins d'une fois par mois)","3. Rarement (1 à 3 fois par mois)","4. Parfois (Environ une fois par semaine)","5. Régulièrement (Plusieurs fois par semaine)","6. Quotidiennement (Une fois par jour)","7. Très fréquemment (Plusieurs fois par jour)"},0)+1,""),"")</f>
        <v/>
      </c>
    </row>
    <row r="304" spans="16:21" x14ac:dyDescent="0.25">
      <c r="P304" t="str">
        <f>IF(DONNEES_SOURCE!$CA304=TRUE,DONNEES_SOURCE!$BV304,"")</f>
        <v/>
      </c>
      <c r="Q304" t="str">
        <f>IF(DONNEES_SOURCE!$CA304=TRUE,IFERROR(MATCH(DONNEES_SOURCE!$B304,{"2. Très rarement (Moins d'une fois par mois)","3. Rarement (1 à 3 fois par mois)","4. Parfois (Environ une fois par semaine)","5. Régulièrement (Plusieurs fois par semaine)","6. Quotidiennement (Une fois par jour)","7. Très fréquemment (Plusieurs fois par jour)"},0)+1,""),"")</f>
        <v/>
      </c>
      <c r="R304" t="str">
        <f>IF(DONNEES_SOURCE!$CA304=TRUE,DONNEES_SOURCE!$BW304,"")</f>
        <v/>
      </c>
      <c r="S304" t="str">
        <f>IF(DONNEES_SOURCE!$CA304=TRUE,DONNEES_SOURCE!$AU304,"")</f>
        <v/>
      </c>
      <c r="T304" t="str">
        <f>IF(DONNEES_SOURCE!$CA304=TRUE,DONNEES_SOURCE!$BW304,"")</f>
        <v/>
      </c>
      <c r="U304" t="str">
        <f>IF(DONNEES_SOURCE!$CA304=TRUE,IFERROR(MATCH(DONNEES_SOURCE!$B304,{"2. Très rarement (Moins d'une fois par mois)","3. Rarement (1 à 3 fois par mois)","4. Parfois (Environ une fois par semaine)","5. Régulièrement (Plusieurs fois par semaine)","6. Quotidiennement (Une fois par jour)","7. Très fréquemment (Plusieurs fois par jour)"},0)+1,""),"")</f>
        <v/>
      </c>
    </row>
    <row r="305" spans="16:21" x14ac:dyDescent="0.25">
      <c r="P305" t="str">
        <f>IF(DONNEES_SOURCE!$CA305=TRUE,DONNEES_SOURCE!$BV305,"")</f>
        <v/>
      </c>
      <c r="Q305" t="str">
        <f>IF(DONNEES_SOURCE!$CA305=TRUE,IFERROR(MATCH(DONNEES_SOURCE!$B305,{"2. Très rarement (Moins d'une fois par mois)","3. Rarement (1 à 3 fois par mois)","4. Parfois (Environ une fois par semaine)","5. Régulièrement (Plusieurs fois par semaine)","6. Quotidiennement (Une fois par jour)","7. Très fréquemment (Plusieurs fois par jour)"},0)+1,""),"")</f>
        <v/>
      </c>
      <c r="R305" t="str">
        <f>IF(DONNEES_SOURCE!$CA305=TRUE,DONNEES_SOURCE!$BW305,"")</f>
        <v/>
      </c>
      <c r="S305" t="str">
        <f>IF(DONNEES_SOURCE!$CA305=TRUE,DONNEES_SOURCE!$AU305,"")</f>
        <v/>
      </c>
      <c r="T305" t="str">
        <f>IF(DONNEES_SOURCE!$CA305=TRUE,DONNEES_SOURCE!$BW305,"")</f>
        <v/>
      </c>
      <c r="U305" t="str">
        <f>IF(DONNEES_SOURCE!$CA305=TRUE,IFERROR(MATCH(DONNEES_SOURCE!$B305,{"2. Très rarement (Moins d'une fois par mois)","3. Rarement (1 à 3 fois par mois)","4. Parfois (Environ une fois par semaine)","5. Régulièrement (Plusieurs fois par semaine)","6. Quotidiennement (Une fois par jour)","7. Très fréquemment (Plusieurs fois par jour)"},0)+1,""),"")</f>
        <v/>
      </c>
    </row>
    <row r="306" spans="16:21" x14ac:dyDescent="0.25">
      <c r="P306" t="str">
        <f>IF(DONNEES_SOURCE!$CA306=TRUE,DONNEES_SOURCE!$BV306,"")</f>
        <v/>
      </c>
      <c r="Q306" t="str">
        <f>IF(DONNEES_SOURCE!$CA306=TRUE,IFERROR(MATCH(DONNEES_SOURCE!$B306,{"2. Très rarement (Moins d'une fois par mois)","3. Rarement (1 à 3 fois par mois)","4. Parfois (Environ une fois par semaine)","5. Régulièrement (Plusieurs fois par semaine)","6. Quotidiennement (Une fois par jour)","7. Très fréquemment (Plusieurs fois par jour)"},0)+1,""),"")</f>
        <v/>
      </c>
      <c r="R306" t="str">
        <f>IF(DONNEES_SOURCE!$CA306=TRUE,DONNEES_SOURCE!$BW306,"")</f>
        <v/>
      </c>
      <c r="S306" t="str">
        <f>IF(DONNEES_SOURCE!$CA306=TRUE,DONNEES_SOURCE!$AU306,"")</f>
        <v/>
      </c>
      <c r="T306" t="str">
        <f>IF(DONNEES_SOURCE!$CA306=TRUE,DONNEES_SOURCE!$BW306,"")</f>
        <v/>
      </c>
      <c r="U306" t="str">
        <f>IF(DONNEES_SOURCE!$CA306=TRUE,IFERROR(MATCH(DONNEES_SOURCE!$B306,{"2. Très rarement (Moins d'une fois par mois)","3. Rarement (1 à 3 fois par mois)","4. Parfois (Environ une fois par semaine)","5. Régulièrement (Plusieurs fois par semaine)","6. Quotidiennement (Une fois par jour)","7. Très fréquemment (Plusieurs fois par jour)"},0)+1,""),"")</f>
        <v/>
      </c>
    </row>
    <row r="307" spans="16:21" x14ac:dyDescent="0.25">
      <c r="P307" t="str">
        <f>IF(DONNEES_SOURCE!$CA307=TRUE,DONNEES_SOURCE!$BV307,"")</f>
        <v/>
      </c>
      <c r="Q307" t="str">
        <f>IF(DONNEES_SOURCE!$CA307=TRUE,IFERROR(MATCH(DONNEES_SOURCE!$B307,{"2. Très rarement (Moins d'une fois par mois)","3. Rarement (1 à 3 fois par mois)","4. Parfois (Environ une fois par semaine)","5. Régulièrement (Plusieurs fois par semaine)","6. Quotidiennement (Une fois par jour)","7. Très fréquemment (Plusieurs fois par jour)"},0)+1,""),"")</f>
        <v/>
      </c>
      <c r="R307" t="str">
        <f>IF(DONNEES_SOURCE!$CA307=TRUE,DONNEES_SOURCE!$BW307,"")</f>
        <v/>
      </c>
      <c r="S307" t="str">
        <f>IF(DONNEES_SOURCE!$CA307=TRUE,DONNEES_SOURCE!$AU307,"")</f>
        <v/>
      </c>
      <c r="T307" t="str">
        <f>IF(DONNEES_SOURCE!$CA307=TRUE,DONNEES_SOURCE!$BW307,"")</f>
        <v/>
      </c>
      <c r="U307" t="str">
        <f>IF(DONNEES_SOURCE!$CA307=TRUE,IFERROR(MATCH(DONNEES_SOURCE!$B307,{"2. Très rarement (Moins d'une fois par mois)","3. Rarement (1 à 3 fois par mois)","4. Parfois (Environ une fois par semaine)","5. Régulièrement (Plusieurs fois par semaine)","6. Quotidiennement (Une fois par jour)","7. Très fréquemment (Plusieurs fois par jour)"},0)+1,""),"")</f>
        <v/>
      </c>
    </row>
    <row r="308" spans="16:21" x14ac:dyDescent="0.25">
      <c r="P308" t="str">
        <f>IF(DONNEES_SOURCE!$CA308=TRUE,DONNEES_SOURCE!$BV308,"")</f>
        <v/>
      </c>
      <c r="Q308" t="str">
        <f>IF(DONNEES_SOURCE!$CA308=TRUE,IFERROR(MATCH(DONNEES_SOURCE!$B308,{"2. Très rarement (Moins d'une fois par mois)","3. Rarement (1 à 3 fois par mois)","4. Parfois (Environ une fois par semaine)","5. Régulièrement (Plusieurs fois par semaine)","6. Quotidiennement (Une fois par jour)","7. Très fréquemment (Plusieurs fois par jour)"},0)+1,""),"")</f>
        <v/>
      </c>
      <c r="R308" t="str">
        <f>IF(DONNEES_SOURCE!$CA308=TRUE,DONNEES_SOURCE!$BW308,"")</f>
        <v/>
      </c>
      <c r="S308" t="str">
        <f>IF(DONNEES_SOURCE!$CA308=TRUE,DONNEES_SOURCE!$AU308,"")</f>
        <v/>
      </c>
      <c r="T308" t="str">
        <f>IF(DONNEES_SOURCE!$CA308=TRUE,DONNEES_SOURCE!$BW308,"")</f>
        <v/>
      </c>
      <c r="U308" t="str">
        <f>IF(DONNEES_SOURCE!$CA308=TRUE,IFERROR(MATCH(DONNEES_SOURCE!$B308,{"2. Très rarement (Moins d'une fois par mois)","3. Rarement (1 à 3 fois par mois)","4. Parfois (Environ une fois par semaine)","5. Régulièrement (Plusieurs fois par semaine)","6. Quotidiennement (Une fois par jour)","7. Très fréquemment (Plusieurs fois par jour)"},0)+1,""),"")</f>
        <v/>
      </c>
    </row>
    <row r="309" spans="16:21" x14ac:dyDescent="0.25">
      <c r="P309" t="str">
        <f>IF(DONNEES_SOURCE!$CA309=TRUE,DONNEES_SOURCE!$BV309,"")</f>
        <v/>
      </c>
      <c r="Q309" t="str">
        <f>IF(DONNEES_SOURCE!$CA309=TRUE,IFERROR(MATCH(DONNEES_SOURCE!$B309,{"2. Très rarement (Moins d'une fois par mois)","3. Rarement (1 à 3 fois par mois)","4. Parfois (Environ une fois par semaine)","5. Régulièrement (Plusieurs fois par semaine)","6. Quotidiennement (Une fois par jour)","7. Très fréquemment (Plusieurs fois par jour)"},0)+1,""),"")</f>
        <v/>
      </c>
      <c r="R309" t="str">
        <f>IF(DONNEES_SOURCE!$CA309=TRUE,DONNEES_SOURCE!$BW309,"")</f>
        <v/>
      </c>
      <c r="S309" t="str">
        <f>IF(DONNEES_SOURCE!$CA309=TRUE,DONNEES_SOURCE!$AU309,"")</f>
        <v/>
      </c>
      <c r="T309" t="str">
        <f>IF(DONNEES_SOURCE!$CA309=TRUE,DONNEES_SOURCE!$BW309,"")</f>
        <v/>
      </c>
      <c r="U309" t="str">
        <f>IF(DONNEES_SOURCE!$CA309=TRUE,IFERROR(MATCH(DONNEES_SOURCE!$B309,{"2. Très rarement (Moins d'une fois par mois)","3. Rarement (1 à 3 fois par mois)","4. Parfois (Environ une fois par semaine)","5. Régulièrement (Plusieurs fois par semaine)","6. Quotidiennement (Une fois par jour)","7. Très fréquemment (Plusieurs fois par jour)"},0)+1,""),"")</f>
        <v/>
      </c>
    </row>
    <row r="310" spans="16:21" x14ac:dyDescent="0.25">
      <c r="P310" t="str">
        <f>IF(DONNEES_SOURCE!$CA310=TRUE,DONNEES_SOURCE!$BV310,"")</f>
        <v/>
      </c>
      <c r="Q310" t="str">
        <f>IF(DONNEES_SOURCE!$CA310=TRUE,IFERROR(MATCH(DONNEES_SOURCE!$B310,{"2. Très rarement (Moins d'une fois par mois)","3. Rarement (1 à 3 fois par mois)","4. Parfois (Environ une fois par semaine)","5. Régulièrement (Plusieurs fois par semaine)","6. Quotidiennement (Une fois par jour)","7. Très fréquemment (Plusieurs fois par jour)"},0)+1,""),"")</f>
        <v/>
      </c>
      <c r="R310" t="str">
        <f>IF(DONNEES_SOURCE!$CA310=TRUE,DONNEES_SOURCE!$BW310,"")</f>
        <v/>
      </c>
      <c r="S310" t="str">
        <f>IF(DONNEES_SOURCE!$CA310=TRUE,DONNEES_SOURCE!$AU310,"")</f>
        <v/>
      </c>
      <c r="T310" t="str">
        <f>IF(DONNEES_SOURCE!$CA310=TRUE,DONNEES_SOURCE!$BW310,"")</f>
        <v/>
      </c>
      <c r="U310" t="str">
        <f>IF(DONNEES_SOURCE!$CA310=TRUE,IFERROR(MATCH(DONNEES_SOURCE!$B310,{"2. Très rarement (Moins d'une fois par mois)","3. Rarement (1 à 3 fois par mois)","4. Parfois (Environ une fois par semaine)","5. Régulièrement (Plusieurs fois par semaine)","6. Quotidiennement (Une fois par jour)","7. Très fréquemment (Plusieurs fois par jour)"},0)+1,""),"")</f>
        <v/>
      </c>
    </row>
    <row r="311" spans="16:21" x14ac:dyDescent="0.25">
      <c r="P311" t="str">
        <f>IF(DONNEES_SOURCE!$CA311=TRUE,DONNEES_SOURCE!$BV311,"")</f>
        <v/>
      </c>
      <c r="Q311" t="str">
        <f>IF(DONNEES_SOURCE!$CA311=TRUE,IFERROR(MATCH(DONNEES_SOURCE!$B311,{"2. Très rarement (Moins d'une fois par mois)","3. Rarement (1 à 3 fois par mois)","4. Parfois (Environ une fois par semaine)","5. Régulièrement (Plusieurs fois par semaine)","6. Quotidiennement (Une fois par jour)","7. Très fréquemment (Plusieurs fois par jour)"},0)+1,""),"")</f>
        <v/>
      </c>
      <c r="R311" t="str">
        <f>IF(DONNEES_SOURCE!$CA311=TRUE,DONNEES_SOURCE!$BW311,"")</f>
        <v/>
      </c>
      <c r="S311" t="str">
        <f>IF(DONNEES_SOURCE!$CA311=TRUE,DONNEES_SOURCE!$AU311,"")</f>
        <v/>
      </c>
      <c r="T311" t="str">
        <f>IF(DONNEES_SOURCE!$CA311=TRUE,DONNEES_SOURCE!$BW311,"")</f>
        <v/>
      </c>
      <c r="U311" t="str">
        <f>IF(DONNEES_SOURCE!$CA311=TRUE,IFERROR(MATCH(DONNEES_SOURCE!$B311,{"2. Très rarement (Moins d'une fois par mois)","3. Rarement (1 à 3 fois par mois)","4. Parfois (Environ une fois par semaine)","5. Régulièrement (Plusieurs fois par semaine)","6. Quotidiennement (Une fois par jour)","7. Très fréquemment (Plusieurs fois par jour)"},0)+1,""),"")</f>
        <v/>
      </c>
    </row>
    <row r="312" spans="16:21" x14ac:dyDescent="0.25">
      <c r="P312" t="str">
        <f>IF(DONNEES_SOURCE!$CA312=TRUE,DONNEES_SOURCE!$BV312,"")</f>
        <v/>
      </c>
      <c r="Q312" t="str">
        <f>IF(DONNEES_SOURCE!$CA312=TRUE,IFERROR(MATCH(DONNEES_SOURCE!$B312,{"2. Très rarement (Moins d'une fois par mois)","3. Rarement (1 à 3 fois par mois)","4. Parfois (Environ une fois par semaine)","5. Régulièrement (Plusieurs fois par semaine)","6. Quotidiennement (Une fois par jour)","7. Très fréquemment (Plusieurs fois par jour)"},0)+1,""),"")</f>
        <v/>
      </c>
      <c r="R312" t="str">
        <f>IF(DONNEES_SOURCE!$CA312=TRUE,DONNEES_SOURCE!$BW312,"")</f>
        <v/>
      </c>
      <c r="S312" t="str">
        <f>IF(DONNEES_SOURCE!$CA312=TRUE,DONNEES_SOURCE!$AU312,"")</f>
        <v/>
      </c>
      <c r="T312" t="str">
        <f>IF(DONNEES_SOURCE!$CA312=TRUE,DONNEES_SOURCE!$BW312,"")</f>
        <v/>
      </c>
      <c r="U312" t="str">
        <f>IF(DONNEES_SOURCE!$CA312=TRUE,IFERROR(MATCH(DONNEES_SOURCE!$B312,{"2. Très rarement (Moins d'une fois par mois)","3. Rarement (1 à 3 fois par mois)","4. Parfois (Environ une fois par semaine)","5. Régulièrement (Plusieurs fois par semaine)","6. Quotidiennement (Une fois par jour)","7. Très fréquemment (Plusieurs fois par jour)"},0)+1,""),"")</f>
        <v/>
      </c>
    </row>
    <row r="313" spans="16:21" x14ac:dyDescent="0.25">
      <c r="P313" t="str">
        <f>IF(DONNEES_SOURCE!$CA313=TRUE,DONNEES_SOURCE!$BV313,"")</f>
        <v/>
      </c>
      <c r="Q313" t="str">
        <f>IF(DONNEES_SOURCE!$CA313=TRUE,IFERROR(MATCH(DONNEES_SOURCE!$B313,{"2. Très rarement (Moins d'une fois par mois)","3. Rarement (1 à 3 fois par mois)","4. Parfois (Environ une fois par semaine)","5. Régulièrement (Plusieurs fois par semaine)","6. Quotidiennement (Une fois par jour)","7. Très fréquemment (Plusieurs fois par jour)"},0)+1,""),"")</f>
        <v/>
      </c>
      <c r="R313" t="str">
        <f>IF(DONNEES_SOURCE!$CA313=TRUE,DONNEES_SOURCE!$BW313,"")</f>
        <v/>
      </c>
      <c r="S313" t="str">
        <f>IF(DONNEES_SOURCE!$CA313=TRUE,DONNEES_SOURCE!$AU313,"")</f>
        <v/>
      </c>
      <c r="T313" t="str">
        <f>IF(DONNEES_SOURCE!$CA313=TRUE,DONNEES_SOURCE!$BW313,"")</f>
        <v/>
      </c>
      <c r="U313" t="str">
        <f>IF(DONNEES_SOURCE!$CA313=TRUE,IFERROR(MATCH(DONNEES_SOURCE!$B313,{"2. Très rarement (Moins d'une fois par mois)","3. Rarement (1 à 3 fois par mois)","4. Parfois (Environ une fois par semaine)","5. Régulièrement (Plusieurs fois par semaine)","6. Quotidiennement (Une fois par jour)","7. Très fréquemment (Plusieurs fois par jour)"},0)+1,""),"")</f>
        <v/>
      </c>
    </row>
    <row r="314" spans="16:21" x14ac:dyDescent="0.25">
      <c r="P314" t="str">
        <f>IF(DONNEES_SOURCE!$CA314=TRUE,DONNEES_SOURCE!$BV314,"")</f>
        <v/>
      </c>
      <c r="Q314" t="str">
        <f>IF(DONNEES_SOURCE!$CA314=TRUE,IFERROR(MATCH(DONNEES_SOURCE!$B314,{"2. Très rarement (Moins d'une fois par mois)","3. Rarement (1 à 3 fois par mois)","4. Parfois (Environ une fois par semaine)","5. Régulièrement (Plusieurs fois par semaine)","6. Quotidiennement (Une fois par jour)","7. Très fréquemment (Plusieurs fois par jour)"},0)+1,""),"")</f>
        <v/>
      </c>
      <c r="R314" t="str">
        <f>IF(DONNEES_SOURCE!$CA314=TRUE,DONNEES_SOURCE!$BW314,"")</f>
        <v/>
      </c>
      <c r="S314" t="str">
        <f>IF(DONNEES_SOURCE!$CA314=TRUE,DONNEES_SOURCE!$AU314,"")</f>
        <v/>
      </c>
      <c r="T314" t="str">
        <f>IF(DONNEES_SOURCE!$CA314=TRUE,DONNEES_SOURCE!$BW314,"")</f>
        <v/>
      </c>
      <c r="U314" t="str">
        <f>IF(DONNEES_SOURCE!$CA314=TRUE,IFERROR(MATCH(DONNEES_SOURCE!$B314,{"2. Très rarement (Moins d'une fois par mois)","3. Rarement (1 à 3 fois par mois)","4. Parfois (Environ une fois par semaine)","5. Régulièrement (Plusieurs fois par semaine)","6. Quotidiennement (Une fois par jour)","7. Très fréquemment (Plusieurs fois par jour)"},0)+1,""),"")</f>
        <v/>
      </c>
    </row>
    <row r="315" spans="16:21" x14ac:dyDescent="0.25">
      <c r="P315" t="str">
        <f>IF(DONNEES_SOURCE!$CA315=TRUE,DONNEES_SOURCE!$BV315,"")</f>
        <v/>
      </c>
      <c r="Q315" t="str">
        <f>IF(DONNEES_SOURCE!$CA315=TRUE,IFERROR(MATCH(DONNEES_SOURCE!$B315,{"2. Très rarement (Moins d'une fois par mois)","3. Rarement (1 à 3 fois par mois)","4. Parfois (Environ une fois par semaine)","5. Régulièrement (Plusieurs fois par semaine)","6. Quotidiennement (Une fois par jour)","7. Très fréquemment (Plusieurs fois par jour)"},0)+1,""),"")</f>
        <v/>
      </c>
      <c r="R315" t="str">
        <f>IF(DONNEES_SOURCE!$CA315=TRUE,DONNEES_SOURCE!$BW315,"")</f>
        <v/>
      </c>
      <c r="S315" t="str">
        <f>IF(DONNEES_SOURCE!$CA315=TRUE,DONNEES_SOURCE!$AU315,"")</f>
        <v/>
      </c>
      <c r="T315" t="str">
        <f>IF(DONNEES_SOURCE!$CA315=TRUE,DONNEES_SOURCE!$BW315,"")</f>
        <v/>
      </c>
      <c r="U315" t="str">
        <f>IF(DONNEES_SOURCE!$CA315=TRUE,IFERROR(MATCH(DONNEES_SOURCE!$B315,{"2. Très rarement (Moins d'une fois par mois)","3. Rarement (1 à 3 fois par mois)","4. Parfois (Environ une fois par semaine)","5. Régulièrement (Plusieurs fois par semaine)","6. Quotidiennement (Une fois par jour)","7. Très fréquemment (Plusieurs fois par jour)"},0)+1,""),"")</f>
        <v/>
      </c>
    </row>
    <row r="316" spans="16:21" x14ac:dyDescent="0.25">
      <c r="P316" t="str">
        <f>IF(DONNEES_SOURCE!$CA316=TRUE,DONNEES_SOURCE!$BV316,"")</f>
        <v/>
      </c>
      <c r="Q316" t="str">
        <f>IF(DONNEES_SOURCE!$CA316=TRUE,IFERROR(MATCH(DONNEES_SOURCE!$B316,{"2. Très rarement (Moins d'une fois par mois)","3. Rarement (1 à 3 fois par mois)","4. Parfois (Environ une fois par semaine)","5. Régulièrement (Plusieurs fois par semaine)","6. Quotidiennement (Une fois par jour)","7. Très fréquemment (Plusieurs fois par jour)"},0)+1,""),"")</f>
        <v/>
      </c>
      <c r="R316" t="str">
        <f>IF(DONNEES_SOURCE!$CA316=TRUE,DONNEES_SOURCE!$BW316,"")</f>
        <v/>
      </c>
      <c r="S316" t="str">
        <f>IF(DONNEES_SOURCE!$CA316=TRUE,DONNEES_SOURCE!$AU316,"")</f>
        <v/>
      </c>
      <c r="T316" t="str">
        <f>IF(DONNEES_SOURCE!$CA316=TRUE,DONNEES_SOURCE!$BW316,"")</f>
        <v/>
      </c>
      <c r="U316" t="str">
        <f>IF(DONNEES_SOURCE!$CA316=TRUE,IFERROR(MATCH(DONNEES_SOURCE!$B316,{"2. Très rarement (Moins d'une fois par mois)","3. Rarement (1 à 3 fois par mois)","4. Parfois (Environ une fois par semaine)","5. Régulièrement (Plusieurs fois par semaine)","6. Quotidiennement (Une fois par jour)","7. Très fréquemment (Plusieurs fois par jour)"},0)+1,""),"")</f>
        <v/>
      </c>
    </row>
    <row r="317" spans="16:21" x14ac:dyDescent="0.25">
      <c r="P317" t="str">
        <f>IF(DONNEES_SOURCE!$CA317=TRUE,DONNEES_SOURCE!$BV317,"")</f>
        <v/>
      </c>
      <c r="Q317" t="str">
        <f>IF(DONNEES_SOURCE!$CA317=TRUE,IFERROR(MATCH(DONNEES_SOURCE!$B317,{"2. Très rarement (Moins d'une fois par mois)","3. Rarement (1 à 3 fois par mois)","4. Parfois (Environ une fois par semaine)","5. Régulièrement (Plusieurs fois par semaine)","6. Quotidiennement (Une fois par jour)","7. Très fréquemment (Plusieurs fois par jour)"},0)+1,""),"")</f>
        <v/>
      </c>
      <c r="R317" t="str">
        <f>IF(DONNEES_SOURCE!$CA317=TRUE,DONNEES_SOURCE!$BW317,"")</f>
        <v/>
      </c>
      <c r="S317" t="str">
        <f>IF(DONNEES_SOURCE!$CA317=TRUE,DONNEES_SOURCE!$AU317,"")</f>
        <v/>
      </c>
      <c r="T317" t="str">
        <f>IF(DONNEES_SOURCE!$CA317=TRUE,DONNEES_SOURCE!$BW317,"")</f>
        <v/>
      </c>
      <c r="U317" t="str">
        <f>IF(DONNEES_SOURCE!$CA317=TRUE,IFERROR(MATCH(DONNEES_SOURCE!$B317,{"2. Très rarement (Moins d'une fois par mois)","3. Rarement (1 à 3 fois par mois)","4. Parfois (Environ une fois par semaine)","5. Régulièrement (Plusieurs fois par semaine)","6. Quotidiennement (Une fois par jour)","7. Très fréquemment (Plusieurs fois par jour)"},0)+1,""),"")</f>
        <v/>
      </c>
    </row>
    <row r="318" spans="16:21" x14ac:dyDescent="0.25">
      <c r="P318" t="str">
        <f>IF(DONNEES_SOURCE!$CA318=TRUE,DONNEES_SOURCE!$BV318,"")</f>
        <v/>
      </c>
      <c r="Q318" t="str">
        <f>IF(DONNEES_SOURCE!$CA318=TRUE,IFERROR(MATCH(DONNEES_SOURCE!$B318,{"2. Très rarement (Moins d'une fois par mois)","3. Rarement (1 à 3 fois par mois)","4. Parfois (Environ une fois par semaine)","5. Régulièrement (Plusieurs fois par semaine)","6. Quotidiennement (Une fois par jour)","7. Très fréquemment (Plusieurs fois par jour)"},0)+1,""),"")</f>
        <v/>
      </c>
      <c r="R318" t="str">
        <f>IF(DONNEES_SOURCE!$CA318=TRUE,DONNEES_SOURCE!$BW318,"")</f>
        <v/>
      </c>
      <c r="S318" t="str">
        <f>IF(DONNEES_SOURCE!$CA318=TRUE,DONNEES_SOURCE!$AU318,"")</f>
        <v/>
      </c>
      <c r="T318" t="str">
        <f>IF(DONNEES_SOURCE!$CA318=TRUE,DONNEES_SOURCE!$BW318,"")</f>
        <v/>
      </c>
      <c r="U318" t="str">
        <f>IF(DONNEES_SOURCE!$CA318=TRUE,IFERROR(MATCH(DONNEES_SOURCE!$B318,{"2. Très rarement (Moins d'une fois par mois)","3. Rarement (1 à 3 fois par mois)","4. Parfois (Environ une fois par semaine)","5. Régulièrement (Plusieurs fois par semaine)","6. Quotidiennement (Une fois par jour)","7. Très fréquemment (Plusieurs fois par jour)"},0)+1,""),"")</f>
        <v/>
      </c>
    </row>
    <row r="319" spans="16:21" x14ac:dyDescent="0.25">
      <c r="P319" t="str">
        <f>IF(DONNEES_SOURCE!$CA319=TRUE,DONNEES_SOURCE!$BV319,"")</f>
        <v/>
      </c>
      <c r="Q319" t="str">
        <f>IF(DONNEES_SOURCE!$CA319=TRUE,IFERROR(MATCH(DONNEES_SOURCE!$B319,{"2. Très rarement (Moins d'une fois par mois)","3. Rarement (1 à 3 fois par mois)","4. Parfois (Environ une fois par semaine)","5. Régulièrement (Plusieurs fois par semaine)","6. Quotidiennement (Une fois par jour)","7. Très fréquemment (Plusieurs fois par jour)"},0)+1,""),"")</f>
        <v/>
      </c>
      <c r="R319" t="str">
        <f>IF(DONNEES_SOURCE!$CA319=TRUE,DONNEES_SOURCE!$BW319,"")</f>
        <v/>
      </c>
      <c r="S319" t="str">
        <f>IF(DONNEES_SOURCE!$CA319=TRUE,DONNEES_SOURCE!$AU319,"")</f>
        <v/>
      </c>
      <c r="T319" t="str">
        <f>IF(DONNEES_SOURCE!$CA319=TRUE,DONNEES_SOURCE!$BW319,"")</f>
        <v/>
      </c>
      <c r="U319" t="str">
        <f>IF(DONNEES_SOURCE!$CA319=TRUE,IFERROR(MATCH(DONNEES_SOURCE!$B319,{"2. Très rarement (Moins d'une fois par mois)","3. Rarement (1 à 3 fois par mois)","4. Parfois (Environ une fois par semaine)","5. Régulièrement (Plusieurs fois par semaine)","6. Quotidiennement (Une fois par jour)","7. Très fréquemment (Plusieurs fois par jour)"},0)+1,""),"")</f>
        <v/>
      </c>
    </row>
    <row r="320" spans="16:21" x14ac:dyDescent="0.25">
      <c r="P320" t="str">
        <f>IF(DONNEES_SOURCE!$CA320=TRUE,DONNEES_SOURCE!$BV320,"")</f>
        <v/>
      </c>
      <c r="Q320" t="str">
        <f>IF(DONNEES_SOURCE!$CA320=TRUE,IFERROR(MATCH(DONNEES_SOURCE!$B320,{"2. Très rarement (Moins d'une fois par mois)","3. Rarement (1 à 3 fois par mois)","4. Parfois (Environ une fois par semaine)","5. Régulièrement (Plusieurs fois par semaine)","6. Quotidiennement (Une fois par jour)","7. Très fréquemment (Plusieurs fois par jour)"},0)+1,""),"")</f>
        <v/>
      </c>
      <c r="R320" t="str">
        <f>IF(DONNEES_SOURCE!$CA320=TRUE,DONNEES_SOURCE!$BW320,"")</f>
        <v/>
      </c>
      <c r="S320" t="str">
        <f>IF(DONNEES_SOURCE!$CA320=TRUE,DONNEES_SOURCE!$AU320,"")</f>
        <v/>
      </c>
      <c r="T320" t="str">
        <f>IF(DONNEES_SOURCE!$CA320=TRUE,DONNEES_SOURCE!$BW320,"")</f>
        <v/>
      </c>
      <c r="U320" t="str">
        <f>IF(DONNEES_SOURCE!$CA320=TRUE,IFERROR(MATCH(DONNEES_SOURCE!$B320,{"2. Très rarement (Moins d'une fois par mois)","3. Rarement (1 à 3 fois par mois)","4. Parfois (Environ une fois par semaine)","5. Régulièrement (Plusieurs fois par semaine)","6. Quotidiennement (Une fois par jour)","7. Très fréquemment (Plusieurs fois par jour)"},0)+1,""),"")</f>
        <v/>
      </c>
    </row>
    <row r="321" spans="16:21" x14ac:dyDescent="0.25">
      <c r="P321" t="str">
        <f>IF(DONNEES_SOURCE!$CA321=TRUE,DONNEES_SOURCE!$BV321,"")</f>
        <v/>
      </c>
      <c r="Q321" t="str">
        <f>IF(DONNEES_SOURCE!$CA321=TRUE,IFERROR(MATCH(DONNEES_SOURCE!$B321,{"2. Très rarement (Moins d'une fois par mois)","3. Rarement (1 à 3 fois par mois)","4. Parfois (Environ une fois par semaine)","5. Régulièrement (Plusieurs fois par semaine)","6. Quotidiennement (Une fois par jour)","7. Très fréquemment (Plusieurs fois par jour)"},0)+1,""),"")</f>
        <v/>
      </c>
      <c r="R321" t="str">
        <f>IF(DONNEES_SOURCE!$CA321=TRUE,DONNEES_SOURCE!$BW321,"")</f>
        <v/>
      </c>
      <c r="S321" t="str">
        <f>IF(DONNEES_SOURCE!$CA321=TRUE,DONNEES_SOURCE!$AU321,"")</f>
        <v/>
      </c>
      <c r="T321" t="str">
        <f>IF(DONNEES_SOURCE!$CA321=TRUE,DONNEES_SOURCE!$BW321,"")</f>
        <v/>
      </c>
      <c r="U321" t="str">
        <f>IF(DONNEES_SOURCE!$CA321=TRUE,IFERROR(MATCH(DONNEES_SOURCE!$B321,{"2. Très rarement (Moins d'une fois par mois)","3. Rarement (1 à 3 fois par mois)","4. Parfois (Environ une fois par semaine)","5. Régulièrement (Plusieurs fois par semaine)","6. Quotidiennement (Une fois par jour)","7. Très fréquemment (Plusieurs fois par jour)"},0)+1,""),"")</f>
        <v/>
      </c>
    </row>
    <row r="322" spans="16:21" x14ac:dyDescent="0.25">
      <c r="P322" t="str">
        <f>IF(DONNEES_SOURCE!$CA322=TRUE,DONNEES_SOURCE!$BV322,"")</f>
        <v/>
      </c>
      <c r="Q322" t="str">
        <f>IF(DONNEES_SOURCE!$CA322=TRUE,IFERROR(MATCH(DONNEES_SOURCE!$B322,{"2. Très rarement (Moins d'une fois par mois)","3. Rarement (1 à 3 fois par mois)","4. Parfois (Environ une fois par semaine)","5. Régulièrement (Plusieurs fois par semaine)","6. Quotidiennement (Une fois par jour)","7. Très fréquemment (Plusieurs fois par jour)"},0)+1,""),"")</f>
        <v/>
      </c>
      <c r="R322" t="str">
        <f>IF(DONNEES_SOURCE!$CA322=TRUE,DONNEES_SOURCE!$BW322,"")</f>
        <v/>
      </c>
      <c r="S322" t="str">
        <f>IF(DONNEES_SOURCE!$CA322=TRUE,DONNEES_SOURCE!$AU322,"")</f>
        <v/>
      </c>
      <c r="T322" t="str">
        <f>IF(DONNEES_SOURCE!$CA322=TRUE,DONNEES_SOURCE!$BW322,"")</f>
        <v/>
      </c>
      <c r="U322" t="str">
        <f>IF(DONNEES_SOURCE!$CA322=TRUE,IFERROR(MATCH(DONNEES_SOURCE!$B322,{"2. Très rarement (Moins d'une fois par mois)","3. Rarement (1 à 3 fois par mois)","4. Parfois (Environ une fois par semaine)","5. Régulièrement (Plusieurs fois par semaine)","6. Quotidiennement (Une fois par jour)","7. Très fréquemment (Plusieurs fois par jour)"},0)+1,""),"")</f>
        <v/>
      </c>
    </row>
    <row r="323" spans="16:21" x14ac:dyDescent="0.25">
      <c r="P323" t="str">
        <f>IF(DONNEES_SOURCE!$CA323=TRUE,DONNEES_SOURCE!$BV323,"")</f>
        <v/>
      </c>
      <c r="Q323" t="str">
        <f>IF(DONNEES_SOURCE!$CA323=TRUE,IFERROR(MATCH(DONNEES_SOURCE!$B323,{"2. Très rarement (Moins d'une fois par mois)","3. Rarement (1 à 3 fois par mois)","4. Parfois (Environ une fois par semaine)","5. Régulièrement (Plusieurs fois par semaine)","6. Quotidiennement (Une fois par jour)","7. Très fréquemment (Plusieurs fois par jour)"},0)+1,""),"")</f>
        <v/>
      </c>
      <c r="R323" t="str">
        <f>IF(DONNEES_SOURCE!$CA323=TRUE,DONNEES_SOURCE!$BW323,"")</f>
        <v/>
      </c>
      <c r="S323" t="str">
        <f>IF(DONNEES_SOURCE!$CA323=TRUE,DONNEES_SOURCE!$AU323,"")</f>
        <v/>
      </c>
      <c r="T323" t="str">
        <f>IF(DONNEES_SOURCE!$CA323=TRUE,DONNEES_SOURCE!$BW323,"")</f>
        <v/>
      </c>
      <c r="U323" t="str">
        <f>IF(DONNEES_SOURCE!$CA323=TRUE,IFERROR(MATCH(DONNEES_SOURCE!$B323,{"2. Très rarement (Moins d'une fois par mois)","3. Rarement (1 à 3 fois par mois)","4. Parfois (Environ une fois par semaine)","5. Régulièrement (Plusieurs fois par semaine)","6. Quotidiennement (Une fois par jour)","7. Très fréquemment (Plusieurs fois par jour)"},0)+1,""),"")</f>
        <v/>
      </c>
    </row>
    <row r="324" spans="16:21" x14ac:dyDescent="0.25">
      <c r="P324" t="str">
        <f>IF(DONNEES_SOURCE!$CA324=TRUE,DONNEES_SOURCE!$BV324,"")</f>
        <v/>
      </c>
      <c r="Q324" t="str">
        <f>IF(DONNEES_SOURCE!$CA324=TRUE,IFERROR(MATCH(DONNEES_SOURCE!$B324,{"2. Très rarement (Moins d'une fois par mois)","3. Rarement (1 à 3 fois par mois)","4. Parfois (Environ une fois par semaine)","5. Régulièrement (Plusieurs fois par semaine)","6. Quotidiennement (Une fois par jour)","7. Très fréquemment (Plusieurs fois par jour)"},0)+1,""),"")</f>
        <v/>
      </c>
      <c r="R324" t="str">
        <f>IF(DONNEES_SOURCE!$CA324=TRUE,DONNEES_SOURCE!$BW324,"")</f>
        <v/>
      </c>
      <c r="S324" t="str">
        <f>IF(DONNEES_SOURCE!$CA324=TRUE,DONNEES_SOURCE!$AU324,"")</f>
        <v/>
      </c>
      <c r="T324" t="str">
        <f>IF(DONNEES_SOURCE!$CA324=TRUE,DONNEES_SOURCE!$BW324,"")</f>
        <v/>
      </c>
      <c r="U324" t="str">
        <f>IF(DONNEES_SOURCE!$CA324=TRUE,IFERROR(MATCH(DONNEES_SOURCE!$B324,{"2. Très rarement (Moins d'une fois par mois)","3. Rarement (1 à 3 fois par mois)","4. Parfois (Environ une fois par semaine)","5. Régulièrement (Plusieurs fois par semaine)","6. Quotidiennement (Une fois par jour)","7. Très fréquemment (Plusieurs fois par jour)"},0)+1,""),"")</f>
        <v/>
      </c>
    </row>
    <row r="325" spans="16:21" x14ac:dyDescent="0.25">
      <c r="P325" t="str">
        <f>IF(DONNEES_SOURCE!$CA325=TRUE,DONNEES_SOURCE!$BV325,"")</f>
        <v/>
      </c>
      <c r="Q325" t="str">
        <f>IF(DONNEES_SOURCE!$CA325=TRUE,IFERROR(MATCH(DONNEES_SOURCE!$B325,{"2. Très rarement (Moins d'une fois par mois)","3. Rarement (1 à 3 fois par mois)","4. Parfois (Environ une fois par semaine)","5. Régulièrement (Plusieurs fois par semaine)","6. Quotidiennement (Une fois par jour)","7. Très fréquemment (Plusieurs fois par jour)"},0)+1,""),"")</f>
        <v/>
      </c>
      <c r="R325" t="str">
        <f>IF(DONNEES_SOURCE!$CA325=TRUE,DONNEES_SOURCE!$BW325,"")</f>
        <v/>
      </c>
      <c r="S325" t="str">
        <f>IF(DONNEES_SOURCE!$CA325=TRUE,DONNEES_SOURCE!$AU325,"")</f>
        <v/>
      </c>
      <c r="T325" t="str">
        <f>IF(DONNEES_SOURCE!$CA325=TRUE,DONNEES_SOURCE!$BW325,"")</f>
        <v/>
      </c>
      <c r="U325" t="str">
        <f>IF(DONNEES_SOURCE!$CA325=TRUE,IFERROR(MATCH(DONNEES_SOURCE!$B325,{"2. Très rarement (Moins d'une fois par mois)","3. Rarement (1 à 3 fois par mois)","4. Parfois (Environ une fois par semaine)","5. Régulièrement (Plusieurs fois par semaine)","6. Quotidiennement (Une fois par jour)","7. Très fréquemment (Plusieurs fois par jour)"},0)+1,""),"")</f>
        <v/>
      </c>
    </row>
    <row r="326" spans="16:21" x14ac:dyDescent="0.25">
      <c r="P326" t="str">
        <f>IF(DONNEES_SOURCE!$CA326=TRUE,DONNEES_SOURCE!$BV326,"")</f>
        <v/>
      </c>
      <c r="Q326" t="str">
        <f>IF(DONNEES_SOURCE!$CA326=TRUE,IFERROR(MATCH(DONNEES_SOURCE!$B326,{"2. Très rarement (Moins d'une fois par mois)","3. Rarement (1 à 3 fois par mois)","4. Parfois (Environ une fois par semaine)","5. Régulièrement (Plusieurs fois par semaine)","6. Quotidiennement (Une fois par jour)","7. Très fréquemment (Plusieurs fois par jour)"},0)+1,""),"")</f>
        <v/>
      </c>
      <c r="R326" t="str">
        <f>IF(DONNEES_SOURCE!$CA326=TRUE,DONNEES_SOURCE!$BW326,"")</f>
        <v/>
      </c>
      <c r="S326" t="str">
        <f>IF(DONNEES_SOURCE!$CA326=TRUE,DONNEES_SOURCE!$AU326,"")</f>
        <v/>
      </c>
      <c r="T326" t="str">
        <f>IF(DONNEES_SOURCE!$CA326=TRUE,DONNEES_SOURCE!$BW326,"")</f>
        <v/>
      </c>
      <c r="U326" t="str">
        <f>IF(DONNEES_SOURCE!$CA326=TRUE,IFERROR(MATCH(DONNEES_SOURCE!$B326,{"2. Très rarement (Moins d'une fois par mois)","3. Rarement (1 à 3 fois par mois)","4. Parfois (Environ une fois par semaine)","5. Régulièrement (Plusieurs fois par semaine)","6. Quotidiennement (Une fois par jour)","7. Très fréquemment (Plusieurs fois par jour)"},0)+1,""),"")</f>
        <v/>
      </c>
    </row>
    <row r="327" spans="16:21" x14ac:dyDescent="0.25">
      <c r="P327" t="str">
        <f>IF(DONNEES_SOURCE!$CA327=TRUE,DONNEES_SOURCE!$BV327,"")</f>
        <v/>
      </c>
      <c r="Q327" t="str">
        <f>IF(DONNEES_SOURCE!$CA327=TRUE,IFERROR(MATCH(DONNEES_SOURCE!$B327,{"2. Très rarement (Moins d'une fois par mois)","3. Rarement (1 à 3 fois par mois)","4. Parfois (Environ une fois par semaine)","5. Régulièrement (Plusieurs fois par semaine)","6. Quotidiennement (Une fois par jour)","7. Très fréquemment (Plusieurs fois par jour)"},0)+1,""),"")</f>
        <v/>
      </c>
      <c r="R327" t="str">
        <f>IF(DONNEES_SOURCE!$CA327=TRUE,DONNEES_SOURCE!$BW327,"")</f>
        <v/>
      </c>
      <c r="S327" t="str">
        <f>IF(DONNEES_SOURCE!$CA327=TRUE,DONNEES_SOURCE!$AU327,"")</f>
        <v/>
      </c>
      <c r="T327" t="str">
        <f>IF(DONNEES_SOURCE!$CA327=TRUE,DONNEES_SOURCE!$BW327,"")</f>
        <v/>
      </c>
      <c r="U327" t="str">
        <f>IF(DONNEES_SOURCE!$CA327=TRUE,IFERROR(MATCH(DONNEES_SOURCE!$B327,{"2. Très rarement (Moins d'une fois par mois)","3. Rarement (1 à 3 fois par mois)","4. Parfois (Environ une fois par semaine)","5. Régulièrement (Plusieurs fois par semaine)","6. Quotidiennement (Une fois par jour)","7. Très fréquemment (Plusieurs fois par jour)"},0)+1,""),"")</f>
        <v/>
      </c>
    </row>
    <row r="328" spans="16:21" x14ac:dyDescent="0.25">
      <c r="P328" t="str">
        <f>IF(DONNEES_SOURCE!$CA328=TRUE,DONNEES_SOURCE!$BV328,"")</f>
        <v/>
      </c>
      <c r="Q328" t="str">
        <f>IF(DONNEES_SOURCE!$CA328=TRUE,IFERROR(MATCH(DONNEES_SOURCE!$B328,{"2. Très rarement (Moins d'une fois par mois)","3. Rarement (1 à 3 fois par mois)","4. Parfois (Environ une fois par semaine)","5. Régulièrement (Plusieurs fois par semaine)","6. Quotidiennement (Une fois par jour)","7. Très fréquemment (Plusieurs fois par jour)"},0)+1,""),"")</f>
        <v/>
      </c>
      <c r="R328" t="str">
        <f>IF(DONNEES_SOURCE!$CA328=TRUE,DONNEES_SOURCE!$BW328,"")</f>
        <v/>
      </c>
      <c r="S328" t="str">
        <f>IF(DONNEES_SOURCE!$CA328=TRUE,DONNEES_SOURCE!$AU328,"")</f>
        <v/>
      </c>
      <c r="T328" t="str">
        <f>IF(DONNEES_SOURCE!$CA328=TRUE,DONNEES_SOURCE!$BW328,"")</f>
        <v/>
      </c>
      <c r="U328" t="str">
        <f>IF(DONNEES_SOURCE!$CA328=TRUE,IFERROR(MATCH(DONNEES_SOURCE!$B328,{"2. Très rarement (Moins d'une fois par mois)","3. Rarement (1 à 3 fois par mois)","4. Parfois (Environ une fois par semaine)","5. Régulièrement (Plusieurs fois par semaine)","6. Quotidiennement (Une fois par jour)","7. Très fréquemment (Plusieurs fois par jour)"},0)+1,""),"")</f>
        <v/>
      </c>
    </row>
    <row r="329" spans="16:21" x14ac:dyDescent="0.25">
      <c r="P329" t="str">
        <f>IF(DONNEES_SOURCE!$CA329=TRUE,DONNEES_SOURCE!$BV329,"")</f>
        <v/>
      </c>
      <c r="Q329" t="str">
        <f>IF(DONNEES_SOURCE!$CA329=TRUE,IFERROR(MATCH(DONNEES_SOURCE!$B329,{"2. Très rarement (Moins d'une fois par mois)","3. Rarement (1 à 3 fois par mois)","4. Parfois (Environ une fois par semaine)","5. Régulièrement (Plusieurs fois par semaine)","6. Quotidiennement (Une fois par jour)","7. Très fréquemment (Plusieurs fois par jour)"},0)+1,""),"")</f>
        <v/>
      </c>
      <c r="R329" t="str">
        <f>IF(DONNEES_SOURCE!$CA329=TRUE,DONNEES_SOURCE!$BW329,"")</f>
        <v/>
      </c>
      <c r="S329" t="str">
        <f>IF(DONNEES_SOURCE!$CA329=TRUE,DONNEES_SOURCE!$AU329,"")</f>
        <v/>
      </c>
      <c r="T329" t="str">
        <f>IF(DONNEES_SOURCE!$CA329=TRUE,DONNEES_SOURCE!$BW329,"")</f>
        <v/>
      </c>
      <c r="U329" t="str">
        <f>IF(DONNEES_SOURCE!$CA329=TRUE,IFERROR(MATCH(DONNEES_SOURCE!$B329,{"2. Très rarement (Moins d'une fois par mois)","3. Rarement (1 à 3 fois par mois)","4. Parfois (Environ une fois par semaine)","5. Régulièrement (Plusieurs fois par semaine)","6. Quotidiennement (Une fois par jour)","7. Très fréquemment (Plusieurs fois par jour)"},0)+1,""),"")</f>
        <v/>
      </c>
    </row>
    <row r="330" spans="16:21" x14ac:dyDescent="0.25">
      <c r="P330" t="str">
        <f>IF(DONNEES_SOURCE!$CA330=TRUE,DONNEES_SOURCE!$BV330,"")</f>
        <v/>
      </c>
      <c r="Q330" t="str">
        <f>IF(DONNEES_SOURCE!$CA330=TRUE,IFERROR(MATCH(DONNEES_SOURCE!$B330,{"2. Très rarement (Moins d'une fois par mois)","3. Rarement (1 à 3 fois par mois)","4. Parfois (Environ une fois par semaine)","5. Régulièrement (Plusieurs fois par semaine)","6. Quotidiennement (Une fois par jour)","7. Très fréquemment (Plusieurs fois par jour)"},0)+1,""),"")</f>
        <v/>
      </c>
      <c r="R330" t="str">
        <f>IF(DONNEES_SOURCE!$CA330=TRUE,DONNEES_SOURCE!$BW330,"")</f>
        <v/>
      </c>
      <c r="S330" t="str">
        <f>IF(DONNEES_SOURCE!$CA330=TRUE,DONNEES_SOURCE!$AU330,"")</f>
        <v/>
      </c>
      <c r="T330" t="str">
        <f>IF(DONNEES_SOURCE!$CA330=TRUE,DONNEES_SOURCE!$BW330,"")</f>
        <v/>
      </c>
      <c r="U330" t="str">
        <f>IF(DONNEES_SOURCE!$CA330=TRUE,IFERROR(MATCH(DONNEES_SOURCE!$B330,{"2. Très rarement (Moins d'une fois par mois)","3. Rarement (1 à 3 fois par mois)","4. Parfois (Environ une fois par semaine)","5. Régulièrement (Plusieurs fois par semaine)","6. Quotidiennement (Une fois par jour)","7. Très fréquemment (Plusieurs fois par jour)"},0)+1,""),"")</f>
        <v/>
      </c>
    </row>
    <row r="331" spans="16:21" x14ac:dyDescent="0.25">
      <c r="P331" t="str">
        <f>IF(DONNEES_SOURCE!$CA331=TRUE,DONNEES_SOURCE!$BV331,"")</f>
        <v/>
      </c>
      <c r="Q331" t="str">
        <f>IF(DONNEES_SOURCE!$CA331=TRUE,IFERROR(MATCH(DONNEES_SOURCE!$B331,{"2. Très rarement (Moins d'une fois par mois)","3. Rarement (1 à 3 fois par mois)","4. Parfois (Environ une fois par semaine)","5. Régulièrement (Plusieurs fois par semaine)","6. Quotidiennement (Une fois par jour)","7. Très fréquemment (Plusieurs fois par jour)"},0)+1,""),"")</f>
        <v/>
      </c>
      <c r="R331" t="str">
        <f>IF(DONNEES_SOURCE!$CA331=TRUE,DONNEES_SOURCE!$BW331,"")</f>
        <v/>
      </c>
      <c r="S331" t="str">
        <f>IF(DONNEES_SOURCE!$CA331=TRUE,DONNEES_SOURCE!$AU331,"")</f>
        <v/>
      </c>
      <c r="T331" t="str">
        <f>IF(DONNEES_SOURCE!$CA331=TRUE,DONNEES_SOURCE!$BW331,"")</f>
        <v/>
      </c>
      <c r="U331" t="str">
        <f>IF(DONNEES_SOURCE!$CA331=TRUE,IFERROR(MATCH(DONNEES_SOURCE!$B331,{"2. Très rarement (Moins d'une fois par mois)","3. Rarement (1 à 3 fois par mois)","4. Parfois (Environ une fois par semaine)","5. Régulièrement (Plusieurs fois par semaine)","6. Quotidiennement (Une fois par jour)","7. Très fréquemment (Plusieurs fois par jour)"},0)+1,""),"")</f>
        <v/>
      </c>
    </row>
    <row r="332" spans="16:21" x14ac:dyDescent="0.25">
      <c r="P332" t="str">
        <f>IF(DONNEES_SOURCE!$CA332=TRUE,DONNEES_SOURCE!$BV332,"")</f>
        <v/>
      </c>
      <c r="Q332" t="str">
        <f>IF(DONNEES_SOURCE!$CA332=TRUE,IFERROR(MATCH(DONNEES_SOURCE!$B332,{"2. Très rarement (Moins d'une fois par mois)","3. Rarement (1 à 3 fois par mois)","4. Parfois (Environ une fois par semaine)","5. Régulièrement (Plusieurs fois par semaine)","6. Quotidiennement (Une fois par jour)","7. Très fréquemment (Plusieurs fois par jour)"},0)+1,""),"")</f>
        <v/>
      </c>
      <c r="R332" t="str">
        <f>IF(DONNEES_SOURCE!$CA332=TRUE,DONNEES_SOURCE!$BW332,"")</f>
        <v/>
      </c>
      <c r="S332" t="str">
        <f>IF(DONNEES_SOURCE!$CA332=TRUE,DONNEES_SOURCE!$AU332,"")</f>
        <v/>
      </c>
      <c r="T332" t="str">
        <f>IF(DONNEES_SOURCE!$CA332=TRUE,DONNEES_SOURCE!$BW332,"")</f>
        <v/>
      </c>
      <c r="U332" t="str">
        <f>IF(DONNEES_SOURCE!$CA332=TRUE,IFERROR(MATCH(DONNEES_SOURCE!$B332,{"2. Très rarement (Moins d'une fois par mois)","3. Rarement (1 à 3 fois par mois)","4. Parfois (Environ une fois par semaine)","5. Régulièrement (Plusieurs fois par semaine)","6. Quotidiennement (Une fois par jour)","7. Très fréquemment (Plusieurs fois par jour)"},0)+1,""),"")</f>
        <v/>
      </c>
    </row>
    <row r="333" spans="16:21" x14ac:dyDescent="0.25">
      <c r="P333" t="str">
        <f>IF(DONNEES_SOURCE!$CA333=TRUE,DONNEES_SOURCE!$BV333,"")</f>
        <v/>
      </c>
      <c r="Q333" t="str">
        <f>IF(DONNEES_SOURCE!$CA333=TRUE,IFERROR(MATCH(DONNEES_SOURCE!$B333,{"2. Très rarement (Moins d'une fois par mois)","3. Rarement (1 à 3 fois par mois)","4. Parfois (Environ une fois par semaine)","5. Régulièrement (Plusieurs fois par semaine)","6. Quotidiennement (Une fois par jour)","7. Très fréquemment (Plusieurs fois par jour)"},0)+1,""),"")</f>
        <v/>
      </c>
      <c r="R333" t="str">
        <f>IF(DONNEES_SOURCE!$CA333=TRUE,DONNEES_SOURCE!$BW333,"")</f>
        <v/>
      </c>
      <c r="S333" t="str">
        <f>IF(DONNEES_SOURCE!$CA333=TRUE,DONNEES_SOURCE!$AU333,"")</f>
        <v/>
      </c>
      <c r="T333" t="str">
        <f>IF(DONNEES_SOURCE!$CA333=TRUE,DONNEES_SOURCE!$BW333,"")</f>
        <v/>
      </c>
      <c r="U333" t="str">
        <f>IF(DONNEES_SOURCE!$CA333=TRUE,IFERROR(MATCH(DONNEES_SOURCE!$B333,{"2. Très rarement (Moins d'une fois par mois)","3. Rarement (1 à 3 fois par mois)","4. Parfois (Environ une fois par semaine)","5. Régulièrement (Plusieurs fois par semaine)","6. Quotidiennement (Une fois par jour)","7. Très fréquemment (Plusieurs fois par jour)"},0)+1,""),"")</f>
        <v/>
      </c>
    </row>
    <row r="334" spans="16:21" x14ac:dyDescent="0.25">
      <c r="P334" t="str">
        <f>IF(DONNEES_SOURCE!$CA334=TRUE,DONNEES_SOURCE!$BV334,"")</f>
        <v/>
      </c>
      <c r="Q334" t="str">
        <f>IF(DONNEES_SOURCE!$CA334=TRUE,IFERROR(MATCH(DONNEES_SOURCE!$B334,{"2. Très rarement (Moins d'une fois par mois)","3. Rarement (1 à 3 fois par mois)","4. Parfois (Environ une fois par semaine)","5. Régulièrement (Plusieurs fois par semaine)","6. Quotidiennement (Une fois par jour)","7. Très fréquemment (Plusieurs fois par jour)"},0)+1,""),"")</f>
        <v/>
      </c>
      <c r="R334" t="str">
        <f>IF(DONNEES_SOURCE!$CA334=TRUE,DONNEES_SOURCE!$BW334,"")</f>
        <v/>
      </c>
      <c r="S334" t="str">
        <f>IF(DONNEES_SOURCE!$CA334=TRUE,DONNEES_SOURCE!$AU334,"")</f>
        <v/>
      </c>
      <c r="T334" t="str">
        <f>IF(DONNEES_SOURCE!$CA334=TRUE,DONNEES_SOURCE!$BW334,"")</f>
        <v/>
      </c>
      <c r="U334" t="str">
        <f>IF(DONNEES_SOURCE!$CA334=TRUE,IFERROR(MATCH(DONNEES_SOURCE!$B334,{"2. Très rarement (Moins d'une fois par mois)","3. Rarement (1 à 3 fois par mois)","4. Parfois (Environ une fois par semaine)","5. Régulièrement (Plusieurs fois par semaine)","6. Quotidiennement (Une fois par jour)","7. Très fréquemment (Plusieurs fois par jour)"},0)+1,""),"")</f>
        <v/>
      </c>
    </row>
    <row r="335" spans="16:21" x14ac:dyDescent="0.25">
      <c r="P335" t="str">
        <f>IF(DONNEES_SOURCE!$CA335=TRUE,DONNEES_SOURCE!$BV335,"")</f>
        <v/>
      </c>
      <c r="Q335" t="str">
        <f>IF(DONNEES_SOURCE!$CA335=TRUE,IFERROR(MATCH(DONNEES_SOURCE!$B335,{"2. Très rarement (Moins d'une fois par mois)","3. Rarement (1 à 3 fois par mois)","4. Parfois (Environ une fois par semaine)","5. Régulièrement (Plusieurs fois par semaine)","6. Quotidiennement (Une fois par jour)","7. Très fréquemment (Plusieurs fois par jour)"},0)+1,""),"")</f>
        <v/>
      </c>
      <c r="R335" t="str">
        <f>IF(DONNEES_SOURCE!$CA335=TRUE,DONNEES_SOURCE!$BW335,"")</f>
        <v/>
      </c>
      <c r="S335" t="str">
        <f>IF(DONNEES_SOURCE!$CA335=TRUE,DONNEES_SOURCE!$AU335,"")</f>
        <v/>
      </c>
      <c r="T335" t="str">
        <f>IF(DONNEES_SOURCE!$CA335=TRUE,DONNEES_SOURCE!$BW335,"")</f>
        <v/>
      </c>
      <c r="U335" t="str">
        <f>IF(DONNEES_SOURCE!$CA335=TRUE,IFERROR(MATCH(DONNEES_SOURCE!$B335,{"2. Très rarement (Moins d'une fois par mois)","3. Rarement (1 à 3 fois par mois)","4. Parfois (Environ une fois par semaine)","5. Régulièrement (Plusieurs fois par semaine)","6. Quotidiennement (Une fois par jour)","7. Très fréquemment (Plusieurs fois par jour)"},0)+1,""),"")</f>
        <v/>
      </c>
    </row>
    <row r="336" spans="16:21" x14ac:dyDescent="0.25">
      <c r="P336" t="str">
        <f>IF(DONNEES_SOURCE!$CA336=TRUE,DONNEES_SOURCE!$BV336,"")</f>
        <v/>
      </c>
      <c r="Q336" t="str">
        <f>IF(DONNEES_SOURCE!$CA336=TRUE,IFERROR(MATCH(DONNEES_SOURCE!$B336,{"2. Très rarement (Moins d'une fois par mois)","3. Rarement (1 à 3 fois par mois)","4. Parfois (Environ une fois par semaine)","5. Régulièrement (Plusieurs fois par semaine)","6. Quotidiennement (Une fois par jour)","7. Très fréquemment (Plusieurs fois par jour)"},0)+1,""),"")</f>
        <v/>
      </c>
      <c r="R336" t="str">
        <f>IF(DONNEES_SOURCE!$CA336=TRUE,DONNEES_SOURCE!$BW336,"")</f>
        <v/>
      </c>
      <c r="S336" t="str">
        <f>IF(DONNEES_SOURCE!$CA336=TRUE,DONNEES_SOURCE!$AU336,"")</f>
        <v/>
      </c>
      <c r="T336" t="str">
        <f>IF(DONNEES_SOURCE!$CA336=TRUE,DONNEES_SOURCE!$BW336,"")</f>
        <v/>
      </c>
      <c r="U336" t="str">
        <f>IF(DONNEES_SOURCE!$CA336=TRUE,IFERROR(MATCH(DONNEES_SOURCE!$B336,{"2. Très rarement (Moins d'une fois par mois)","3. Rarement (1 à 3 fois par mois)","4. Parfois (Environ une fois par semaine)","5. Régulièrement (Plusieurs fois par semaine)","6. Quotidiennement (Une fois par jour)","7. Très fréquemment (Plusieurs fois par jour)"},0)+1,""),"")</f>
        <v/>
      </c>
    </row>
    <row r="337" spans="16:21" x14ac:dyDescent="0.25">
      <c r="P337" t="str">
        <f>IF(DONNEES_SOURCE!$CA337=TRUE,DONNEES_SOURCE!$BV337,"")</f>
        <v/>
      </c>
      <c r="Q337" t="str">
        <f>IF(DONNEES_SOURCE!$CA337=TRUE,IFERROR(MATCH(DONNEES_SOURCE!$B337,{"2. Très rarement (Moins d'une fois par mois)","3. Rarement (1 à 3 fois par mois)","4. Parfois (Environ une fois par semaine)","5. Régulièrement (Plusieurs fois par semaine)","6. Quotidiennement (Une fois par jour)","7. Très fréquemment (Plusieurs fois par jour)"},0)+1,""),"")</f>
        <v/>
      </c>
      <c r="R337" t="str">
        <f>IF(DONNEES_SOURCE!$CA337=TRUE,DONNEES_SOURCE!$BW337,"")</f>
        <v/>
      </c>
      <c r="S337" t="str">
        <f>IF(DONNEES_SOURCE!$CA337=TRUE,DONNEES_SOURCE!$AU337,"")</f>
        <v/>
      </c>
      <c r="T337" t="str">
        <f>IF(DONNEES_SOURCE!$CA337=TRUE,DONNEES_SOURCE!$BW337,"")</f>
        <v/>
      </c>
      <c r="U337" t="str">
        <f>IF(DONNEES_SOURCE!$CA337=TRUE,IFERROR(MATCH(DONNEES_SOURCE!$B337,{"2. Très rarement (Moins d'une fois par mois)","3. Rarement (1 à 3 fois par mois)","4. Parfois (Environ une fois par semaine)","5. Régulièrement (Plusieurs fois par semaine)","6. Quotidiennement (Une fois par jour)","7. Très fréquemment (Plusieurs fois par jour)"},0)+1,""),"")</f>
        <v/>
      </c>
    </row>
    <row r="338" spans="16:21" x14ac:dyDescent="0.25">
      <c r="P338" t="str">
        <f>IF(DONNEES_SOURCE!$CA338=TRUE,DONNEES_SOURCE!$BV338,"")</f>
        <v/>
      </c>
      <c r="Q338" t="str">
        <f>IF(DONNEES_SOURCE!$CA338=TRUE,IFERROR(MATCH(DONNEES_SOURCE!$B338,{"2. Très rarement (Moins d'une fois par mois)","3. Rarement (1 à 3 fois par mois)","4. Parfois (Environ une fois par semaine)","5. Régulièrement (Plusieurs fois par semaine)","6. Quotidiennement (Une fois par jour)","7. Très fréquemment (Plusieurs fois par jour)"},0)+1,""),"")</f>
        <v/>
      </c>
      <c r="R338" t="str">
        <f>IF(DONNEES_SOURCE!$CA338=TRUE,DONNEES_SOURCE!$BW338,"")</f>
        <v/>
      </c>
      <c r="S338" t="str">
        <f>IF(DONNEES_SOURCE!$CA338=TRUE,DONNEES_SOURCE!$AU338,"")</f>
        <v/>
      </c>
      <c r="T338" t="str">
        <f>IF(DONNEES_SOURCE!$CA338=TRUE,DONNEES_SOURCE!$BW338,"")</f>
        <v/>
      </c>
      <c r="U338" t="str">
        <f>IF(DONNEES_SOURCE!$CA338=TRUE,IFERROR(MATCH(DONNEES_SOURCE!$B338,{"2. Très rarement (Moins d'une fois par mois)","3. Rarement (1 à 3 fois par mois)","4. Parfois (Environ une fois par semaine)","5. Régulièrement (Plusieurs fois par semaine)","6. Quotidiennement (Une fois par jour)","7. Très fréquemment (Plusieurs fois par jour)"},0)+1,""),"")</f>
        <v/>
      </c>
    </row>
    <row r="339" spans="16:21" x14ac:dyDescent="0.25">
      <c r="P339" t="str">
        <f>IF(DONNEES_SOURCE!$CA339=TRUE,DONNEES_SOURCE!$BV339,"")</f>
        <v/>
      </c>
      <c r="Q339" t="str">
        <f>IF(DONNEES_SOURCE!$CA339=TRUE,IFERROR(MATCH(DONNEES_SOURCE!$B339,{"2. Très rarement (Moins d'une fois par mois)","3. Rarement (1 à 3 fois par mois)","4. Parfois (Environ une fois par semaine)","5. Régulièrement (Plusieurs fois par semaine)","6. Quotidiennement (Une fois par jour)","7. Très fréquemment (Plusieurs fois par jour)"},0)+1,""),"")</f>
        <v/>
      </c>
      <c r="R339" t="str">
        <f>IF(DONNEES_SOURCE!$CA339=TRUE,DONNEES_SOURCE!$BW339,"")</f>
        <v/>
      </c>
      <c r="S339" t="str">
        <f>IF(DONNEES_SOURCE!$CA339=TRUE,DONNEES_SOURCE!$AU339,"")</f>
        <v/>
      </c>
      <c r="T339" t="str">
        <f>IF(DONNEES_SOURCE!$CA339=TRUE,DONNEES_SOURCE!$BW339,"")</f>
        <v/>
      </c>
      <c r="U339" t="str">
        <f>IF(DONNEES_SOURCE!$CA339=TRUE,IFERROR(MATCH(DONNEES_SOURCE!$B339,{"2. Très rarement (Moins d'une fois par mois)","3. Rarement (1 à 3 fois par mois)","4. Parfois (Environ une fois par semaine)","5. Régulièrement (Plusieurs fois par semaine)","6. Quotidiennement (Une fois par jour)","7. Très fréquemment (Plusieurs fois par jour)"},0)+1,""),"")</f>
        <v/>
      </c>
    </row>
    <row r="340" spans="16:21" x14ac:dyDescent="0.25">
      <c r="P340" t="str">
        <f>IF(DONNEES_SOURCE!$CA340=TRUE,DONNEES_SOURCE!$BV340,"")</f>
        <v/>
      </c>
      <c r="Q340" t="str">
        <f>IF(DONNEES_SOURCE!$CA340=TRUE,IFERROR(MATCH(DONNEES_SOURCE!$B340,{"2. Très rarement (Moins d'une fois par mois)","3. Rarement (1 à 3 fois par mois)","4. Parfois (Environ une fois par semaine)","5. Régulièrement (Plusieurs fois par semaine)","6. Quotidiennement (Une fois par jour)","7. Très fréquemment (Plusieurs fois par jour)"},0)+1,""),"")</f>
        <v/>
      </c>
      <c r="R340" t="str">
        <f>IF(DONNEES_SOURCE!$CA340=TRUE,DONNEES_SOURCE!$BW340,"")</f>
        <v/>
      </c>
      <c r="S340" t="str">
        <f>IF(DONNEES_SOURCE!$CA340=TRUE,DONNEES_SOURCE!$AU340,"")</f>
        <v/>
      </c>
      <c r="T340" t="str">
        <f>IF(DONNEES_SOURCE!$CA340=TRUE,DONNEES_SOURCE!$BW340,"")</f>
        <v/>
      </c>
      <c r="U340" t="str">
        <f>IF(DONNEES_SOURCE!$CA340=TRUE,IFERROR(MATCH(DONNEES_SOURCE!$B340,{"2. Très rarement (Moins d'une fois par mois)","3. Rarement (1 à 3 fois par mois)","4. Parfois (Environ une fois par semaine)","5. Régulièrement (Plusieurs fois par semaine)","6. Quotidiennement (Une fois par jour)","7. Très fréquemment (Plusieurs fois par jour)"},0)+1,""),"")</f>
        <v/>
      </c>
    </row>
    <row r="341" spans="16:21" x14ac:dyDescent="0.25">
      <c r="P341" t="str">
        <f>IF(DONNEES_SOURCE!$CA341=TRUE,DONNEES_SOURCE!$BV341,"")</f>
        <v/>
      </c>
      <c r="Q341" t="str">
        <f>IF(DONNEES_SOURCE!$CA341=TRUE,IFERROR(MATCH(DONNEES_SOURCE!$B341,{"2. Très rarement (Moins d'une fois par mois)","3. Rarement (1 à 3 fois par mois)","4. Parfois (Environ une fois par semaine)","5. Régulièrement (Plusieurs fois par semaine)","6. Quotidiennement (Une fois par jour)","7. Très fréquemment (Plusieurs fois par jour)"},0)+1,""),"")</f>
        <v/>
      </c>
      <c r="R341" t="str">
        <f>IF(DONNEES_SOURCE!$CA341=TRUE,DONNEES_SOURCE!$BW341,"")</f>
        <v/>
      </c>
      <c r="S341" t="str">
        <f>IF(DONNEES_SOURCE!$CA341=TRUE,DONNEES_SOURCE!$AU341,"")</f>
        <v/>
      </c>
      <c r="T341" t="str">
        <f>IF(DONNEES_SOURCE!$CA341=TRUE,DONNEES_SOURCE!$BW341,"")</f>
        <v/>
      </c>
      <c r="U341" t="str">
        <f>IF(DONNEES_SOURCE!$CA341=TRUE,IFERROR(MATCH(DONNEES_SOURCE!$B341,{"2. Très rarement (Moins d'une fois par mois)","3. Rarement (1 à 3 fois par mois)","4. Parfois (Environ une fois par semaine)","5. Régulièrement (Plusieurs fois par semaine)","6. Quotidiennement (Une fois par jour)","7. Très fréquemment (Plusieurs fois par jour)"},0)+1,""),"")</f>
        <v/>
      </c>
    </row>
    <row r="342" spans="16:21" x14ac:dyDescent="0.25">
      <c r="P342" t="str">
        <f>IF(DONNEES_SOURCE!$CA342=TRUE,DONNEES_SOURCE!$BV342,"")</f>
        <v/>
      </c>
      <c r="Q342" t="str">
        <f>IF(DONNEES_SOURCE!$CA342=TRUE,IFERROR(MATCH(DONNEES_SOURCE!$B342,{"2. Très rarement (Moins d'une fois par mois)","3. Rarement (1 à 3 fois par mois)","4. Parfois (Environ une fois par semaine)","5. Régulièrement (Plusieurs fois par semaine)","6. Quotidiennement (Une fois par jour)","7. Très fréquemment (Plusieurs fois par jour)"},0)+1,""),"")</f>
        <v/>
      </c>
      <c r="R342" t="str">
        <f>IF(DONNEES_SOURCE!$CA342=TRUE,DONNEES_SOURCE!$BW342,"")</f>
        <v/>
      </c>
      <c r="S342" t="str">
        <f>IF(DONNEES_SOURCE!$CA342=TRUE,DONNEES_SOURCE!$AU342,"")</f>
        <v/>
      </c>
      <c r="T342" t="str">
        <f>IF(DONNEES_SOURCE!$CA342=TRUE,DONNEES_SOURCE!$BW342,"")</f>
        <v/>
      </c>
      <c r="U342" t="str">
        <f>IF(DONNEES_SOURCE!$CA342=TRUE,IFERROR(MATCH(DONNEES_SOURCE!$B342,{"2. Très rarement (Moins d'une fois par mois)","3. Rarement (1 à 3 fois par mois)","4. Parfois (Environ une fois par semaine)","5. Régulièrement (Plusieurs fois par semaine)","6. Quotidiennement (Une fois par jour)","7. Très fréquemment (Plusieurs fois par jour)"},0)+1,""),"")</f>
        <v/>
      </c>
    </row>
    <row r="343" spans="16:21" x14ac:dyDescent="0.25">
      <c r="P343" t="str">
        <f>IF(DONNEES_SOURCE!$CA343=TRUE,DONNEES_SOURCE!$BV343,"")</f>
        <v/>
      </c>
      <c r="Q343" t="str">
        <f>IF(DONNEES_SOURCE!$CA343=TRUE,IFERROR(MATCH(DONNEES_SOURCE!$B343,{"2. Très rarement (Moins d'une fois par mois)","3. Rarement (1 à 3 fois par mois)","4. Parfois (Environ une fois par semaine)","5. Régulièrement (Plusieurs fois par semaine)","6. Quotidiennement (Une fois par jour)","7. Très fréquemment (Plusieurs fois par jour)"},0)+1,""),"")</f>
        <v/>
      </c>
      <c r="R343" t="str">
        <f>IF(DONNEES_SOURCE!$CA343=TRUE,DONNEES_SOURCE!$BW343,"")</f>
        <v/>
      </c>
      <c r="S343" t="str">
        <f>IF(DONNEES_SOURCE!$CA343=TRUE,DONNEES_SOURCE!$AU343,"")</f>
        <v/>
      </c>
      <c r="T343" t="str">
        <f>IF(DONNEES_SOURCE!$CA343=TRUE,DONNEES_SOURCE!$BW343,"")</f>
        <v/>
      </c>
      <c r="U343" t="str">
        <f>IF(DONNEES_SOURCE!$CA343=TRUE,IFERROR(MATCH(DONNEES_SOURCE!$B343,{"2. Très rarement (Moins d'une fois par mois)","3. Rarement (1 à 3 fois par mois)","4. Parfois (Environ une fois par semaine)","5. Régulièrement (Plusieurs fois par semaine)","6. Quotidiennement (Une fois par jour)","7. Très fréquemment (Plusieurs fois par jour)"},0)+1,""),"")</f>
        <v/>
      </c>
    </row>
    <row r="344" spans="16:21" x14ac:dyDescent="0.25">
      <c r="P344" t="str">
        <f>IF(DONNEES_SOURCE!$CA344=TRUE,DONNEES_SOURCE!$BV344,"")</f>
        <v/>
      </c>
      <c r="Q344" t="str">
        <f>IF(DONNEES_SOURCE!$CA344=TRUE,IFERROR(MATCH(DONNEES_SOURCE!$B344,{"2. Très rarement (Moins d'une fois par mois)","3. Rarement (1 à 3 fois par mois)","4. Parfois (Environ une fois par semaine)","5. Régulièrement (Plusieurs fois par semaine)","6. Quotidiennement (Une fois par jour)","7. Très fréquemment (Plusieurs fois par jour)"},0)+1,""),"")</f>
        <v/>
      </c>
      <c r="R344" t="str">
        <f>IF(DONNEES_SOURCE!$CA344=TRUE,DONNEES_SOURCE!$BW344,"")</f>
        <v/>
      </c>
      <c r="S344" t="str">
        <f>IF(DONNEES_SOURCE!$CA344=TRUE,DONNEES_SOURCE!$AU344,"")</f>
        <v/>
      </c>
      <c r="T344" t="str">
        <f>IF(DONNEES_SOURCE!$CA344=TRUE,DONNEES_SOURCE!$BW344,"")</f>
        <v/>
      </c>
      <c r="U344" t="str">
        <f>IF(DONNEES_SOURCE!$CA344=TRUE,IFERROR(MATCH(DONNEES_SOURCE!$B344,{"2. Très rarement (Moins d'une fois par mois)","3. Rarement (1 à 3 fois par mois)","4. Parfois (Environ une fois par semaine)","5. Régulièrement (Plusieurs fois par semaine)","6. Quotidiennement (Une fois par jour)","7. Très fréquemment (Plusieurs fois par jour)"},0)+1,""),"")</f>
        <v/>
      </c>
    </row>
    <row r="345" spans="16:21" x14ac:dyDescent="0.25">
      <c r="P345" t="str">
        <f>IF(DONNEES_SOURCE!$CA345=TRUE,DONNEES_SOURCE!$BV345,"")</f>
        <v/>
      </c>
      <c r="Q345" t="str">
        <f>IF(DONNEES_SOURCE!$CA345=TRUE,IFERROR(MATCH(DONNEES_SOURCE!$B345,{"2. Très rarement (Moins d'une fois par mois)","3. Rarement (1 à 3 fois par mois)","4. Parfois (Environ une fois par semaine)","5. Régulièrement (Plusieurs fois par semaine)","6. Quotidiennement (Une fois par jour)","7. Très fréquemment (Plusieurs fois par jour)"},0)+1,""),"")</f>
        <v/>
      </c>
      <c r="R345" t="str">
        <f>IF(DONNEES_SOURCE!$CA345=TRUE,DONNEES_SOURCE!$BW345,"")</f>
        <v/>
      </c>
      <c r="S345" t="str">
        <f>IF(DONNEES_SOURCE!$CA345=TRUE,DONNEES_SOURCE!$AU345,"")</f>
        <v/>
      </c>
      <c r="T345" t="str">
        <f>IF(DONNEES_SOURCE!$CA345=TRUE,DONNEES_SOURCE!$BW345,"")</f>
        <v/>
      </c>
      <c r="U345" t="str">
        <f>IF(DONNEES_SOURCE!$CA345=TRUE,IFERROR(MATCH(DONNEES_SOURCE!$B345,{"2. Très rarement (Moins d'une fois par mois)","3. Rarement (1 à 3 fois par mois)","4. Parfois (Environ une fois par semaine)","5. Régulièrement (Plusieurs fois par semaine)","6. Quotidiennement (Une fois par jour)","7. Très fréquemment (Plusieurs fois par jour)"},0)+1,""),"")</f>
        <v/>
      </c>
    </row>
    <row r="346" spans="16:21" x14ac:dyDescent="0.25">
      <c r="P346" t="str">
        <f>IF(DONNEES_SOURCE!$CA346=TRUE,DONNEES_SOURCE!$BV346,"")</f>
        <v/>
      </c>
      <c r="Q346" t="str">
        <f>IF(DONNEES_SOURCE!$CA346=TRUE,IFERROR(MATCH(DONNEES_SOURCE!$B346,{"2. Très rarement (Moins d'une fois par mois)","3. Rarement (1 à 3 fois par mois)","4. Parfois (Environ une fois par semaine)","5. Régulièrement (Plusieurs fois par semaine)","6. Quotidiennement (Une fois par jour)","7. Très fréquemment (Plusieurs fois par jour)"},0)+1,""),"")</f>
        <v/>
      </c>
      <c r="R346" t="str">
        <f>IF(DONNEES_SOURCE!$CA346=TRUE,DONNEES_SOURCE!$BW346,"")</f>
        <v/>
      </c>
      <c r="S346" t="str">
        <f>IF(DONNEES_SOURCE!$CA346=TRUE,DONNEES_SOURCE!$AU346,"")</f>
        <v/>
      </c>
      <c r="T346" t="str">
        <f>IF(DONNEES_SOURCE!$CA346=TRUE,DONNEES_SOURCE!$BW346,"")</f>
        <v/>
      </c>
      <c r="U346" t="str">
        <f>IF(DONNEES_SOURCE!$CA346=TRUE,IFERROR(MATCH(DONNEES_SOURCE!$B346,{"2. Très rarement (Moins d'une fois par mois)","3. Rarement (1 à 3 fois par mois)","4. Parfois (Environ une fois par semaine)","5. Régulièrement (Plusieurs fois par semaine)","6. Quotidiennement (Une fois par jour)","7. Très fréquemment (Plusieurs fois par jour)"},0)+1,""),"")</f>
        <v/>
      </c>
    </row>
    <row r="347" spans="16:21" x14ac:dyDescent="0.25">
      <c r="P347" t="str">
        <f>IF(DONNEES_SOURCE!$CA347=TRUE,DONNEES_SOURCE!$BV347,"")</f>
        <v/>
      </c>
      <c r="Q347" t="str">
        <f>IF(DONNEES_SOURCE!$CA347=TRUE,IFERROR(MATCH(DONNEES_SOURCE!$B347,{"2. Très rarement (Moins d'une fois par mois)","3. Rarement (1 à 3 fois par mois)","4. Parfois (Environ une fois par semaine)","5. Régulièrement (Plusieurs fois par semaine)","6. Quotidiennement (Une fois par jour)","7. Très fréquemment (Plusieurs fois par jour)"},0)+1,""),"")</f>
        <v/>
      </c>
      <c r="R347" t="str">
        <f>IF(DONNEES_SOURCE!$CA347=TRUE,DONNEES_SOURCE!$BW347,"")</f>
        <v/>
      </c>
      <c r="S347" t="str">
        <f>IF(DONNEES_SOURCE!$CA347=TRUE,DONNEES_SOURCE!$AU347,"")</f>
        <v/>
      </c>
      <c r="T347" t="str">
        <f>IF(DONNEES_SOURCE!$CA347=TRUE,DONNEES_SOURCE!$BW347,"")</f>
        <v/>
      </c>
      <c r="U347" t="str">
        <f>IF(DONNEES_SOURCE!$CA347=TRUE,IFERROR(MATCH(DONNEES_SOURCE!$B347,{"2. Très rarement (Moins d'une fois par mois)","3. Rarement (1 à 3 fois par mois)","4. Parfois (Environ une fois par semaine)","5. Régulièrement (Plusieurs fois par semaine)","6. Quotidiennement (Une fois par jour)","7. Très fréquemment (Plusieurs fois par jour)"},0)+1,""),"")</f>
        <v/>
      </c>
    </row>
    <row r="348" spans="16:21" x14ac:dyDescent="0.25">
      <c r="P348" t="str">
        <f>IF(DONNEES_SOURCE!$CA348=TRUE,DONNEES_SOURCE!$BV348,"")</f>
        <v/>
      </c>
      <c r="Q348" t="str">
        <f>IF(DONNEES_SOURCE!$CA348=TRUE,IFERROR(MATCH(DONNEES_SOURCE!$B348,{"2. Très rarement (Moins d'une fois par mois)","3. Rarement (1 à 3 fois par mois)","4. Parfois (Environ une fois par semaine)","5. Régulièrement (Plusieurs fois par semaine)","6. Quotidiennement (Une fois par jour)","7. Très fréquemment (Plusieurs fois par jour)"},0)+1,""),"")</f>
        <v/>
      </c>
      <c r="R348" t="str">
        <f>IF(DONNEES_SOURCE!$CA348=TRUE,DONNEES_SOURCE!$BW348,"")</f>
        <v/>
      </c>
      <c r="S348" t="str">
        <f>IF(DONNEES_SOURCE!$CA348=TRUE,DONNEES_SOURCE!$AU348,"")</f>
        <v/>
      </c>
      <c r="T348" t="str">
        <f>IF(DONNEES_SOURCE!$CA348=TRUE,DONNEES_SOURCE!$BW348,"")</f>
        <v/>
      </c>
      <c r="U348" t="str">
        <f>IF(DONNEES_SOURCE!$CA348=TRUE,IFERROR(MATCH(DONNEES_SOURCE!$B348,{"2. Très rarement (Moins d'une fois par mois)","3. Rarement (1 à 3 fois par mois)","4. Parfois (Environ une fois par semaine)","5. Régulièrement (Plusieurs fois par semaine)","6. Quotidiennement (Une fois par jour)","7. Très fréquemment (Plusieurs fois par jour)"},0)+1,""),"")</f>
        <v/>
      </c>
    </row>
    <row r="349" spans="16:21" x14ac:dyDescent="0.25">
      <c r="P349" t="str">
        <f>IF(DONNEES_SOURCE!$CA349=TRUE,DONNEES_SOURCE!$BV349,"")</f>
        <v/>
      </c>
      <c r="Q349" t="str">
        <f>IF(DONNEES_SOURCE!$CA349=TRUE,IFERROR(MATCH(DONNEES_SOURCE!$B349,{"2. Très rarement (Moins d'une fois par mois)","3. Rarement (1 à 3 fois par mois)","4. Parfois (Environ une fois par semaine)","5. Régulièrement (Plusieurs fois par semaine)","6. Quotidiennement (Une fois par jour)","7. Très fréquemment (Plusieurs fois par jour)"},0)+1,""),"")</f>
        <v/>
      </c>
      <c r="R349" t="str">
        <f>IF(DONNEES_SOURCE!$CA349=TRUE,DONNEES_SOURCE!$BW349,"")</f>
        <v/>
      </c>
      <c r="S349" t="str">
        <f>IF(DONNEES_SOURCE!$CA349=TRUE,DONNEES_SOURCE!$AU349,"")</f>
        <v/>
      </c>
      <c r="T349" t="str">
        <f>IF(DONNEES_SOURCE!$CA349=TRUE,DONNEES_SOURCE!$BW349,"")</f>
        <v/>
      </c>
      <c r="U349" t="str">
        <f>IF(DONNEES_SOURCE!$CA349=TRUE,IFERROR(MATCH(DONNEES_SOURCE!$B349,{"2. Très rarement (Moins d'une fois par mois)","3. Rarement (1 à 3 fois par mois)","4. Parfois (Environ une fois par semaine)","5. Régulièrement (Plusieurs fois par semaine)","6. Quotidiennement (Une fois par jour)","7. Très fréquemment (Plusieurs fois par jour)"},0)+1,""),"")</f>
        <v/>
      </c>
    </row>
    <row r="350" spans="16:21" x14ac:dyDescent="0.25">
      <c r="P350" t="str">
        <f>IF(DONNEES_SOURCE!$CA350=TRUE,DONNEES_SOURCE!$BV350,"")</f>
        <v/>
      </c>
      <c r="Q350" t="str">
        <f>IF(DONNEES_SOURCE!$CA350=TRUE,IFERROR(MATCH(DONNEES_SOURCE!$B350,{"2. Très rarement (Moins d'une fois par mois)","3. Rarement (1 à 3 fois par mois)","4. Parfois (Environ une fois par semaine)","5. Régulièrement (Plusieurs fois par semaine)","6. Quotidiennement (Une fois par jour)","7. Très fréquemment (Plusieurs fois par jour)"},0)+1,""),"")</f>
        <v/>
      </c>
      <c r="R350" t="str">
        <f>IF(DONNEES_SOURCE!$CA350=TRUE,DONNEES_SOURCE!$BW350,"")</f>
        <v/>
      </c>
      <c r="S350" t="str">
        <f>IF(DONNEES_SOURCE!$CA350=TRUE,DONNEES_SOURCE!$AU350,"")</f>
        <v/>
      </c>
      <c r="T350" t="str">
        <f>IF(DONNEES_SOURCE!$CA350=TRUE,DONNEES_SOURCE!$BW350,"")</f>
        <v/>
      </c>
      <c r="U350" t="str">
        <f>IF(DONNEES_SOURCE!$CA350=TRUE,IFERROR(MATCH(DONNEES_SOURCE!$B350,{"2. Très rarement (Moins d'une fois par mois)","3. Rarement (1 à 3 fois par mois)","4. Parfois (Environ une fois par semaine)","5. Régulièrement (Plusieurs fois par semaine)","6. Quotidiennement (Une fois par jour)","7. Très fréquemment (Plusieurs fois par jour)"},0)+1,""),"")</f>
        <v/>
      </c>
    </row>
    <row r="351" spans="16:21" x14ac:dyDescent="0.25">
      <c r="P351" t="str">
        <f>IF(DONNEES_SOURCE!$CA351=TRUE,DONNEES_SOURCE!$BV351,"")</f>
        <v/>
      </c>
      <c r="Q351" t="str">
        <f>IF(DONNEES_SOURCE!$CA351=TRUE,IFERROR(MATCH(DONNEES_SOURCE!$B351,{"2. Très rarement (Moins d'une fois par mois)","3. Rarement (1 à 3 fois par mois)","4. Parfois (Environ une fois par semaine)","5. Régulièrement (Plusieurs fois par semaine)","6. Quotidiennement (Une fois par jour)","7. Très fréquemment (Plusieurs fois par jour)"},0)+1,""),"")</f>
        <v/>
      </c>
      <c r="R351" t="str">
        <f>IF(DONNEES_SOURCE!$CA351=TRUE,DONNEES_SOURCE!$BW351,"")</f>
        <v/>
      </c>
      <c r="S351" t="str">
        <f>IF(DONNEES_SOURCE!$CA351=TRUE,DONNEES_SOURCE!$AU351,"")</f>
        <v/>
      </c>
      <c r="T351" t="str">
        <f>IF(DONNEES_SOURCE!$CA351=TRUE,DONNEES_SOURCE!$BW351,"")</f>
        <v/>
      </c>
      <c r="U351" t="str">
        <f>IF(DONNEES_SOURCE!$CA351=TRUE,IFERROR(MATCH(DONNEES_SOURCE!$B351,{"2. Très rarement (Moins d'une fois par mois)","3. Rarement (1 à 3 fois par mois)","4. Parfois (Environ une fois par semaine)","5. Régulièrement (Plusieurs fois par semaine)","6. Quotidiennement (Une fois par jour)","7. Très fréquemment (Plusieurs fois par jour)"},0)+1,""),"")</f>
        <v/>
      </c>
    </row>
    <row r="352" spans="16:21" x14ac:dyDescent="0.25">
      <c r="P352" t="str">
        <f>IF(DONNEES_SOURCE!$CA352=TRUE,DONNEES_SOURCE!$BV352,"")</f>
        <v/>
      </c>
      <c r="Q352" t="str">
        <f>IF(DONNEES_SOURCE!$CA352=TRUE,IFERROR(MATCH(DONNEES_SOURCE!$B352,{"2. Très rarement (Moins d'une fois par mois)","3. Rarement (1 à 3 fois par mois)","4. Parfois (Environ une fois par semaine)","5. Régulièrement (Plusieurs fois par semaine)","6. Quotidiennement (Une fois par jour)","7. Très fréquemment (Plusieurs fois par jour)"},0)+1,""),"")</f>
        <v/>
      </c>
      <c r="R352" t="str">
        <f>IF(DONNEES_SOURCE!$CA352=TRUE,DONNEES_SOURCE!$BW352,"")</f>
        <v/>
      </c>
      <c r="S352" t="str">
        <f>IF(DONNEES_SOURCE!$CA352=TRUE,DONNEES_SOURCE!$AU352,"")</f>
        <v/>
      </c>
      <c r="T352" t="str">
        <f>IF(DONNEES_SOURCE!$CA352=TRUE,DONNEES_SOURCE!$BW352,"")</f>
        <v/>
      </c>
      <c r="U352" t="str">
        <f>IF(DONNEES_SOURCE!$CA352=TRUE,IFERROR(MATCH(DONNEES_SOURCE!$B352,{"2. Très rarement (Moins d'une fois par mois)","3. Rarement (1 à 3 fois par mois)","4. Parfois (Environ une fois par semaine)","5. Régulièrement (Plusieurs fois par semaine)","6. Quotidiennement (Une fois par jour)","7. Très fréquemment (Plusieurs fois par jour)"},0)+1,""),"")</f>
        <v/>
      </c>
    </row>
    <row r="353" spans="16:21" x14ac:dyDescent="0.25">
      <c r="P353" t="str">
        <f>IF(DONNEES_SOURCE!$CA353=TRUE,DONNEES_SOURCE!$BV353,"")</f>
        <v/>
      </c>
      <c r="Q353" t="str">
        <f>IF(DONNEES_SOURCE!$CA353=TRUE,IFERROR(MATCH(DONNEES_SOURCE!$B353,{"2. Très rarement (Moins d'une fois par mois)","3. Rarement (1 à 3 fois par mois)","4. Parfois (Environ une fois par semaine)","5. Régulièrement (Plusieurs fois par semaine)","6. Quotidiennement (Une fois par jour)","7. Très fréquemment (Plusieurs fois par jour)"},0)+1,""),"")</f>
        <v/>
      </c>
      <c r="R353" t="str">
        <f>IF(DONNEES_SOURCE!$CA353=TRUE,DONNEES_SOURCE!$BW353,"")</f>
        <v/>
      </c>
      <c r="S353" t="str">
        <f>IF(DONNEES_SOURCE!$CA353=TRUE,DONNEES_SOURCE!$AU353,"")</f>
        <v/>
      </c>
      <c r="T353" t="str">
        <f>IF(DONNEES_SOURCE!$CA353=TRUE,DONNEES_SOURCE!$BW353,"")</f>
        <v/>
      </c>
      <c r="U353" t="str">
        <f>IF(DONNEES_SOURCE!$CA353=TRUE,IFERROR(MATCH(DONNEES_SOURCE!$B353,{"2. Très rarement (Moins d'une fois par mois)","3. Rarement (1 à 3 fois par mois)","4. Parfois (Environ une fois par semaine)","5. Régulièrement (Plusieurs fois par semaine)","6. Quotidiennement (Une fois par jour)","7. Très fréquemment (Plusieurs fois par jour)"},0)+1,""),"")</f>
        <v/>
      </c>
    </row>
    <row r="354" spans="16:21" x14ac:dyDescent="0.25">
      <c r="P354" t="str">
        <f>IF(DONNEES_SOURCE!$CA354=TRUE,DONNEES_SOURCE!$BV354,"")</f>
        <v/>
      </c>
      <c r="Q354" t="str">
        <f>IF(DONNEES_SOURCE!$CA354=TRUE,IFERROR(MATCH(DONNEES_SOURCE!$B354,{"2. Très rarement (Moins d'une fois par mois)","3. Rarement (1 à 3 fois par mois)","4. Parfois (Environ une fois par semaine)","5. Régulièrement (Plusieurs fois par semaine)","6. Quotidiennement (Une fois par jour)","7. Très fréquemment (Plusieurs fois par jour)"},0)+1,""),"")</f>
        <v/>
      </c>
      <c r="R354" t="str">
        <f>IF(DONNEES_SOURCE!$CA354=TRUE,DONNEES_SOURCE!$BW354,"")</f>
        <v/>
      </c>
      <c r="S354" t="str">
        <f>IF(DONNEES_SOURCE!$CA354=TRUE,DONNEES_SOURCE!$AU354,"")</f>
        <v/>
      </c>
      <c r="T354" t="str">
        <f>IF(DONNEES_SOURCE!$CA354=TRUE,DONNEES_SOURCE!$BW354,"")</f>
        <v/>
      </c>
      <c r="U354" t="str">
        <f>IF(DONNEES_SOURCE!$CA354=TRUE,IFERROR(MATCH(DONNEES_SOURCE!$B354,{"2. Très rarement (Moins d'une fois par mois)","3. Rarement (1 à 3 fois par mois)","4. Parfois (Environ une fois par semaine)","5. Régulièrement (Plusieurs fois par semaine)","6. Quotidiennement (Une fois par jour)","7. Très fréquemment (Plusieurs fois par jour)"},0)+1,""),"")</f>
        <v/>
      </c>
    </row>
    <row r="355" spans="16:21" x14ac:dyDescent="0.25">
      <c r="P355" t="str">
        <f>IF(DONNEES_SOURCE!$CA355=TRUE,DONNEES_SOURCE!$BV355,"")</f>
        <v/>
      </c>
      <c r="Q355" t="str">
        <f>IF(DONNEES_SOURCE!$CA355=TRUE,IFERROR(MATCH(DONNEES_SOURCE!$B355,{"2. Très rarement (Moins d'une fois par mois)","3. Rarement (1 à 3 fois par mois)","4. Parfois (Environ une fois par semaine)","5. Régulièrement (Plusieurs fois par semaine)","6. Quotidiennement (Une fois par jour)","7. Très fréquemment (Plusieurs fois par jour)"},0)+1,""),"")</f>
        <v/>
      </c>
      <c r="R355" t="str">
        <f>IF(DONNEES_SOURCE!$CA355=TRUE,DONNEES_SOURCE!$BW355,"")</f>
        <v/>
      </c>
      <c r="S355" t="str">
        <f>IF(DONNEES_SOURCE!$CA355=TRUE,DONNEES_SOURCE!$AU355,"")</f>
        <v/>
      </c>
      <c r="T355" t="str">
        <f>IF(DONNEES_SOURCE!$CA355=TRUE,DONNEES_SOURCE!$BW355,"")</f>
        <v/>
      </c>
      <c r="U355" t="str">
        <f>IF(DONNEES_SOURCE!$CA355=TRUE,IFERROR(MATCH(DONNEES_SOURCE!$B355,{"2. Très rarement (Moins d'une fois par mois)","3. Rarement (1 à 3 fois par mois)","4. Parfois (Environ une fois par semaine)","5. Régulièrement (Plusieurs fois par semaine)","6. Quotidiennement (Une fois par jour)","7. Très fréquemment (Plusieurs fois par jour)"},0)+1,""),"")</f>
        <v/>
      </c>
    </row>
    <row r="356" spans="16:21" x14ac:dyDescent="0.25">
      <c r="P356" t="str">
        <f>IF(DONNEES_SOURCE!$CA356=TRUE,DONNEES_SOURCE!$BV356,"")</f>
        <v/>
      </c>
      <c r="Q356" t="str">
        <f>IF(DONNEES_SOURCE!$CA356=TRUE,IFERROR(MATCH(DONNEES_SOURCE!$B356,{"2. Très rarement (Moins d'une fois par mois)","3. Rarement (1 à 3 fois par mois)","4. Parfois (Environ une fois par semaine)","5. Régulièrement (Plusieurs fois par semaine)","6. Quotidiennement (Une fois par jour)","7. Très fréquemment (Plusieurs fois par jour)"},0)+1,""),"")</f>
        <v/>
      </c>
      <c r="R356" t="str">
        <f>IF(DONNEES_SOURCE!$CA356=TRUE,DONNEES_SOURCE!$BW356,"")</f>
        <v/>
      </c>
      <c r="S356" t="str">
        <f>IF(DONNEES_SOURCE!$CA356=TRUE,DONNEES_SOURCE!$AU356,"")</f>
        <v/>
      </c>
      <c r="T356" t="str">
        <f>IF(DONNEES_SOURCE!$CA356=TRUE,DONNEES_SOURCE!$BW356,"")</f>
        <v/>
      </c>
      <c r="U356" t="str">
        <f>IF(DONNEES_SOURCE!$CA356=TRUE,IFERROR(MATCH(DONNEES_SOURCE!$B356,{"2. Très rarement (Moins d'une fois par mois)","3. Rarement (1 à 3 fois par mois)","4. Parfois (Environ une fois par semaine)","5. Régulièrement (Plusieurs fois par semaine)","6. Quotidiennement (Une fois par jour)","7. Très fréquemment (Plusieurs fois par jour)"},0)+1,""),"")</f>
        <v/>
      </c>
    </row>
    <row r="357" spans="16:21" x14ac:dyDescent="0.25">
      <c r="P357" t="str">
        <f>IF(DONNEES_SOURCE!$CA357=TRUE,DONNEES_SOURCE!$BV357,"")</f>
        <v/>
      </c>
      <c r="Q357" t="str">
        <f>IF(DONNEES_SOURCE!$CA357=TRUE,IFERROR(MATCH(DONNEES_SOURCE!$B357,{"2. Très rarement (Moins d'une fois par mois)","3. Rarement (1 à 3 fois par mois)","4. Parfois (Environ une fois par semaine)","5. Régulièrement (Plusieurs fois par semaine)","6. Quotidiennement (Une fois par jour)","7. Très fréquemment (Plusieurs fois par jour)"},0)+1,""),"")</f>
        <v/>
      </c>
      <c r="R357" t="str">
        <f>IF(DONNEES_SOURCE!$CA357=TRUE,DONNEES_SOURCE!$BW357,"")</f>
        <v/>
      </c>
      <c r="S357" t="str">
        <f>IF(DONNEES_SOURCE!$CA357=TRUE,DONNEES_SOURCE!$AU357,"")</f>
        <v/>
      </c>
      <c r="T357" t="str">
        <f>IF(DONNEES_SOURCE!$CA357=TRUE,DONNEES_SOURCE!$BW357,"")</f>
        <v/>
      </c>
      <c r="U357" t="str">
        <f>IF(DONNEES_SOURCE!$CA357=TRUE,IFERROR(MATCH(DONNEES_SOURCE!$B357,{"2. Très rarement (Moins d'une fois par mois)","3. Rarement (1 à 3 fois par mois)","4. Parfois (Environ une fois par semaine)","5. Régulièrement (Plusieurs fois par semaine)","6. Quotidiennement (Une fois par jour)","7. Très fréquemment (Plusieurs fois par jour)"},0)+1,""),"")</f>
        <v/>
      </c>
    </row>
    <row r="358" spans="16:21" x14ac:dyDescent="0.25">
      <c r="P358" t="str">
        <f>IF(DONNEES_SOURCE!$CA358=TRUE,DONNEES_SOURCE!$BV358,"")</f>
        <v/>
      </c>
      <c r="Q358" t="str">
        <f>IF(DONNEES_SOURCE!$CA358=TRUE,IFERROR(MATCH(DONNEES_SOURCE!$B358,{"2. Très rarement (Moins d'une fois par mois)","3. Rarement (1 à 3 fois par mois)","4. Parfois (Environ une fois par semaine)","5. Régulièrement (Plusieurs fois par semaine)","6. Quotidiennement (Une fois par jour)","7. Très fréquemment (Plusieurs fois par jour)"},0)+1,""),"")</f>
        <v/>
      </c>
      <c r="R358" t="str">
        <f>IF(DONNEES_SOURCE!$CA358=TRUE,DONNEES_SOURCE!$BW358,"")</f>
        <v/>
      </c>
      <c r="S358" t="str">
        <f>IF(DONNEES_SOURCE!$CA358=TRUE,DONNEES_SOURCE!$AU358,"")</f>
        <v/>
      </c>
      <c r="T358" t="str">
        <f>IF(DONNEES_SOURCE!$CA358=TRUE,DONNEES_SOURCE!$BW358,"")</f>
        <v/>
      </c>
      <c r="U358" t="str">
        <f>IF(DONNEES_SOURCE!$CA358=TRUE,IFERROR(MATCH(DONNEES_SOURCE!$B358,{"2. Très rarement (Moins d'une fois par mois)","3. Rarement (1 à 3 fois par mois)","4. Parfois (Environ une fois par semaine)","5. Régulièrement (Plusieurs fois par semaine)","6. Quotidiennement (Une fois par jour)","7. Très fréquemment (Plusieurs fois par jour)"},0)+1,""),"")</f>
        <v/>
      </c>
    </row>
    <row r="359" spans="16:21" x14ac:dyDescent="0.25">
      <c r="P359" t="str">
        <f>IF(DONNEES_SOURCE!$CA359=TRUE,DONNEES_SOURCE!$BV359,"")</f>
        <v/>
      </c>
      <c r="Q359" t="str">
        <f>IF(DONNEES_SOURCE!$CA359=TRUE,IFERROR(MATCH(DONNEES_SOURCE!$B359,{"2. Très rarement (Moins d'une fois par mois)","3. Rarement (1 à 3 fois par mois)","4. Parfois (Environ une fois par semaine)","5. Régulièrement (Plusieurs fois par semaine)","6. Quotidiennement (Une fois par jour)","7. Très fréquemment (Plusieurs fois par jour)"},0)+1,""),"")</f>
        <v/>
      </c>
      <c r="R359" t="str">
        <f>IF(DONNEES_SOURCE!$CA359=TRUE,DONNEES_SOURCE!$BW359,"")</f>
        <v/>
      </c>
      <c r="S359" t="str">
        <f>IF(DONNEES_SOURCE!$CA359=TRUE,DONNEES_SOURCE!$AU359,"")</f>
        <v/>
      </c>
      <c r="T359" t="str">
        <f>IF(DONNEES_SOURCE!$CA359=TRUE,DONNEES_SOURCE!$BW359,"")</f>
        <v/>
      </c>
      <c r="U359" t="str">
        <f>IF(DONNEES_SOURCE!$CA359=TRUE,IFERROR(MATCH(DONNEES_SOURCE!$B359,{"2. Très rarement (Moins d'une fois par mois)","3. Rarement (1 à 3 fois par mois)","4. Parfois (Environ une fois par semaine)","5. Régulièrement (Plusieurs fois par semaine)","6. Quotidiennement (Une fois par jour)","7. Très fréquemment (Plusieurs fois par jour)"},0)+1,""),"")</f>
        <v/>
      </c>
    </row>
    <row r="360" spans="16:21" x14ac:dyDescent="0.25">
      <c r="P360" t="str">
        <f>IF(DONNEES_SOURCE!$CA360=TRUE,DONNEES_SOURCE!$BV360,"")</f>
        <v/>
      </c>
      <c r="Q360" t="str">
        <f>IF(DONNEES_SOURCE!$CA360=TRUE,IFERROR(MATCH(DONNEES_SOURCE!$B360,{"2. Très rarement (Moins d'une fois par mois)","3. Rarement (1 à 3 fois par mois)","4. Parfois (Environ une fois par semaine)","5. Régulièrement (Plusieurs fois par semaine)","6. Quotidiennement (Une fois par jour)","7. Très fréquemment (Plusieurs fois par jour)"},0)+1,""),"")</f>
        <v/>
      </c>
      <c r="R360" t="str">
        <f>IF(DONNEES_SOURCE!$CA360=TRUE,DONNEES_SOURCE!$BW360,"")</f>
        <v/>
      </c>
      <c r="S360" t="str">
        <f>IF(DONNEES_SOURCE!$CA360=TRUE,DONNEES_SOURCE!$AU360,"")</f>
        <v/>
      </c>
      <c r="T360" t="str">
        <f>IF(DONNEES_SOURCE!$CA360=TRUE,DONNEES_SOURCE!$BW360,"")</f>
        <v/>
      </c>
      <c r="U360" t="str">
        <f>IF(DONNEES_SOURCE!$CA360=TRUE,IFERROR(MATCH(DONNEES_SOURCE!$B360,{"2. Très rarement (Moins d'une fois par mois)","3. Rarement (1 à 3 fois par mois)","4. Parfois (Environ une fois par semaine)","5. Régulièrement (Plusieurs fois par semaine)","6. Quotidiennement (Une fois par jour)","7. Très fréquemment (Plusieurs fois par jour)"},0)+1,""),"")</f>
        <v/>
      </c>
    </row>
    <row r="361" spans="16:21" x14ac:dyDescent="0.25">
      <c r="P361" t="str">
        <f>IF(DONNEES_SOURCE!$CA361=TRUE,DONNEES_SOURCE!$BV361,"")</f>
        <v/>
      </c>
      <c r="Q361" t="str">
        <f>IF(DONNEES_SOURCE!$CA361=TRUE,IFERROR(MATCH(DONNEES_SOURCE!$B361,{"2. Très rarement (Moins d'une fois par mois)","3. Rarement (1 à 3 fois par mois)","4. Parfois (Environ une fois par semaine)","5. Régulièrement (Plusieurs fois par semaine)","6. Quotidiennement (Une fois par jour)","7. Très fréquemment (Plusieurs fois par jour)"},0)+1,""),"")</f>
        <v/>
      </c>
      <c r="R361" t="str">
        <f>IF(DONNEES_SOURCE!$CA361=TRUE,DONNEES_SOURCE!$BW361,"")</f>
        <v/>
      </c>
      <c r="S361" t="str">
        <f>IF(DONNEES_SOURCE!$CA361=TRUE,DONNEES_SOURCE!$AU361,"")</f>
        <v/>
      </c>
      <c r="T361" t="str">
        <f>IF(DONNEES_SOURCE!$CA361=TRUE,DONNEES_SOURCE!$BW361,"")</f>
        <v/>
      </c>
      <c r="U361" t="str">
        <f>IF(DONNEES_SOURCE!$CA361=TRUE,IFERROR(MATCH(DONNEES_SOURCE!$B361,{"2. Très rarement (Moins d'une fois par mois)","3. Rarement (1 à 3 fois par mois)","4. Parfois (Environ une fois par semaine)","5. Régulièrement (Plusieurs fois par semaine)","6. Quotidiennement (Une fois par jour)","7. Très fréquemment (Plusieurs fois par jour)"},0)+1,""),"")</f>
        <v/>
      </c>
    </row>
    <row r="362" spans="16:21" x14ac:dyDescent="0.25">
      <c r="P362" t="str">
        <f>IF(DONNEES_SOURCE!$CA362=TRUE,DONNEES_SOURCE!$BV362,"")</f>
        <v/>
      </c>
      <c r="Q362" t="str">
        <f>IF(DONNEES_SOURCE!$CA362=TRUE,IFERROR(MATCH(DONNEES_SOURCE!$B362,{"2. Très rarement (Moins d'une fois par mois)","3. Rarement (1 à 3 fois par mois)","4. Parfois (Environ une fois par semaine)","5. Régulièrement (Plusieurs fois par semaine)","6. Quotidiennement (Une fois par jour)","7. Très fréquemment (Plusieurs fois par jour)"},0)+1,""),"")</f>
        <v/>
      </c>
      <c r="R362" t="str">
        <f>IF(DONNEES_SOURCE!$CA362=TRUE,DONNEES_SOURCE!$BW362,"")</f>
        <v/>
      </c>
      <c r="S362" t="str">
        <f>IF(DONNEES_SOURCE!$CA362=TRUE,DONNEES_SOURCE!$AU362,"")</f>
        <v/>
      </c>
      <c r="T362" t="str">
        <f>IF(DONNEES_SOURCE!$CA362=TRUE,DONNEES_SOURCE!$BW362,"")</f>
        <v/>
      </c>
      <c r="U362" t="str">
        <f>IF(DONNEES_SOURCE!$CA362=TRUE,IFERROR(MATCH(DONNEES_SOURCE!$B362,{"2. Très rarement (Moins d'une fois par mois)","3. Rarement (1 à 3 fois par mois)","4. Parfois (Environ une fois par semaine)","5. Régulièrement (Plusieurs fois par semaine)","6. Quotidiennement (Une fois par jour)","7. Très fréquemment (Plusieurs fois par jour)"},0)+1,""),"")</f>
        <v/>
      </c>
    </row>
    <row r="363" spans="16:21" x14ac:dyDescent="0.25">
      <c r="P363" t="str">
        <f>IF(DONNEES_SOURCE!$CA363=TRUE,DONNEES_SOURCE!$BV363,"")</f>
        <v/>
      </c>
      <c r="Q363" t="str">
        <f>IF(DONNEES_SOURCE!$CA363=TRUE,IFERROR(MATCH(DONNEES_SOURCE!$B363,{"2. Très rarement (Moins d'une fois par mois)","3. Rarement (1 à 3 fois par mois)","4. Parfois (Environ une fois par semaine)","5. Régulièrement (Plusieurs fois par semaine)","6. Quotidiennement (Une fois par jour)","7. Très fréquemment (Plusieurs fois par jour)"},0)+1,""),"")</f>
        <v/>
      </c>
      <c r="R363" t="str">
        <f>IF(DONNEES_SOURCE!$CA363=TRUE,DONNEES_SOURCE!$BW363,"")</f>
        <v/>
      </c>
      <c r="S363" t="str">
        <f>IF(DONNEES_SOURCE!$CA363=TRUE,DONNEES_SOURCE!$AU363,"")</f>
        <v/>
      </c>
      <c r="T363" t="str">
        <f>IF(DONNEES_SOURCE!$CA363=TRUE,DONNEES_SOURCE!$BW363,"")</f>
        <v/>
      </c>
      <c r="U363" t="str">
        <f>IF(DONNEES_SOURCE!$CA363=TRUE,IFERROR(MATCH(DONNEES_SOURCE!$B363,{"2. Très rarement (Moins d'une fois par mois)","3. Rarement (1 à 3 fois par mois)","4. Parfois (Environ une fois par semaine)","5. Régulièrement (Plusieurs fois par semaine)","6. Quotidiennement (Une fois par jour)","7. Très fréquemment (Plusieurs fois par jour)"},0)+1,""),"")</f>
        <v/>
      </c>
    </row>
    <row r="364" spans="16:21" x14ac:dyDescent="0.25">
      <c r="P364" t="str">
        <f>IF(DONNEES_SOURCE!$CA364=TRUE,DONNEES_SOURCE!$BV364,"")</f>
        <v/>
      </c>
      <c r="Q364" t="str">
        <f>IF(DONNEES_SOURCE!$CA364=TRUE,IFERROR(MATCH(DONNEES_SOURCE!$B364,{"2. Très rarement (Moins d'une fois par mois)","3. Rarement (1 à 3 fois par mois)","4. Parfois (Environ une fois par semaine)","5. Régulièrement (Plusieurs fois par semaine)","6. Quotidiennement (Une fois par jour)","7. Très fréquemment (Plusieurs fois par jour)"},0)+1,""),"")</f>
        <v/>
      </c>
      <c r="R364" t="str">
        <f>IF(DONNEES_SOURCE!$CA364=TRUE,DONNEES_SOURCE!$BW364,"")</f>
        <v/>
      </c>
      <c r="S364" t="str">
        <f>IF(DONNEES_SOURCE!$CA364=TRUE,DONNEES_SOURCE!$AU364,"")</f>
        <v/>
      </c>
      <c r="T364" t="str">
        <f>IF(DONNEES_SOURCE!$CA364=TRUE,DONNEES_SOURCE!$BW364,"")</f>
        <v/>
      </c>
      <c r="U364" t="str">
        <f>IF(DONNEES_SOURCE!$CA364=TRUE,IFERROR(MATCH(DONNEES_SOURCE!$B364,{"2. Très rarement (Moins d'une fois par mois)","3. Rarement (1 à 3 fois par mois)","4. Parfois (Environ une fois par semaine)","5. Régulièrement (Plusieurs fois par semaine)","6. Quotidiennement (Une fois par jour)","7. Très fréquemment (Plusieurs fois par jour)"},0)+1,""),"")</f>
        <v/>
      </c>
    </row>
    <row r="365" spans="16:21" x14ac:dyDescent="0.25">
      <c r="P365" t="str">
        <f>IF(DONNEES_SOURCE!$CA365=TRUE,DONNEES_SOURCE!$BV365,"")</f>
        <v/>
      </c>
      <c r="Q365" t="str">
        <f>IF(DONNEES_SOURCE!$CA365=TRUE,IFERROR(MATCH(DONNEES_SOURCE!$B365,{"2. Très rarement (Moins d'une fois par mois)","3. Rarement (1 à 3 fois par mois)","4. Parfois (Environ une fois par semaine)","5. Régulièrement (Plusieurs fois par semaine)","6. Quotidiennement (Une fois par jour)","7. Très fréquemment (Plusieurs fois par jour)"},0)+1,""),"")</f>
        <v/>
      </c>
      <c r="R365" t="str">
        <f>IF(DONNEES_SOURCE!$CA365=TRUE,DONNEES_SOURCE!$BW365,"")</f>
        <v/>
      </c>
      <c r="S365" t="str">
        <f>IF(DONNEES_SOURCE!$CA365=TRUE,DONNEES_SOURCE!$AU365,"")</f>
        <v/>
      </c>
      <c r="T365" t="str">
        <f>IF(DONNEES_SOURCE!$CA365=TRUE,DONNEES_SOURCE!$BW365,"")</f>
        <v/>
      </c>
      <c r="U365" t="str">
        <f>IF(DONNEES_SOURCE!$CA365=TRUE,IFERROR(MATCH(DONNEES_SOURCE!$B365,{"2. Très rarement (Moins d'une fois par mois)","3. Rarement (1 à 3 fois par mois)","4. Parfois (Environ une fois par semaine)","5. Régulièrement (Plusieurs fois par semaine)","6. Quotidiennement (Une fois par jour)","7. Très fréquemment (Plusieurs fois par jour)"},0)+1,""),"")</f>
        <v/>
      </c>
    </row>
    <row r="366" spans="16:21" x14ac:dyDescent="0.25">
      <c r="P366" t="str">
        <f>IF(DONNEES_SOURCE!$CA366=TRUE,DONNEES_SOURCE!$BV366,"")</f>
        <v/>
      </c>
      <c r="Q366" t="str">
        <f>IF(DONNEES_SOURCE!$CA366=TRUE,IFERROR(MATCH(DONNEES_SOURCE!$B366,{"2. Très rarement (Moins d'une fois par mois)","3. Rarement (1 à 3 fois par mois)","4. Parfois (Environ une fois par semaine)","5. Régulièrement (Plusieurs fois par semaine)","6. Quotidiennement (Une fois par jour)","7. Très fréquemment (Plusieurs fois par jour)"},0)+1,""),"")</f>
        <v/>
      </c>
      <c r="R366" t="str">
        <f>IF(DONNEES_SOURCE!$CA366=TRUE,DONNEES_SOURCE!$BW366,"")</f>
        <v/>
      </c>
      <c r="S366" t="str">
        <f>IF(DONNEES_SOURCE!$CA366=TRUE,DONNEES_SOURCE!$AU366,"")</f>
        <v/>
      </c>
      <c r="T366" t="str">
        <f>IF(DONNEES_SOURCE!$CA366=TRUE,DONNEES_SOURCE!$BW366,"")</f>
        <v/>
      </c>
      <c r="U366" t="str">
        <f>IF(DONNEES_SOURCE!$CA366=TRUE,IFERROR(MATCH(DONNEES_SOURCE!$B366,{"2. Très rarement (Moins d'une fois par mois)","3. Rarement (1 à 3 fois par mois)","4. Parfois (Environ une fois par semaine)","5. Régulièrement (Plusieurs fois par semaine)","6. Quotidiennement (Une fois par jour)","7. Très fréquemment (Plusieurs fois par jour)"},0)+1,""),"")</f>
        <v/>
      </c>
    </row>
    <row r="367" spans="16:21" x14ac:dyDescent="0.25">
      <c r="P367" t="str">
        <f>IF(DONNEES_SOURCE!$CA367=TRUE,DONNEES_SOURCE!$BV367,"")</f>
        <v/>
      </c>
      <c r="Q367" t="str">
        <f>IF(DONNEES_SOURCE!$CA367=TRUE,IFERROR(MATCH(DONNEES_SOURCE!$B367,{"2. Très rarement (Moins d'une fois par mois)","3. Rarement (1 à 3 fois par mois)","4. Parfois (Environ une fois par semaine)","5. Régulièrement (Plusieurs fois par semaine)","6. Quotidiennement (Une fois par jour)","7. Très fréquemment (Plusieurs fois par jour)"},0)+1,""),"")</f>
        <v/>
      </c>
      <c r="R367" t="str">
        <f>IF(DONNEES_SOURCE!$CA367=TRUE,DONNEES_SOURCE!$BW367,"")</f>
        <v/>
      </c>
      <c r="S367" t="str">
        <f>IF(DONNEES_SOURCE!$CA367=TRUE,DONNEES_SOURCE!$AU367,"")</f>
        <v/>
      </c>
      <c r="T367" t="str">
        <f>IF(DONNEES_SOURCE!$CA367=TRUE,DONNEES_SOURCE!$BW367,"")</f>
        <v/>
      </c>
      <c r="U367" t="str">
        <f>IF(DONNEES_SOURCE!$CA367=TRUE,IFERROR(MATCH(DONNEES_SOURCE!$B367,{"2. Très rarement (Moins d'une fois par mois)","3. Rarement (1 à 3 fois par mois)","4. Parfois (Environ une fois par semaine)","5. Régulièrement (Plusieurs fois par semaine)","6. Quotidiennement (Une fois par jour)","7. Très fréquemment (Plusieurs fois par jour)"},0)+1,""),"")</f>
        <v/>
      </c>
    </row>
    <row r="368" spans="16:21" x14ac:dyDescent="0.25">
      <c r="P368" t="str">
        <f>IF(DONNEES_SOURCE!$CA368=TRUE,DONNEES_SOURCE!$BV368,"")</f>
        <v/>
      </c>
      <c r="Q368" t="str">
        <f>IF(DONNEES_SOURCE!$CA368=TRUE,IFERROR(MATCH(DONNEES_SOURCE!$B368,{"2. Très rarement (Moins d'une fois par mois)","3. Rarement (1 à 3 fois par mois)","4. Parfois (Environ une fois par semaine)","5. Régulièrement (Plusieurs fois par semaine)","6. Quotidiennement (Une fois par jour)","7. Très fréquemment (Plusieurs fois par jour)"},0)+1,""),"")</f>
        <v/>
      </c>
      <c r="R368" t="str">
        <f>IF(DONNEES_SOURCE!$CA368=TRUE,DONNEES_SOURCE!$BW368,"")</f>
        <v/>
      </c>
      <c r="S368" t="str">
        <f>IF(DONNEES_SOURCE!$CA368=TRUE,DONNEES_SOURCE!$AU368,"")</f>
        <v/>
      </c>
      <c r="T368" t="str">
        <f>IF(DONNEES_SOURCE!$CA368=TRUE,DONNEES_SOURCE!$BW368,"")</f>
        <v/>
      </c>
      <c r="U368" t="str">
        <f>IF(DONNEES_SOURCE!$CA368=TRUE,IFERROR(MATCH(DONNEES_SOURCE!$B368,{"2. Très rarement (Moins d'une fois par mois)","3. Rarement (1 à 3 fois par mois)","4. Parfois (Environ une fois par semaine)","5. Régulièrement (Plusieurs fois par semaine)","6. Quotidiennement (Une fois par jour)","7. Très fréquemment (Plusieurs fois par jour)"},0)+1,""),"")</f>
        <v/>
      </c>
    </row>
    <row r="369" spans="16:21" x14ac:dyDescent="0.25">
      <c r="P369" t="str">
        <f>IF(DONNEES_SOURCE!$CA369=TRUE,DONNEES_SOURCE!$BV369,"")</f>
        <v/>
      </c>
      <c r="Q369" t="str">
        <f>IF(DONNEES_SOURCE!$CA369=TRUE,IFERROR(MATCH(DONNEES_SOURCE!$B369,{"2. Très rarement (Moins d'une fois par mois)","3. Rarement (1 à 3 fois par mois)","4. Parfois (Environ une fois par semaine)","5. Régulièrement (Plusieurs fois par semaine)","6. Quotidiennement (Une fois par jour)","7. Très fréquemment (Plusieurs fois par jour)"},0)+1,""),"")</f>
        <v/>
      </c>
      <c r="R369" t="str">
        <f>IF(DONNEES_SOURCE!$CA369=TRUE,DONNEES_SOURCE!$BW369,"")</f>
        <v/>
      </c>
      <c r="S369" t="str">
        <f>IF(DONNEES_SOURCE!$CA369=TRUE,DONNEES_SOURCE!$AU369,"")</f>
        <v/>
      </c>
      <c r="T369" t="str">
        <f>IF(DONNEES_SOURCE!$CA369=TRUE,DONNEES_SOURCE!$BW369,"")</f>
        <v/>
      </c>
      <c r="U369" t="str">
        <f>IF(DONNEES_SOURCE!$CA369=TRUE,IFERROR(MATCH(DONNEES_SOURCE!$B369,{"2. Très rarement (Moins d'une fois par mois)","3. Rarement (1 à 3 fois par mois)","4. Parfois (Environ une fois par semaine)","5. Régulièrement (Plusieurs fois par semaine)","6. Quotidiennement (Une fois par jour)","7. Très fréquemment (Plusieurs fois par jour)"},0)+1,""),"")</f>
        <v/>
      </c>
    </row>
    <row r="370" spans="16:21" x14ac:dyDescent="0.25">
      <c r="P370" t="str">
        <f>IF(DONNEES_SOURCE!$CA370=TRUE,DONNEES_SOURCE!$BV370,"")</f>
        <v/>
      </c>
      <c r="Q370" t="str">
        <f>IF(DONNEES_SOURCE!$CA370=TRUE,IFERROR(MATCH(DONNEES_SOURCE!$B370,{"2. Très rarement (Moins d'une fois par mois)","3. Rarement (1 à 3 fois par mois)","4. Parfois (Environ une fois par semaine)","5. Régulièrement (Plusieurs fois par semaine)","6. Quotidiennement (Une fois par jour)","7. Très fréquemment (Plusieurs fois par jour)"},0)+1,""),"")</f>
        <v/>
      </c>
      <c r="R370" t="str">
        <f>IF(DONNEES_SOURCE!$CA370=TRUE,DONNEES_SOURCE!$BW370,"")</f>
        <v/>
      </c>
      <c r="S370" t="str">
        <f>IF(DONNEES_SOURCE!$CA370=TRUE,DONNEES_SOURCE!$AU370,"")</f>
        <v/>
      </c>
      <c r="T370" t="str">
        <f>IF(DONNEES_SOURCE!$CA370=TRUE,DONNEES_SOURCE!$BW370,"")</f>
        <v/>
      </c>
      <c r="U370" t="str">
        <f>IF(DONNEES_SOURCE!$CA370=TRUE,IFERROR(MATCH(DONNEES_SOURCE!$B370,{"2. Très rarement (Moins d'une fois par mois)","3. Rarement (1 à 3 fois par mois)","4. Parfois (Environ une fois par semaine)","5. Régulièrement (Plusieurs fois par semaine)","6. Quotidiennement (Une fois par jour)","7. Très fréquemment (Plusieurs fois par jour)"},0)+1,""),"")</f>
        <v/>
      </c>
    </row>
    <row r="371" spans="16:21" x14ac:dyDescent="0.25">
      <c r="P371" t="str">
        <f>IF(DONNEES_SOURCE!$CA371=TRUE,DONNEES_SOURCE!$BV371,"")</f>
        <v/>
      </c>
      <c r="Q371" t="str">
        <f>IF(DONNEES_SOURCE!$CA371=TRUE,IFERROR(MATCH(DONNEES_SOURCE!$B371,{"2. Très rarement (Moins d'une fois par mois)","3. Rarement (1 à 3 fois par mois)","4. Parfois (Environ une fois par semaine)","5. Régulièrement (Plusieurs fois par semaine)","6. Quotidiennement (Une fois par jour)","7. Très fréquemment (Plusieurs fois par jour)"},0)+1,""),"")</f>
        <v/>
      </c>
      <c r="R371" t="str">
        <f>IF(DONNEES_SOURCE!$CA371=TRUE,DONNEES_SOURCE!$BW371,"")</f>
        <v/>
      </c>
      <c r="S371" t="str">
        <f>IF(DONNEES_SOURCE!$CA371=TRUE,DONNEES_SOURCE!$AU371,"")</f>
        <v/>
      </c>
      <c r="T371" t="str">
        <f>IF(DONNEES_SOURCE!$CA371=TRUE,DONNEES_SOURCE!$BW371,"")</f>
        <v/>
      </c>
      <c r="U371" t="str">
        <f>IF(DONNEES_SOURCE!$CA371=TRUE,IFERROR(MATCH(DONNEES_SOURCE!$B371,{"2. Très rarement (Moins d'une fois par mois)","3. Rarement (1 à 3 fois par mois)","4. Parfois (Environ une fois par semaine)","5. Régulièrement (Plusieurs fois par semaine)","6. Quotidiennement (Une fois par jour)","7. Très fréquemment (Plusieurs fois par jour)"},0)+1,""),"")</f>
        <v/>
      </c>
    </row>
    <row r="372" spans="16:21" x14ac:dyDescent="0.25">
      <c r="P372" t="str">
        <f>IF(DONNEES_SOURCE!$CA372=TRUE,DONNEES_SOURCE!$BV372,"")</f>
        <v/>
      </c>
      <c r="Q372" t="str">
        <f>IF(DONNEES_SOURCE!$CA372=TRUE,IFERROR(MATCH(DONNEES_SOURCE!$B372,{"2. Très rarement (Moins d'une fois par mois)","3. Rarement (1 à 3 fois par mois)","4. Parfois (Environ une fois par semaine)","5. Régulièrement (Plusieurs fois par semaine)","6. Quotidiennement (Une fois par jour)","7. Très fréquemment (Plusieurs fois par jour)"},0)+1,""),"")</f>
        <v/>
      </c>
      <c r="R372" t="str">
        <f>IF(DONNEES_SOURCE!$CA372=TRUE,DONNEES_SOURCE!$BW372,"")</f>
        <v/>
      </c>
      <c r="S372" t="str">
        <f>IF(DONNEES_SOURCE!$CA372=TRUE,DONNEES_SOURCE!$AU372,"")</f>
        <v/>
      </c>
      <c r="T372" t="str">
        <f>IF(DONNEES_SOURCE!$CA372=TRUE,DONNEES_SOURCE!$BW372,"")</f>
        <v/>
      </c>
      <c r="U372" t="str">
        <f>IF(DONNEES_SOURCE!$CA372=TRUE,IFERROR(MATCH(DONNEES_SOURCE!$B372,{"2. Très rarement (Moins d'une fois par mois)","3. Rarement (1 à 3 fois par mois)","4. Parfois (Environ une fois par semaine)","5. Régulièrement (Plusieurs fois par semaine)","6. Quotidiennement (Une fois par jour)","7. Très fréquemment (Plusieurs fois par jour)"},0)+1,""),"")</f>
        <v/>
      </c>
    </row>
    <row r="373" spans="16:21" x14ac:dyDescent="0.25">
      <c r="P373" t="str">
        <f>IF(DONNEES_SOURCE!$CA373=TRUE,DONNEES_SOURCE!$BV373,"")</f>
        <v/>
      </c>
      <c r="Q373" t="str">
        <f>IF(DONNEES_SOURCE!$CA373=TRUE,IFERROR(MATCH(DONNEES_SOURCE!$B373,{"2. Très rarement (Moins d'une fois par mois)","3. Rarement (1 à 3 fois par mois)","4. Parfois (Environ une fois par semaine)","5. Régulièrement (Plusieurs fois par semaine)","6. Quotidiennement (Une fois par jour)","7. Très fréquemment (Plusieurs fois par jour)"},0)+1,""),"")</f>
        <v/>
      </c>
      <c r="R373" t="str">
        <f>IF(DONNEES_SOURCE!$CA373=TRUE,DONNEES_SOURCE!$BW373,"")</f>
        <v/>
      </c>
      <c r="S373" t="str">
        <f>IF(DONNEES_SOURCE!$CA373=TRUE,DONNEES_SOURCE!$AU373,"")</f>
        <v/>
      </c>
      <c r="T373" t="str">
        <f>IF(DONNEES_SOURCE!$CA373=TRUE,DONNEES_SOURCE!$BW373,"")</f>
        <v/>
      </c>
      <c r="U373" t="str">
        <f>IF(DONNEES_SOURCE!$CA373=TRUE,IFERROR(MATCH(DONNEES_SOURCE!$B373,{"2. Très rarement (Moins d'une fois par mois)","3. Rarement (1 à 3 fois par mois)","4. Parfois (Environ une fois par semaine)","5. Régulièrement (Plusieurs fois par semaine)","6. Quotidiennement (Une fois par jour)","7. Très fréquemment (Plusieurs fois par jour)"},0)+1,""),"")</f>
        <v/>
      </c>
    </row>
    <row r="374" spans="16:21" x14ac:dyDescent="0.25">
      <c r="P374" t="str">
        <f>IF(DONNEES_SOURCE!$CA374=TRUE,DONNEES_SOURCE!$BV374,"")</f>
        <v/>
      </c>
      <c r="Q374" t="str">
        <f>IF(DONNEES_SOURCE!$CA374=TRUE,IFERROR(MATCH(DONNEES_SOURCE!$B374,{"2. Très rarement (Moins d'une fois par mois)","3. Rarement (1 à 3 fois par mois)","4. Parfois (Environ une fois par semaine)","5. Régulièrement (Plusieurs fois par semaine)","6. Quotidiennement (Une fois par jour)","7. Très fréquemment (Plusieurs fois par jour)"},0)+1,""),"")</f>
        <v/>
      </c>
      <c r="R374" t="str">
        <f>IF(DONNEES_SOURCE!$CA374=TRUE,DONNEES_SOURCE!$BW374,"")</f>
        <v/>
      </c>
      <c r="S374" t="str">
        <f>IF(DONNEES_SOURCE!$CA374=TRUE,DONNEES_SOURCE!$AU374,"")</f>
        <v/>
      </c>
      <c r="T374" t="str">
        <f>IF(DONNEES_SOURCE!$CA374=TRUE,DONNEES_SOURCE!$BW374,"")</f>
        <v/>
      </c>
      <c r="U374" t="str">
        <f>IF(DONNEES_SOURCE!$CA374=TRUE,IFERROR(MATCH(DONNEES_SOURCE!$B374,{"2. Très rarement (Moins d'une fois par mois)","3. Rarement (1 à 3 fois par mois)","4. Parfois (Environ une fois par semaine)","5. Régulièrement (Plusieurs fois par semaine)","6. Quotidiennement (Une fois par jour)","7. Très fréquemment (Plusieurs fois par jour)"},0)+1,""),"")</f>
        <v/>
      </c>
    </row>
    <row r="375" spans="16:21" x14ac:dyDescent="0.25">
      <c r="P375" t="str">
        <f>IF(DONNEES_SOURCE!$CA375=TRUE,DONNEES_SOURCE!$BV375,"")</f>
        <v/>
      </c>
      <c r="Q375" t="str">
        <f>IF(DONNEES_SOURCE!$CA375=TRUE,IFERROR(MATCH(DONNEES_SOURCE!$B375,{"2. Très rarement (Moins d'une fois par mois)","3. Rarement (1 à 3 fois par mois)","4. Parfois (Environ une fois par semaine)","5. Régulièrement (Plusieurs fois par semaine)","6. Quotidiennement (Une fois par jour)","7. Très fréquemment (Plusieurs fois par jour)"},0)+1,""),"")</f>
        <v/>
      </c>
      <c r="R375" t="str">
        <f>IF(DONNEES_SOURCE!$CA375=TRUE,DONNEES_SOURCE!$BW375,"")</f>
        <v/>
      </c>
      <c r="S375" t="str">
        <f>IF(DONNEES_SOURCE!$CA375=TRUE,DONNEES_SOURCE!$AU375,"")</f>
        <v/>
      </c>
      <c r="T375" t="str">
        <f>IF(DONNEES_SOURCE!$CA375=TRUE,DONNEES_SOURCE!$BW375,"")</f>
        <v/>
      </c>
      <c r="U375" t="str">
        <f>IF(DONNEES_SOURCE!$CA375=TRUE,IFERROR(MATCH(DONNEES_SOURCE!$B375,{"2. Très rarement (Moins d'une fois par mois)","3. Rarement (1 à 3 fois par mois)","4. Parfois (Environ une fois par semaine)","5. Régulièrement (Plusieurs fois par semaine)","6. Quotidiennement (Une fois par jour)","7. Très fréquemment (Plusieurs fois par jour)"},0)+1,""),"")</f>
        <v/>
      </c>
    </row>
    <row r="376" spans="16:21" x14ac:dyDescent="0.25">
      <c r="P376" t="str">
        <f>IF(DONNEES_SOURCE!$CA376=TRUE,DONNEES_SOURCE!$BV376,"")</f>
        <v/>
      </c>
      <c r="Q376" t="str">
        <f>IF(DONNEES_SOURCE!$CA376=TRUE,IFERROR(MATCH(DONNEES_SOURCE!$B376,{"2. Très rarement (Moins d'une fois par mois)","3. Rarement (1 à 3 fois par mois)","4. Parfois (Environ une fois par semaine)","5. Régulièrement (Plusieurs fois par semaine)","6. Quotidiennement (Une fois par jour)","7. Très fréquemment (Plusieurs fois par jour)"},0)+1,""),"")</f>
        <v/>
      </c>
      <c r="R376" t="str">
        <f>IF(DONNEES_SOURCE!$CA376=TRUE,DONNEES_SOURCE!$BW376,"")</f>
        <v/>
      </c>
      <c r="S376" t="str">
        <f>IF(DONNEES_SOURCE!$CA376=TRUE,DONNEES_SOURCE!$AU376,"")</f>
        <v/>
      </c>
      <c r="T376" t="str">
        <f>IF(DONNEES_SOURCE!$CA376=TRUE,DONNEES_SOURCE!$BW376,"")</f>
        <v/>
      </c>
      <c r="U376" t="str">
        <f>IF(DONNEES_SOURCE!$CA376=TRUE,IFERROR(MATCH(DONNEES_SOURCE!$B376,{"2. Très rarement (Moins d'une fois par mois)","3. Rarement (1 à 3 fois par mois)","4. Parfois (Environ une fois par semaine)","5. Régulièrement (Plusieurs fois par semaine)","6. Quotidiennement (Une fois par jour)","7. Très fréquemment (Plusieurs fois par jour)"},0)+1,""),"")</f>
        <v/>
      </c>
    </row>
    <row r="377" spans="16:21" x14ac:dyDescent="0.25">
      <c r="P377" t="str">
        <f>IF(DONNEES_SOURCE!$CA377=TRUE,DONNEES_SOURCE!$BV377,"")</f>
        <v/>
      </c>
      <c r="Q377" t="str">
        <f>IF(DONNEES_SOURCE!$CA377=TRUE,IFERROR(MATCH(DONNEES_SOURCE!$B377,{"2. Très rarement (Moins d'une fois par mois)","3. Rarement (1 à 3 fois par mois)","4. Parfois (Environ une fois par semaine)","5. Régulièrement (Plusieurs fois par semaine)","6. Quotidiennement (Une fois par jour)","7. Très fréquemment (Plusieurs fois par jour)"},0)+1,""),"")</f>
        <v/>
      </c>
      <c r="R377" t="str">
        <f>IF(DONNEES_SOURCE!$CA377=TRUE,DONNEES_SOURCE!$BW377,"")</f>
        <v/>
      </c>
      <c r="S377" t="str">
        <f>IF(DONNEES_SOURCE!$CA377=TRUE,DONNEES_SOURCE!$AU377,"")</f>
        <v/>
      </c>
      <c r="T377" t="str">
        <f>IF(DONNEES_SOURCE!$CA377=TRUE,DONNEES_SOURCE!$BW377,"")</f>
        <v/>
      </c>
      <c r="U377" t="str">
        <f>IF(DONNEES_SOURCE!$CA377=TRUE,IFERROR(MATCH(DONNEES_SOURCE!$B377,{"2. Très rarement (Moins d'une fois par mois)","3. Rarement (1 à 3 fois par mois)","4. Parfois (Environ une fois par semaine)","5. Régulièrement (Plusieurs fois par semaine)","6. Quotidiennement (Une fois par jour)","7. Très fréquemment (Plusieurs fois par jour)"},0)+1,""),"")</f>
        <v/>
      </c>
    </row>
    <row r="378" spans="16:21" x14ac:dyDescent="0.25">
      <c r="P378" t="str">
        <f>IF(DONNEES_SOURCE!$CA378=TRUE,DONNEES_SOURCE!$BV378,"")</f>
        <v/>
      </c>
      <c r="Q378" t="str">
        <f>IF(DONNEES_SOURCE!$CA378=TRUE,IFERROR(MATCH(DONNEES_SOURCE!$B378,{"2. Très rarement (Moins d'une fois par mois)","3. Rarement (1 à 3 fois par mois)","4. Parfois (Environ une fois par semaine)","5. Régulièrement (Plusieurs fois par semaine)","6. Quotidiennement (Une fois par jour)","7. Très fréquemment (Plusieurs fois par jour)"},0)+1,""),"")</f>
        <v/>
      </c>
      <c r="R378" t="str">
        <f>IF(DONNEES_SOURCE!$CA378=TRUE,DONNEES_SOURCE!$BW378,"")</f>
        <v/>
      </c>
      <c r="S378" t="str">
        <f>IF(DONNEES_SOURCE!$CA378=TRUE,DONNEES_SOURCE!$AU378,"")</f>
        <v/>
      </c>
      <c r="T378" t="str">
        <f>IF(DONNEES_SOURCE!$CA378=TRUE,DONNEES_SOURCE!$BW378,"")</f>
        <v/>
      </c>
      <c r="U378" t="str">
        <f>IF(DONNEES_SOURCE!$CA378=TRUE,IFERROR(MATCH(DONNEES_SOURCE!$B378,{"2. Très rarement (Moins d'une fois par mois)","3. Rarement (1 à 3 fois par mois)","4. Parfois (Environ une fois par semaine)","5. Régulièrement (Plusieurs fois par semaine)","6. Quotidiennement (Une fois par jour)","7. Très fréquemment (Plusieurs fois par jour)"},0)+1,""),"")</f>
        <v/>
      </c>
    </row>
    <row r="379" spans="16:21" x14ac:dyDescent="0.25">
      <c r="P379" t="str">
        <f>IF(DONNEES_SOURCE!$CA379=TRUE,DONNEES_SOURCE!$BV379,"")</f>
        <v/>
      </c>
      <c r="Q379" t="str">
        <f>IF(DONNEES_SOURCE!$CA379=TRUE,IFERROR(MATCH(DONNEES_SOURCE!$B379,{"2. Très rarement (Moins d'une fois par mois)","3. Rarement (1 à 3 fois par mois)","4. Parfois (Environ une fois par semaine)","5. Régulièrement (Plusieurs fois par semaine)","6. Quotidiennement (Une fois par jour)","7. Très fréquemment (Plusieurs fois par jour)"},0)+1,""),"")</f>
        <v/>
      </c>
      <c r="R379" t="str">
        <f>IF(DONNEES_SOURCE!$CA379=TRUE,DONNEES_SOURCE!$BW379,"")</f>
        <v/>
      </c>
      <c r="S379" t="str">
        <f>IF(DONNEES_SOURCE!$CA379=TRUE,DONNEES_SOURCE!$AU379,"")</f>
        <v/>
      </c>
      <c r="T379" t="str">
        <f>IF(DONNEES_SOURCE!$CA379=TRUE,DONNEES_SOURCE!$BW379,"")</f>
        <v/>
      </c>
      <c r="U379" t="str">
        <f>IF(DONNEES_SOURCE!$CA379=TRUE,IFERROR(MATCH(DONNEES_SOURCE!$B379,{"2. Très rarement (Moins d'une fois par mois)","3. Rarement (1 à 3 fois par mois)","4. Parfois (Environ une fois par semaine)","5. Régulièrement (Plusieurs fois par semaine)","6. Quotidiennement (Une fois par jour)","7. Très fréquemment (Plusieurs fois par jour)"},0)+1,""),"")</f>
        <v/>
      </c>
    </row>
    <row r="380" spans="16:21" x14ac:dyDescent="0.25">
      <c r="P380" t="str">
        <f>IF(DONNEES_SOURCE!$CA380=TRUE,DONNEES_SOURCE!$BV380,"")</f>
        <v/>
      </c>
      <c r="Q380" t="str">
        <f>IF(DONNEES_SOURCE!$CA380=TRUE,IFERROR(MATCH(DONNEES_SOURCE!$B380,{"2. Très rarement (Moins d'une fois par mois)","3. Rarement (1 à 3 fois par mois)","4. Parfois (Environ une fois par semaine)","5. Régulièrement (Plusieurs fois par semaine)","6. Quotidiennement (Une fois par jour)","7. Très fréquemment (Plusieurs fois par jour)"},0)+1,""),"")</f>
        <v/>
      </c>
      <c r="R380" t="str">
        <f>IF(DONNEES_SOURCE!$CA380=TRUE,DONNEES_SOURCE!$BW380,"")</f>
        <v/>
      </c>
      <c r="S380" t="str">
        <f>IF(DONNEES_SOURCE!$CA380=TRUE,DONNEES_SOURCE!$AU380,"")</f>
        <v/>
      </c>
      <c r="T380" t="str">
        <f>IF(DONNEES_SOURCE!$CA380=TRUE,DONNEES_SOURCE!$BW380,"")</f>
        <v/>
      </c>
      <c r="U380" t="str">
        <f>IF(DONNEES_SOURCE!$CA380=TRUE,IFERROR(MATCH(DONNEES_SOURCE!$B380,{"2. Très rarement (Moins d'une fois par mois)","3. Rarement (1 à 3 fois par mois)","4. Parfois (Environ une fois par semaine)","5. Régulièrement (Plusieurs fois par semaine)","6. Quotidiennement (Une fois par jour)","7. Très fréquemment (Plusieurs fois par jour)"},0)+1,""),"")</f>
        <v/>
      </c>
    </row>
    <row r="381" spans="16:21" x14ac:dyDescent="0.25">
      <c r="P381" t="str">
        <f>IF(DONNEES_SOURCE!$CA381=TRUE,DONNEES_SOURCE!$BV381,"")</f>
        <v/>
      </c>
      <c r="Q381" t="str">
        <f>IF(DONNEES_SOURCE!$CA381=TRUE,IFERROR(MATCH(DONNEES_SOURCE!$B381,{"2. Très rarement (Moins d'une fois par mois)","3. Rarement (1 à 3 fois par mois)","4. Parfois (Environ une fois par semaine)","5. Régulièrement (Plusieurs fois par semaine)","6. Quotidiennement (Une fois par jour)","7. Très fréquemment (Plusieurs fois par jour)"},0)+1,""),"")</f>
        <v/>
      </c>
      <c r="R381" t="str">
        <f>IF(DONNEES_SOURCE!$CA381=TRUE,DONNEES_SOURCE!$BW381,"")</f>
        <v/>
      </c>
      <c r="S381" t="str">
        <f>IF(DONNEES_SOURCE!$CA381=TRUE,DONNEES_SOURCE!$AU381,"")</f>
        <v/>
      </c>
      <c r="T381" t="str">
        <f>IF(DONNEES_SOURCE!$CA381=TRUE,DONNEES_SOURCE!$BW381,"")</f>
        <v/>
      </c>
      <c r="U381" t="str">
        <f>IF(DONNEES_SOURCE!$CA381=TRUE,IFERROR(MATCH(DONNEES_SOURCE!$B381,{"2. Très rarement (Moins d'une fois par mois)","3. Rarement (1 à 3 fois par mois)","4. Parfois (Environ une fois par semaine)","5. Régulièrement (Plusieurs fois par semaine)","6. Quotidiennement (Une fois par jour)","7. Très fréquemment (Plusieurs fois par jour)"},0)+1,""),"")</f>
        <v/>
      </c>
    </row>
    <row r="382" spans="16:21" x14ac:dyDescent="0.25">
      <c r="P382" t="str">
        <f>IF(DONNEES_SOURCE!$CA382=TRUE,DONNEES_SOURCE!$BV382,"")</f>
        <v/>
      </c>
      <c r="Q382" t="str">
        <f>IF(DONNEES_SOURCE!$CA382=TRUE,IFERROR(MATCH(DONNEES_SOURCE!$B382,{"2. Très rarement (Moins d'une fois par mois)","3. Rarement (1 à 3 fois par mois)","4. Parfois (Environ une fois par semaine)","5. Régulièrement (Plusieurs fois par semaine)","6. Quotidiennement (Une fois par jour)","7. Très fréquemment (Plusieurs fois par jour)"},0)+1,""),"")</f>
        <v/>
      </c>
      <c r="R382" t="str">
        <f>IF(DONNEES_SOURCE!$CA382=TRUE,DONNEES_SOURCE!$BW382,"")</f>
        <v/>
      </c>
      <c r="S382" t="str">
        <f>IF(DONNEES_SOURCE!$CA382=TRUE,DONNEES_SOURCE!$AU382,"")</f>
        <v/>
      </c>
      <c r="T382" t="str">
        <f>IF(DONNEES_SOURCE!$CA382=TRUE,DONNEES_SOURCE!$BW382,"")</f>
        <v/>
      </c>
      <c r="U382" t="str">
        <f>IF(DONNEES_SOURCE!$CA382=TRUE,IFERROR(MATCH(DONNEES_SOURCE!$B382,{"2. Très rarement (Moins d'une fois par mois)","3. Rarement (1 à 3 fois par mois)","4. Parfois (Environ une fois par semaine)","5. Régulièrement (Plusieurs fois par semaine)","6. Quotidiennement (Une fois par jour)","7. Très fréquemment (Plusieurs fois par jour)"},0)+1,""),"")</f>
        <v/>
      </c>
    </row>
    <row r="383" spans="16:21" x14ac:dyDescent="0.25">
      <c r="P383" t="str">
        <f>IF(DONNEES_SOURCE!$CA383=TRUE,DONNEES_SOURCE!$BV383,"")</f>
        <v/>
      </c>
      <c r="Q383" t="str">
        <f>IF(DONNEES_SOURCE!$CA383=TRUE,IFERROR(MATCH(DONNEES_SOURCE!$B383,{"2. Très rarement (Moins d'une fois par mois)","3. Rarement (1 à 3 fois par mois)","4. Parfois (Environ une fois par semaine)","5. Régulièrement (Plusieurs fois par semaine)","6. Quotidiennement (Une fois par jour)","7. Très fréquemment (Plusieurs fois par jour)"},0)+1,""),"")</f>
        <v/>
      </c>
      <c r="R383" t="str">
        <f>IF(DONNEES_SOURCE!$CA383=TRUE,DONNEES_SOURCE!$BW383,"")</f>
        <v/>
      </c>
      <c r="S383" t="str">
        <f>IF(DONNEES_SOURCE!$CA383=TRUE,DONNEES_SOURCE!$AU383,"")</f>
        <v/>
      </c>
      <c r="T383" t="str">
        <f>IF(DONNEES_SOURCE!$CA383=TRUE,DONNEES_SOURCE!$BW383,"")</f>
        <v/>
      </c>
      <c r="U383" t="str">
        <f>IF(DONNEES_SOURCE!$CA383=TRUE,IFERROR(MATCH(DONNEES_SOURCE!$B383,{"2. Très rarement (Moins d'une fois par mois)","3. Rarement (1 à 3 fois par mois)","4. Parfois (Environ une fois par semaine)","5. Régulièrement (Plusieurs fois par semaine)","6. Quotidiennement (Une fois par jour)","7. Très fréquemment (Plusieurs fois par jour)"},0)+1,""),"")</f>
        <v/>
      </c>
    </row>
    <row r="384" spans="16:21" x14ac:dyDescent="0.25">
      <c r="P384" t="str">
        <f>IF(DONNEES_SOURCE!$CA384=TRUE,DONNEES_SOURCE!$BV384,"")</f>
        <v/>
      </c>
      <c r="Q384" t="str">
        <f>IF(DONNEES_SOURCE!$CA384=TRUE,IFERROR(MATCH(DONNEES_SOURCE!$B384,{"2. Très rarement (Moins d'une fois par mois)","3. Rarement (1 à 3 fois par mois)","4. Parfois (Environ une fois par semaine)","5. Régulièrement (Plusieurs fois par semaine)","6. Quotidiennement (Une fois par jour)","7. Très fréquemment (Plusieurs fois par jour)"},0)+1,""),"")</f>
        <v/>
      </c>
      <c r="R384" t="str">
        <f>IF(DONNEES_SOURCE!$CA384=TRUE,DONNEES_SOURCE!$BW384,"")</f>
        <v/>
      </c>
      <c r="S384" t="str">
        <f>IF(DONNEES_SOURCE!$CA384=TRUE,DONNEES_SOURCE!$AU384,"")</f>
        <v/>
      </c>
      <c r="T384" t="str">
        <f>IF(DONNEES_SOURCE!$CA384=TRUE,DONNEES_SOURCE!$BW384,"")</f>
        <v/>
      </c>
      <c r="U384" t="str">
        <f>IF(DONNEES_SOURCE!$CA384=TRUE,IFERROR(MATCH(DONNEES_SOURCE!$B384,{"2. Très rarement (Moins d'une fois par mois)","3. Rarement (1 à 3 fois par mois)","4. Parfois (Environ une fois par semaine)","5. Régulièrement (Plusieurs fois par semaine)","6. Quotidiennement (Une fois par jour)","7. Très fréquemment (Plusieurs fois par jour)"},0)+1,""),"")</f>
        <v/>
      </c>
    </row>
    <row r="385" spans="16:21" x14ac:dyDescent="0.25">
      <c r="P385" t="str">
        <f>IF(DONNEES_SOURCE!$CA385=TRUE,DONNEES_SOURCE!$BV385,"")</f>
        <v/>
      </c>
      <c r="Q385" t="str">
        <f>IF(DONNEES_SOURCE!$CA385=TRUE,IFERROR(MATCH(DONNEES_SOURCE!$B385,{"2. Très rarement (Moins d'une fois par mois)","3. Rarement (1 à 3 fois par mois)","4. Parfois (Environ une fois par semaine)","5. Régulièrement (Plusieurs fois par semaine)","6. Quotidiennement (Une fois par jour)","7. Très fréquemment (Plusieurs fois par jour)"},0)+1,""),"")</f>
        <v/>
      </c>
      <c r="R385" t="str">
        <f>IF(DONNEES_SOURCE!$CA385=TRUE,DONNEES_SOURCE!$BW385,"")</f>
        <v/>
      </c>
      <c r="S385" t="str">
        <f>IF(DONNEES_SOURCE!$CA385=TRUE,DONNEES_SOURCE!$AU385,"")</f>
        <v/>
      </c>
      <c r="T385" t="str">
        <f>IF(DONNEES_SOURCE!$CA385=TRUE,DONNEES_SOURCE!$BW385,"")</f>
        <v/>
      </c>
      <c r="U385" t="str">
        <f>IF(DONNEES_SOURCE!$CA385=TRUE,IFERROR(MATCH(DONNEES_SOURCE!$B385,{"2. Très rarement (Moins d'une fois par mois)","3. Rarement (1 à 3 fois par mois)","4. Parfois (Environ une fois par semaine)","5. Régulièrement (Plusieurs fois par semaine)","6. Quotidiennement (Une fois par jour)","7. Très fréquemment (Plusieurs fois par jour)"},0)+1,""),"")</f>
        <v/>
      </c>
    </row>
    <row r="386" spans="16:21" x14ac:dyDescent="0.25">
      <c r="P386" t="str">
        <f>IF(DONNEES_SOURCE!$CA386=TRUE,DONNEES_SOURCE!$BV386,"")</f>
        <v/>
      </c>
      <c r="Q386" t="str">
        <f>IF(DONNEES_SOURCE!$CA386=TRUE,IFERROR(MATCH(DONNEES_SOURCE!$B386,{"2. Très rarement (Moins d'une fois par mois)","3. Rarement (1 à 3 fois par mois)","4. Parfois (Environ une fois par semaine)","5. Régulièrement (Plusieurs fois par semaine)","6. Quotidiennement (Une fois par jour)","7. Très fréquemment (Plusieurs fois par jour)"},0)+1,""),"")</f>
        <v/>
      </c>
      <c r="R386" t="str">
        <f>IF(DONNEES_SOURCE!$CA386=TRUE,DONNEES_SOURCE!$BW386,"")</f>
        <v/>
      </c>
      <c r="S386" t="str">
        <f>IF(DONNEES_SOURCE!$CA386=TRUE,DONNEES_SOURCE!$AU386,"")</f>
        <v/>
      </c>
      <c r="T386" t="str">
        <f>IF(DONNEES_SOURCE!$CA386=TRUE,DONNEES_SOURCE!$BW386,"")</f>
        <v/>
      </c>
      <c r="U386" t="str">
        <f>IF(DONNEES_SOURCE!$CA386=TRUE,IFERROR(MATCH(DONNEES_SOURCE!$B386,{"2. Très rarement (Moins d'une fois par mois)","3. Rarement (1 à 3 fois par mois)","4. Parfois (Environ une fois par semaine)","5. Régulièrement (Plusieurs fois par semaine)","6. Quotidiennement (Une fois par jour)","7. Très fréquemment (Plusieurs fois par jour)"},0)+1,""),"")</f>
        <v/>
      </c>
    </row>
    <row r="387" spans="16:21" x14ac:dyDescent="0.25">
      <c r="P387" t="str">
        <f>IF(DONNEES_SOURCE!$CA387=TRUE,DONNEES_SOURCE!$BV387,"")</f>
        <v/>
      </c>
      <c r="Q387" t="str">
        <f>IF(DONNEES_SOURCE!$CA387=TRUE,IFERROR(MATCH(DONNEES_SOURCE!$B387,{"2. Très rarement (Moins d'une fois par mois)","3. Rarement (1 à 3 fois par mois)","4. Parfois (Environ une fois par semaine)","5. Régulièrement (Plusieurs fois par semaine)","6. Quotidiennement (Une fois par jour)","7. Très fréquemment (Plusieurs fois par jour)"},0)+1,""),"")</f>
        <v/>
      </c>
      <c r="R387" t="str">
        <f>IF(DONNEES_SOURCE!$CA387=TRUE,DONNEES_SOURCE!$BW387,"")</f>
        <v/>
      </c>
      <c r="S387" t="str">
        <f>IF(DONNEES_SOURCE!$CA387=TRUE,DONNEES_SOURCE!$AU387,"")</f>
        <v/>
      </c>
      <c r="T387" t="str">
        <f>IF(DONNEES_SOURCE!$CA387=TRUE,DONNEES_SOURCE!$BW387,"")</f>
        <v/>
      </c>
      <c r="U387" t="str">
        <f>IF(DONNEES_SOURCE!$CA387=TRUE,IFERROR(MATCH(DONNEES_SOURCE!$B387,{"2. Très rarement (Moins d'une fois par mois)","3. Rarement (1 à 3 fois par mois)","4. Parfois (Environ une fois par semaine)","5. Régulièrement (Plusieurs fois par semaine)","6. Quotidiennement (Une fois par jour)","7. Très fréquemment (Plusieurs fois par jour)"},0)+1,""),"")</f>
        <v/>
      </c>
    </row>
    <row r="388" spans="16:21" x14ac:dyDescent="0.25">
      <c r="P388" t="str">
        <f>IF(DONNEES_SOURCE!$CA388=TRUE,DONNEES_SOURCE!$BV388,"")</f>
        <v/>
      </c>
      <c r="Q388" t="str">
        <f>IF(DONNEES_SOURCE!$CA388=TRUE,IFERROR(MATCH(DONNEES_SOURCE!$B388,{"2. Très rarement (Moins d'une fois par mois)","3. Rarement (1 à 3 fois par mois)","4. Parfois (Environ une fois par semaine)","5. Régulièrement (Plusieurs fois par semaine)","6. Quotidiennement (Une fois par jour)","7. Très fréquemment (Plusieurs fois par jour)"},0)+1,""),"")</f>
        <v/>
      </c>
      <c r="R388" t="str">
        <f>IF(DONNEES_SOURCE!$CA388=TRUE,DONNEES_SOURCE!$BW388,"")</f>
        <v/>
      </c>
      <c r="S388" t="str">
        <f>IF(DONNEES_SOURCE!$CA388=TRUE,DONNEES_SOURCE!$AU388,"")</f>
        <v/>
      </c>
      <c r="T388" t="str">
        <f>IF(DONNEES_SOURCE!$CA388=TRUE,DONNEES_SOURCE!$BW388,"")</f>
        <v/>
      </c>
      <c r="U388" t="str">
        <f>IF(DONNEES_SOURCE!$CA388=TRUE,IFERROR(MATCH(DONNEES_SOURCE!$B388,{"2. Très rarement (Moins d'une fois par mois)","3. Rarement (1 à 3 fois par mois)","4. Parfois (Environ une fois par semaine)","5. Régulièrement (Plusieurs fois par semaine)","6. Quotidiennement (Une fois par jour)","7. Très fréquemment (Plusieurs fois par jour)"},0)+1,""),"")</f>
        <v/>
      </c>
    </row>
    <row r="389" spans="16:21" x14ac:dyDescent="0.25">
      <c r="P389" t="str">
        <f>IF(DONNEES_SOURCE!$CA389=TRUE,DONNEES_SOURCE!$BV389,"")</f>
        <v/>
      </c>
      <c r="Q389" t="str">
        <f>IF(DONNEES_SOURCE!$CA389=TRUE,IFERROR(MATCH(DONNEES_SOURCE!$B389,{"2. Très rarement (Moins d'une fois par mois)","3. Rarement (1 à 3 fois par mois)","4. Parfois (Environ une fois par semaine)","5. Régulièrement (Plusieurs fois par semaine)","6. Quotidiennement (Une fois par jour)","7. Très fréquemment (Plusieurs fois par jour)"},0)+1,""),"")</f>
        <v/>
      </c>
      <c r="R389" t="str">
        <f>IF(DONNEES_SOURCE!$CA389=TRUE,DONNEES_SOURCE!$BW389,"")</f>
        <v/>
      </c>
      <c r="S389" t="str">
        <f>IF(DONNEES_SOURCE!$CA389=TRUE,DONNEES_SOURCE!$AU389,"")</f>
        <v/>
      </c>
      <c r="T389" t="str">
        <f>IF(DONNEES_SOURCE!$CA389=TRUE,DONNEES_SOURCE!$BW389,"")</f>
        <v/>
      </c>
      <c r="U389" t="str">
        <f>IF(DONNEES_SOURCE!$CA389=TRUE,IFERROR(MATCH(DONNEES_SOURCE!$B389,{"2. Très rarement (Moins d'une fois par mois)","3. Rarement (1 à 3 fois par mois)","4. Parfois (Environ une fois par semaine)","5. Régulièrement (Plusieurs fois par semaine)","6. Quotidiennement (Une fois par jour)","7. Très fréquemment (Plusieurs fois par jour)"},0)+1,""),"")</f>
        <v/>
      </c>
    </row>
    <row r="390" spans="16:21" x14ac:dyDescent="0.25">
      <c r="P390" t="str">
        <f>IF(DONNEES_SOURCE!$CA390=TRUE,DONNEES_SOURCE!$BV390,"")</f>
        <v/>
      </c>
      <c r="Q390" t="str">
        <f>IF(DONNEES_SOURCE!$CA390=TRUE,IFERROR(MATCH(DONNEES_SOURCE!$B390,{"2. Très rarement (Moins d'une fois par mois)","3. Rarement (1 à 3 fois par mois)","4. Parfois (Environ une fois par semaine)","5. Régulièrement (Plusieurs fois par semaine)","6. Quotidiennement (Une fois par jour)","7. Très fréquemment (Plusieurs fois par jour)"},0)+1,""),"")</f>
        <v/>
      </c>
      <c r="R390" t="str">
        <f>IF(DONNEES_SOURCE!$CA390=TRUE,DONNEES_SOURCE!$BW390,"")</f>
        <v/>
      </c>
      <c r="S390" t="str">
        <f>IF(DONNEES_SOURCE!$CA390=TRUE,DONNEES_SOURCE!$AU390,"")</f>
        <v/>
      </c>
      <c r="T390" t="str">
        <f>IF(DONNEES_SOURCE!$CA390=TRUE,DONNEES_SOURCE!$BW390,"")</f>
        <v/>
      </c>
      <c r="U390" t="str">
        <f>IF(DONNEES_SOURCE!$CA390=TRUE,IFERROR(MATCH(DONNEES_SOURCE!$B390,{"2. Très rarement (Moins d'une fois par mois)","3. Rarement (1 à 3 fois par mois)","4. Parfois (Environ une fois par semaine)","5. Régulièrement (Plusieurs fois par semaine)","6. Quotidiennement (Une fois par jour)","7. Très fréquemment (Plusieurs fois par jour)"},0)+1,""),"")</f>
        <v/>
      </c>
    </row>
    <row r="391" spans="16:21" x14ac:dyDescent="0.25">
      <c r="P391" t="str">
        <f>IF(DONNEES_SOURCE!$CA391=TRUE,DONNEES_SOURCE!$BV391,"")</f>
        <v/>
      </c>
      <c r="Q391" t="str">
        <f>IF(DONNEES_SOURCE!$CA391=TRUE,IFERROR(MATCH(DONNEES_SOURCE!$B391,{"2. Très rarement (Moins d'une fois par mois)","3. Rarement (1 à 3 fois par mois)","4. Parfois (Environ une fois par semaine)","5. Régulièrement (Plusieurs fois par semaine)","6. Quotidiennement (Une fois par jour)","7. Très fréquemment (Plusieurs fois par jour)"},0)+1,""),"")</f>
        <v/>
      </c>
      <c r="R391" t="str">
        <f>IF(DONNEES_SOURCE!$CA391=TRUE,DONNEES_SOURCE!$BW391,"")</f>
        <v/>
      </c>
      <c r="S391" t="str">
        <f>IF(DONNEES_SOURCE!$CA391=TRUE,DONNEES_SOURCE!$AU391,"")</f>
        <v/>
      </c>
      <c r="T391" t="str">
        <f>IF(DONNEES_SOURCE!$CA391=TRUE,DONNEES_SOURCE!$BW391,"")</f>
        <v/>
      </c>
      <c r="U391" t="str">
        <f>IF(DONNEES_SOURCE!$CA391=TRUE,IFERROR(MATCH(DONNEES_SOURCE!$B391,{"2. Très rarement (Moins d'une fois par mois)","3. Rarement (1 à 3 fois par mois)","4. Parfois (Environ une fois par semaine)","5. Régulièrement (Plusieurs fois par semaine)","6. Quotidiennement (Une fois par jour)","7. Très fréquemment (Plusieurs fois par jour)"},0)+1,""),"")</f>
        <v/>
      </c>
    </row>
    <row r="392" spans="16:21" x14ac:dyDescent="0.25">
      <c r="P392" t="str">
        <f>IF(DONNEES_SOURCE!$CA392=TRUE,DONNEES_SOURCE!$BV392,"")</f>
        <v/>
      </c>
      <c r="Q392" t="str">
        <f>IF(DONNEES_SOURCE!$CA392=TRUE,IFERROR(MATCH(DONNEES_SOURCE!$B392,{"2. Très rarement (Moins d'une fois par mois)","3. Rarement (1 à 3 fois par mois)","4. Parfois (Environ une fois par semaine)","5. Régulièrement (Plusieurs fois par semaine)","6. Quotidiennement (Une fois par jour)","7. Très fréquemment (Plusieurs fois par jour)"},0)+1,""),"")</f>
        <v/>
      </c>
      <c r="R392" t="str">
        <f>IF(DONNEES_SOURCE!$CA392=TRUE,DONNEES_SOURCE!$BW392,"")</f>
        <v/>
      </c>
      <c r="S392" t="str">
        <f>IF(DONNEES_SOURCE!$CA392=TRUE,DONNEES_SOURCE!$AU392,"")</f>
        <v/>
      </c>
      <c r="T392" t="str">
        <f>IF(DONNEES_SOURCE!$CA392=TRUE,DONNEES_SOURCE!$BW392,"")</f>
        <v/>
      </c>
      <c r="U392" t="str">
        <f>IF(DONNEES_SOURCE!$CA392=TRUE,IFERROR(MATCH(DONNEES_SOURCE!$B392,{"2. Très rarement (Moins d'une fois par mois)","3. Rarement (1 à 3 fois par mois)","4. Parfois (Environ une fois par semaine)","5. Régulièrement (Plusieurs fois par semaine)","6. Quotidiennement (Une fois par jour)","7. Très fréquemment (Plusieurs fois par jour)"},0)+1,""),"")</f>
        <v/>
      </c>
    </row>
    <row r="393" spans="16:21" x14ac:dyDescent="0.25">
      <c r="P393" t="str">
        <f>IF(DONNEES_SOURCE!$CA393=TRUE,DONNEES_SOURCE!$BV393,"")</f>
        <v/>
      </c>
      <c r="Q393" t="str">
        <f>IF(DONNEES_SOURCE!$CA393=TRUE,IFERROR(MATCH(DONNEES_SOURCE!$B393,{"2. Très rarement (Moins d'une fois par mois)","3. Rarement (1 à 3 fois par mois)","4. Parfois (Environ une fois par semaine)","5. Régulièrement (Plusieurs fois par semaine)","6. Quotidiennement (Une fois par jour)","7. Très fréquemment (Plusieurs fois par jour)"},0)+1,""),"")</f>
        <v/>
      </c>
      <c r="R393" t="str">
        <f>IF(DONNEES_SOURCE!$CA393=TRUE,DONNEES_SOURCE!$BW393,"")</f>
        <v/>
      </c>
      <c r="S393" t="str">
        <f>IF(DONNEES_SOURCE!$CA393=TRUE,DONNEES_SOURCE!$AU393,"")</f>
        <v/>
      </c>
      <c r="T393" t="str">
        <f>IF(DONNEES_SOURCE!$CA393=TRUE,DONNEES_SOURCE!$BW393,"")</f>
        <v/>
      </c>
      <c r="U393" t="str">
        <f>IF(DONNEES_SOURCE!$CA393=TRUE,IFERROR(MATCH(DONNEES_SOURCE!$B393,{"2. Très rarement (Moins d'une fois par mois)","3. Rarement (1 à 3 fois par mois)","4. Parfois (Environ une fois par semaine)","5. Régulièrement (Plusieurs fois par semaine)","6. Quotidiennement (Une fois par jour)","7. Très fréquemment (Plusieurs fois par jour)"},0)+1,""),"")</f>
        <v/>
      </c>
    </row>
    <row r="394" spans="16:21" x14ac:dyDescent="0.25">
      <c r="P394" t="str">
        <f>IF(DONNEES_SOURCE!$CA394=TRUE,DONNEES_SOURCE!$BV394,"")</f>
        <v/>
      </c>
      <c r="Q394" t="str">
        <f>IF(DONNEES_SOURCE!$CA394=TRUE,IFERROR(MATCH(DONNEES_SOURCE!$B394,{"2. Très rarement (Moins d'une fois par mois)","3. Rarement (1 à 3 fois par mois)","4. Parfois (Environ une fois par semaine)","5. Régulièrement (Plusieurs fois par semaine)","6. Quotidiennement (Une fois par jour)","7. Très fréquemment (Plusieurs fois par jour)"},0)+1,""),"")</f>
        <v/>
      </c>
      <c r="R394" t="str">
        <f>IF(DONNEES_SOURCE!$CA394=TRUE,DONNEES_SOURCE!$BW394,"")</f>
        <v/>
      </c>
      <c r="S394" t="str">
        <f>IF(DONNEES_SOURCE!$CA394=TRUE,DONNEES_SOURCE!$AU394,"")</f>
        <v/>
      </c>
      <c r="T394" t="str">
        <f>IF(DONNEES_SOURCE!$CA394=TRUE,DONNEES_SOURCE!$BW394,"")</f>
        <v/>
      </c>
      <c r="U394" t="str">
        <f>IF(DONNEES_SOURCE!$CA394=TRUE,IFERROR(MATCH(DONNEES_SOURCE!$B394,{"2. Très rarement (Moins d'une fois par mois)","3. Rarement (1 à 3 fois par mois)","4. Parfois (Environ une fois par semaine)","5. Régulièrement (Plusieurs fois par semaine)","6. Quotidiennement (Une fois par jour)","7. Très fréquemment (Plusieurs fois par jour)"},0)+1,""),"")</f>
        <v/>
      </c>
    </row>
    <row r="395" spans="16:21" x14ac:dyDescent="0.25">
      <c r="P395" t="str">
        <f>IF(DONNEES_SOURCE!$CA395=TRUE,DONNEES_SOURCE!$BV395,"")</f>
        <v/>
      </c>
      <c r="Q395" t="str">
        <f>IF(DONNEES_SOURCE!$CA395=TRUE,IFERROR(MATCH(DONNEES_SOURCE!$B395,{"2. Très rarement (Moins d'une fois par mois)","3. Rarement (1 à 3 fois par mois)","4. Parfois (Environ une fois par semaine)","5. Régulièrement (Plusieurs fois par semaine)","6. Quotidiennement (Une fois par jour)","7. Très fréquemment (Plusieurs fois par jour)"},0)+1,""),"")</f>
        <v/>
      </c>
      <c r="R395" t="str">
        <f>IF(DONNEES_SOURCE!$CA395=TRUE,DONNEES_SOURCE!$BW395,"")</f>
        <v/>
      </c>
      <c r="S395" t="str">
        <f>IF(DONNEES_SOURCE!$CA395=TRUE,DONNEES_SOURCE!$AU395,"")</f>
        <v/>
      </c>
      <c r="T395" t="str">
        <f>IF(DONNEES_SOURCE!$CA395=TRUE,DONNEES_SOURCE!$BW395,"")</f>
        <v/>
      </c>
      <c r="U395" t="str">
        <f>IF(DONNEES_SOURCE!$CA395=TRUE,IFERROR(MATCH(DONNEES_SOURCE!$B395,{"2. Très rarement (Moins d'une fois par mois)","3. Rarement (1 à 3 fois par mois)","4. Parfois (Environ une fois par semaine)","5. Régulièrement (Plusieurs fois par semaine)","6. Quotidiennement (Une fois par jour)","7. Très fréquemment (Plusieurs fois par jour)"},0)+1,""),"")</f>
        <v/>
      </c>
    </row>
    <row r="396" spans="16:21" x14ac:dyDescent="0.25">
      <c r="P396" t="str">
        <f>IF(DONNEES_SOURCE!$CA396=TRUE,DONNEES_SOURCE!$BV396,"")</f>
        <v/>
      </c>
      <c r="Q396" t="str">
        <f>IF(DONNEES_SOURCE!$CA396=TRUE,IFERROR(MATCH(DONNEES_SOURCE!$B396,{"2. Très rarement (Moins d'une fois par mois)","3. Rarement (1 à 3 fois par mois)","4. Parfois (Environ une fois par semaine)","5. Régulièrement (Plusieurs fois par semaine)","6. Quotidiennement (Une fois par jour)","7. Très fréquemment (Plusieurs fois par jour)"},0)+1,""),"")</f>
        <v/>
      </c>
      <c r="R396" t="str">
        <f>IF(DONNEES_SOURCE!$CA396=TRUE,DONNEES_SOURCE!$BW396,"")</f>
        <v/>
      </c>
      <c r="S396" t="str">
        <f>IF(DONNEES_SOURCE!$CA396=TRUE,DONNEES_SOURCE!$AU396,"")</f>
        <v/>
      </c>
      <c r="T396" t="str">
        <f>IF(DONNEES_SOURCE!$CA396=TRUE,DONNEES_SOURCE!$BW396,"")</f>
        <v/>
      </c>
      <c r="U396" t="str">
        <f>IF(DONNEES_SOURCE!$CA396=TRUE,IFERROR(MATCH(DONNEES_SOURCE!$B396,{"2. Très rarement (Moins d'une fois par mois)","3. Rarement (1 à 3 fois par mois)","4. Parfois (Environ une fois par semaine)","5. Régulièrement (Plusieurs fois par semaine)","6. Quotidiennement (Une fois par jour)","7. Très fréquemment (Plusieurs fois par jour)"},0)+1,""),"")</f>
        <v/>
      </c>
    </row>
    <row r="397" spans="16:21" x14ac:dyDescent="0.25">
      <c r="P397" t="str">
        <f>IF(DONNEES_SOURCE!$CA397=TRUE,DONNEES_SOURCE!$BV397,"")</f>
        <v/>
      </c>
      <c r="Q397" t="str">
        <f>IF(DONNEES_SOURCE!$CA397=TRUE,IFERROR(MATCH(DONNEES_SOURCE!$B397,{"2. Très rarement (Moins d'une fois par mois)","3. Rarement (1 à 3 fois par mois)","4. Parfois (Environ une fois par semaine)","5. Régulièrement (Plusieurs fois par semaine)","6. Quotidiennement (Une fois par jour)","7. Très fréquemment (Plusieurs fois par jour)"},0)+1,""),"")</f>
        <v/>
      </c>
      <c r="R397" t="str">
        <f>IF(DONNEES_SOURCE!$CA397=TRUE,DONNEES_SOURCE!$BW397,"")</f>
        <v/>
      </c>
      <c r="S397" t="str">
        <f>IF(DONNEES_SOURCE!$CA397=TRUE,DONNEES_SOURCE!$AU397,"")</f>
        <v/>
      </c>
      <c r="T397" t="str">
        <f>IF(DONNEES_SOURCE!$CA397=TRUE,DONNEES_SOURCE!$BW397,"")</f>
        <v/>
      </c>
      <c r="U397" t="str">
        <f>IF(DONNEES_SOURCE!$CA397=TRUE,IFERROR(MATCH(DONNEES_SOURCE!$B397,{"2. Très rarement (Moins d'une fois par mois)","3. Rarement (1 à 3 fois par mois)","4. Parfois (Environ une fois par semaine)","5. Régulièrement (Plusieurs fois par semaine)","6. Quotidiennement (Une fois par jour)","7. Très fréquemment (Plusieurs fois par jour)"},0)+1,""),"")</f>
        <v/>
      </c>
    </row>
    <row r="398" spans="16:21" x14ac:dyDescent="0.25">
      <c r="P398" t="str">
        <f>IF(DONNEES_SOURCE!$CA398=TRUE,DONNEES_SOURCE!$BV398,"")</f>
        <v/>
      </c>
      <c r="Q398" t="str">
        <f>IF(DONNEES_SOURCE!$CA398=TRUE,IFERROR(MATCH(DONNEES_SOURCE!$B398,{"2. Très rarement (Moins d'une fois par mois)","3. Rarement (1 à 3 fois par mois)","4. Parfois (Environ une fois par semaine)","5. Régulièrement (Plusieurs fois par semaine)","6. Quotidiennement (Une fois par jour)","7. Très fréquemment (Plusieurs fois par jour)"},0)+1,""),"")</f>
        <v/>
      </c>
      <c r="R398" t="str">
        <f>IF(DONNEES_SOURCE!$CA398=TRUE,DONNEES_SOURCE!$BW398,"")</f>
        <v/>
      </c>
      <c r="S398" t="str">
        <f>IF(DONNEES_SOURCE!$CA398=TRUE,DONNEES_SOURCE!$AU398,"")</f>
        <v/>
      </c>
      <c r="T398" t="str">
        <f>IF(DONNEES_SOURCE!$CA398=TRUE,DONNEES_SOURCE!$BW398,"")</f>
        <v/>
      </c>
      <c r="U398" t="str">
        <f>IF(DONNEES_SOURCE!$CA398=TRUE,IFERROR(MATCH(DONNEES_SOURCE!$B398,{"2. Très rarement (Moins d'une fois par mois)","3. Rarement (1 à 3 fois par mois)","4. Parfois (Environ une fois par semaine)","5. Régulièrement (Plusieurs fois par semaine)","6. Quotidiennement (Une fois par jour)","7. Très fréquemment (Plusieurs fois par jour)"},0)+1,""),"")</f>
        <v/>
      </c>
    </row>
    <row r="399" spans="16:21" x14ac:dyDescent="0.25">
      <c r="P399" t="str">
        <f>IF(DONNEES_SOURCE!$CA399=TRUE,DONNEES_SOURCE!$BV399,"")</f>
        <v/>
      </c>
      <c r="Q399" t="str">
        <f>IF(DONNEES_SOURCE!$CA399=TRUE,IFERROR(MATCH(DONNEES_SOURCE!$B399,{"2. Très rarement (Moins d'une fois par mois)","3. Rarement (1 à 3 fois par mois)","4. Parfois (Environ une fois par semaine)","5. Régulièrement (Plusieurs fois par semaine)","6. Quotidiennement (Une fois par jour)","7. Très fréquemment (Plusieurs fois par jour)"},0)+1,""),"")</f>
        <v/>
      </c>
      <c r="R399" t="str">
        <f>IF(DONNEES_SOURCE!$CA399=TRUE,DONNEES_SOURCE!$BW399,"")</f>
        <v/>
      </c>
      <c r="S399" t="str">
        <f>IF(DONNEES_SOURCE!$CA399=TRUE,DONNEES_SOURCE!$AU399,"")</f>
        <v/>
      </c>
      <c r="T399" t="str">
        <f>IF(DONNEES_SOURCE!$CA399=TRUE,DONNEES_SOURCE!$BW399,"")</f>
        <v/>
      </c>
      <c r="U399" t="str">
        <f>IF(DONNEES_SOURCE!$CA399=TRUE,IFERROR(MATCH(DONNEES_SOURCE!$B399,{"2. Très rarement (Moins d'une fois par mois)","3. Rarement (1 à 3 fois par mois)","4. Parfois (Environ une fois par semaine)","5. Régulièrement (Plusieurs fois par semaine)","6. Quotidiennement (Une fois par jour)","7. Très fréquemment (Plusieurs fois par jour)"},0)+1,""),"")</f>
        <v/>
      </c>
    </row>
    <row r="400" spans="16:21" x14ac:dyDescent="0.25">
      <c r="P400" t="str">
        <f>IF(DONNEES_SOURCE!$CA400=TRUE,DONNEES_SOURCE!$BV400,"")</f>
        <v/>
      </c>
      <c r="Q400" t="str">
        <f>IF(DONNEES_SOURCE!$CA400=TRUE,IFERROR(MATCH(DONNEES_SOURCE!$B400,{"2. Très rarement (Moins d'une fois par mois)","3. Rarement (1 à 3 fois par mois)","4. Parfois (Environ une fois par semaine)","5. Régulièrement (Plusieurs fois par semaine)","6. Quotidiennement (Une fois par jour)","7. Très fréquemment (Plusieurs fois par jour)"},0)+1,""),"")</f>
        <v/>
      </c>
      <c r="R400" t="str">
        <f>IF(DONNEES_SOURCE!$CA400=TRUE,DONNEES_SOURCE!$BW400,"")</f>
        <v/>
      </c>
      <c r="S400" t="str">
        <f>IF(DONNEES_SOURCE!$CA400=TRUE,DONNEES_SOURCE!$AU400,"")</f>
        <v/>
      </c>
      <c r="T400" t="str">
        <f>IF(DONNEES_SOURCE!$CA400=TRUE,DONNEES_SOURCE!$BW400,"")</f>
        <v/>
      </c>
      <c r="U400" t="str">
        <f>IF(DONNEES_SOURCE!$CA400=TRUE,IFERROR(MATCH(DONNEES_SOURCE!$B400,{"2. Très rarement (Moins d'une fois par mois)","3. Rarement (1 à 3 fois par mois)","4. Parfois (Environ une fois par semaine)","5. Régulièrement (Plusieurs fois par semaine)","6. Quotidiennement (Une fois par jour)","7. Très fréquemment (Plusieurs fois par jour)"},0)+1,""),"")</f>
        <v/>
      </c>
    </row>
    <row r="401" spans="16:21" x14ac:dyDescent="0.25">
      <c r="P401" t="str">
        <f>IF(DONNEES_SOURCE!$CA401=TRUE,DONNEES_SOURCE!$BV401,"")</f>
        <v/>
      </c>
      <c r="Q401" t="str">
        <f>IF(DONNEES_SOURCE!$CA401=TRUE,IFERROR(MATCH(DONNEES_SOURCE!$B401,{"2. Très rarement (Moins d'une fois par mois)","3. Rarement (1 à 3 fois par mois)","4. Parfois (Environ une fois par semaine)","5. Régulièrement (Plusieurs fois par semaine)","6. Quotidiennement (Une fois par jour)","7. Très fréquemment (Plusieurs fois par jour)"},0)+1,""),"")</f>
        <v/>
      </c>
      <c r="R401" t="str">
        <f>IF(DONNEES_SOURCE!$CA401=TRUE,DONNEES_SOURCE!$BW401,"")</f>
        <v/>
      </c>
      <c r="S401" t="str">
        <f>IF(DONNEES_SOURCE!$CA401=TRUE,DONNEES_SOURCE!$AU401,"")</f>
        <v/>
      </c>
      <c r="T401" t="str">
        <f>IF(DONNEES_SOURCE!$CA401=TRUE,DONNEES_SOURCE!$BW401,"")</f>
        <v/>
      </c>
      <c r="U401" t="str">
        <f>IF(DONNEES_SOURCE!$CA401=TRUE,IFERROR(MATCH(DONNEES_SOURCE!$B401,{"2. Très rarement (Moins d'une fois par mois)","3. Rarement (1 à 3 fois par mois)","4. Parfois (Environ une fois par semaine)","5. Régulièrement (Plusieurs fois par semaine)","6. Quotidiennement (Une fois par jour)","7. Très fréquemment (Plusieurs fois par jour)"},0)+1,""),"")</f>
        <v/>
      </c>
    </row>
    <row r="402" spans="16:21" x14ac:dyDescent="0.25">
      <c r="P402" t="str">
        <f>IF(DONNEES_SOURCE!$CA402=TRUE,DONNEES_SOURCE!$BV402,"")</f>
        <v/>
      </c>
      <c r="Q402" t="str">
        <f>IF(DONNEES_SOURCE!$CA402=TRUE,IFERROR(MATCH(DONNEES_SOURCE!$B402,{"2. Très rarement (Moins d'une fois par mois)","3. Rarement (1 à 3 fois par mois)","4. Parfois (Environ une fois par semaine)","5. Régulièrement (Plusieurs fois par semaine)","6. Quotidiennement (Une fois par jour)","7. Très fréquemment (Plusieurs fois par jour)"},0)+1,""),"")</f>
        <v/>
      </c>
      <c r="R402" t="str">
        <f>IF(DONNEES_SOURCE!$CA402=TRUE,DONNEES_SOURCE!$BW402,"")</f>
        <v/>
      </c>
      <c r="S402" t="str">
        <f>IF(DONNEES_SOURCE!$CA402=TRUE,DONNEES_SOURCE!$AU402,"")</f>
        <v/>
      </c>
      <c r="T402" t="str">
        <f>IF(DONNEES_SOURCE!$CA402=TRUE,DONNEES_SOURCE!$BW402,"")</f>
        <v/>
      </c>
      <c r="U402" t="str">
        <f>IF(DONNEES_SOURCE!$CA402=TRUE,IFERROR(MATCH(DONNEES_SOURCE!$B402,{"2. Très rarement (Moins d'une fois par mois)","3. Rarement (1 à 3 fois par mois)","4. Parfois (Environ une fois par semaine)","5. Régulièrement (Plusieurs fois par semaine)","6. Quotidiennement (Une fois par jour)","7. Très fréquemment (Plusieurs fois par jour)"},0)+1,""),"")</f>
        <v/>
      </c>
    </row>
    <row r="403" spans="16:21" x14ac:dyDescent="0.25">
      <c r="P403" t="str">
        <f>IF(DONNEES_SOURCE!$CA403=TRUE,DONNEES_SOURCE!$BV403,"")</f>
        <v/>
      </c>
      <c r="Q403" t="str">
        <f>IF(DONNEES_SOURCE!$CA403=TRUE,IFERROR(MATCH(DONNEES_SOURCE!$B403,{"2. Très rarement (Moins d'une fois par mois)","3. Rarement (1 à 3 fois par mois)","4. Parfois (Environ une fois par semaine)","5. Régulièrement (Plusieurs fois par semaine)","6. Quotidiennement (Une fois par jour)","7. Très fréquemment (Plusieurs fois par jour)"},0)+1,""),"")</f>
        <v/>
      </c>
      <c r="R403" t="str">
        <f>IF(DONNEES_SOURCE!$CA403=TRUE,DONNEES_SOURCE!$BW403,"")</f>
        <v/>
      </c>
      <c r="S403" t="str">
        <f>IF(DONNEES_SOURCE!$CA403=TRUE,DONNEES_SOURCE!$AU403,"")</f>
        <v/>
      </c>
      <c r="T403" t="str">
        <f>IF(DONNEES_SOURCE!$CA403=TRUE,DONNEES_SOURCE!$BW403,"")</f>
        <v/>
      </c>
      <c r="U403" t="str">
        <f>IF(DONNEES_SOURCE!$CA403=TRUE,IFERROR(MATCH(DONNEES_SOURCE!$B403,{"2. Très rarement (Moins d'une fois par mois)","3. Rarement (1 à 3 fois par mois)","4. Parfois (Environ une fois par semaine)","5. Régulièrement (Plusieurs fois par semaine)","6. Quotidiennement (Une fois par jour)","7. Très fréquemment (Plusieurs fois par jour)"},0)+1,""),"")</f>
        <v/>
      </c>
    </row>
    <row r="404" spans="16:21" x14ac:dyDescent="0.25">
      <c r="P404" t="str">
        <f>IF(DONNEES_SOURCE!$CA404=TRUE,DONNEES_SOURCE!$BV404,"")</f>
        <v/>
      </c>
      <c r="Q404" t="str">
        <f>IF(DONNEES_SOURCE!$CA404=TRUE,IFERROR(MATCH(DONNEES_SOURCE!$B404,{"2. Très rarement (Moins d'une fois par mois)","3. Rarement (1 à 3 fois par mois)","4. Parfois (Environ une fois par semaine)","5. Régulièrement (Plusieurs fois par semaine)","6. Quotidiennement (Une fois par jour)","7. Très fréquemment (Plusieurs fois par jour)"},0)+1,""),"")</f>
        <v/>
      </c>
      <c r="R404" t="str">
        <f>IF(DONNEES_SOURCE!$CA404=TRUE,DONNEES_SOURCE!$BW404,"")</f>
        <v/>
      </c>
      <c r="S404" t="str">
        <f>IF(DONNEES_SOURCE!$CA404=TRUE,DONNEES_SOURCE!$AU404,"")</f>
        <v/>
      </c>
      <c r="T404" t="str">
        <f>IF(DONNEES_SOURCE!$CA404=TRUE,DONNEES_SOURCE!$BW404,"")</f>
        <v/>
      </c>
      <c r="U404" t="str">
        <f>IF(DONNEES_SOURCE!$CA404=TRUE,IFERROR(MATCH(DONNEES_SOURCE!$B404,{"2. Très rarement (Moins d'une fois par mois)","3. Rarement (1 à 3 fois par mois)","4. Parfois (Environ une fois par semaine)","5. Régulièrement (Plusieurs fois par semaine)","6. Quotidiennement (Une fois par jour)","7. Très fréquemment (Plusieurs fois par jour)"},0)+1,""),"")</f>
        <v/>
      </c>
    </row>
    <row r="405" spans="16:21" x14ac:dyDescent="0.25">
      <c r="P405" t="str">
        <f>IF(DONNEES_SOURCE!$CA405=TRUE,DONNEES_SOURCE!$BV405,"")</f>
        <v/>
      </c>
      <c r="Q405" t="str">
        <f>IF(DONNEES_SOURCE!$CA405=TRUE,IFERROR(MATCH(DONNEES_SOURCE!$B405,{"2. Très rarement (Moins d'une fois par mois)","3. Rarement (1 à 3 fois par mois)","4. Parfois (Environ une fois par semaine)","5. Régulièrement (Plusieurs fois par semaine)","6. Quotidiennement (Une fois par jour)","7. Très fréquemment (Plusieurs fois par jour)"},0)+1,""),"")</f>
        <v/>
      </c>
      <c r="R405" t="str">
        <f>IF(DONNEES_SOURCE!$CA405=TRUE,DONNEES_SOURCE!$BW405,"")</f>
        <v/>
      </c>
      <c r="S405" t="str">
        <f>IF(DONNEES_SOURCE!$CA405=TRUE,DONNEES_SOURCE!$AU405,"")</f>
        <v/>
      </c>
      <c r="T405" t="str">
        <f>IF(DONNEES_SOURCE!$CA405=TRUE,DONNEES_SOURCE!$BW405,"")</f>
        <v/>
      </c>
      <c r="U405" t="str">
        <f>IF(DONNEES_SOURCE!$CA405=TRUE,IFERROR(MATCH(DONNEES_SOURCE!$B405,{"2. Très rarement (Moins d'une fois par mois)","3. Rarement (1 à 3 fois par mois)","4. Parfois (Environ une fois par semaine)","5. Régulièrement (Plusieurs fois par semaine)","6. Quotidiennement (Une fois par jour)","7. Très fréquemment (Plusieurs fois par jour)"},0)+1,""),"")</f>
        <v/>
      </c>
    </row>
    <row r="406" spans="16:21" x14ac:dyDescent="0.25">
      <c r="P406" t="str">
        <f>IF(DONNEES_SOURCE!$CA406=TRUE,DONNEES_SOURCE!$BV406,"")</f>
        <v/>
      </c>
      <c r="Q406" t="str">
        <f>IF(DONNEES_SOURCE!$CA406=TRUE,IFERROR(MATCH(DONNEES_SOURCE!$B406,{"2. Très rarement (Moins d'une fois par mois)","3. Rarement (1 à 3 fois par mois)","4. Parfois (Environ une fois par semaine)","5. Régulièrement (Plusieurs fois par semaine)","6. Quotidiennement (Une fois par jour)","7. Très fréquemment (Plusieurs fois par jour)"},0)+1,""),"")</f>
        <v/>
      </c>
      <c r="R406" t="str">
        <f>IF(DONNEES_SOURCE!$CA406=TRUE,DONNEES_SOURCE!$BW406,"")</f>
        <v/>
      </c>
      <c r="S406" t="str">
        <f>IF(DONNEES_SOURCE!$CA406=TRUE,DONNEES_SOURCE!$AU406,"")</f>
        <v/>
      </c>
      <c r="T406" t="str">
        <f>IF(DONNEES_SOURCE!$CA406=TRUE,DONNEES_SOURCE!$BW406,"")</f>
        <v/>
      </c>
      <c r="U406" t="str">
        <f>IF(DONNEES_SOURCE!$CA406=TRUE,IFERROR(MATCH(DONNEES_SOURCE!$B406,{"2. Très rarement (Moins d'une fois par mois)","3. Rarement (1 à 3 fois par mois)","4. Parfois (Environ une fois par semaine)","5. Régulièrement (Plusieurs fois par semaine)","6. Quotidiennement (Une fois par jour)","7. Très fréquemment (Plusieurs fois par jour)"},0)+1,""),"")</f>
        <v/>
      </c>
    </row>
    <row r="407" spans="16:21" x14ac:dyDescent="0.25">
      <c r="P407" t="str">
        <f>IF(DONNEES_SOURCE!$CA407=TRUE,DONNEES_SOURCE!$BV407,"")</f>
        <v/>
      </c>
      <c r="Q407" t="str">
        <f>IF(DONNEES_SOURCE!$CA407=TRUE,IFERROR(MATCH(DONNEES_SOURCE!$B407,{"2. Très rarement (Moins d'une fois par mois)","3. Rarement (1 à 3 fois par mois)","4. Parfois (Environ une fois par semaine)","5. Régulièrement (Plusieurs fois par semaine)","6. Quotidiennement (Une fois par jour)","7. Très fréquemment (Plusieurs fois par jour)"},0)+1,""),"")</f>
        <v/>
      </c>
      <c r="R407" t="str">
        <f>IF(DONNEES_SOURCE!$CA407=TRUE,DONNEES_SOURCE!$BW407,"")</f>
        <v/>
      </c>
      <c r="S407" t="str">
        <f>IF(DONNEES_SOURCE!$CA407=TRUE,DONNEES_SOURCE!$AU407,"")</f>
        <v/>
      </c>
      <c r="T407" t="str">
        <f>IF(DONNEES_SOURCE!$CA407=TRUE,DONNEES_SOURCE!$BW407,"")</f>
        <v/>
      </c>
      <c r="U407" t="str">
        <f>IF(DONNEES_SOURCE!$CA407=TRUE,IFERROR(MATCH(DONNEES_SOURCE!$B407,{"2. Très rarement (Moins d'une fois par mois)","3. Rarement (1 à 3 fois par mois)","4. Parfois (Environ une fois par semaine)","5. Régulièrement (Plusieurs fois par semaine)","6. Quotidiennement (Une fois par jour)","7. Très fréquemment (Plusieurs fois par jour)"},0)+1,""),"")</f>
        <v/>
      </c>
    </row>
    <row r="408" spans="16:21" x14ac:dyDescent="0.25">
      <c r="P408" t="str">
        <f>IF(DONNEES_SOURCE!$CA408=TRUE,DONNEES_SOURCE!$BV408,"")</f>
        <v/>
      </c>
      <c r="Q408" t="str">
        <f>IF(DONNEES_SOURCE!$CA408=TRUE,IFERROR(MATCH(DONNEES_SOURCE!$B408,{"2. Très rarement (Moins d'une fois par mois)","3. Rarement (1 à 3 fois par mois)","4. Parfois (Environ une fois par semaine)","5. Régulièrement (Plusieurs fois par semaine)","6. Quotidiennement (Une fois par jour)","7. Très fréquemment (Plusieurs fois par jour)"},0)+1,""),"")</f>
        <v/>
      </c>
      <c r="R408" t="str">
        <f>IF(DONNEES_SOURCE!$CA408=TRUE,DONNEES_SOURCE!$BW408,"")</f>
        <v/>
      </c>
      <c r="S408" t="str">
        <f>IF(DONNEES_SOURCE!$CA408=TRUE,DONNEES_SOURCE!$AU408,"")</f>
        <v/>
      </c>
      <c r="T408" t="str">
        <f>IF(DONNEES_SOURCE!$CA408=TRUE,DONNEES_SOURCE!$BW408,"")</f>
        <v/>
      </c>
      <c r="U408" t="str">
        <f>IF(DONNEES_SOURCE!$CA408=TRUE,IFERROR(MATCH(DONNEES_SOURCE!$B408,{"2. Très rarement (Moins d'une fois par mois)","3. Rarement (1 à 3 fois par mois)","4. Parfois (Environ une fois par semaine)","5. Régulièrement (Plusieurs fois par semaine)","6. Quotidiennement (Une fois par jour)","7. Très fréquemment (Plusieurs fois par jour)"},0)+1,""),"")</f>
        <v/>
      </c>
    </row>
    <row r="409" spans="16:21" x14ac:dyDescent="0.25">
      <c r="P409" t="str">
        <f>IF(DONNEES_SOURCE!$CA409=TRUE,DONNEES_SOURCE!$BV409,"")</f>
        <v/>
      </c>
      <c r="Q409" t="str">
        <f>IF(DONNEES_SOURCE!$CA409=TRUE,IFERROR(MATCH(DONNEES_SOURCE!$B409,{"2. Très rarement (Moins d'une fois par mois)","3. Rarement (1 à 3 fois par mois)","4. Parfois (Environ une fois par semaine)","5. Régulièrement (Plusieurs fois par semaine)","6. Quotidiennement (Une fois par jour)","7. Très fréquemment (Plusieurs fois par jour)"},0)+1,""),"")</f>
        <v/>
      </c>
      <c r="R409" t="str">
        <f>IF(DONNEES_SOURCE!$CA409=TRUE,DONNEES_SOURCE!$BW409,"")</f>
        <v/>
      </c>
      <c r="S409" t="str">
        <f>IF(DONNEES_SOURCE!$CA409=TRUE,DONNEES_SOURCE!$AU409,"")</f>
        <v/>
      </c>
      <c r="T409" t="str">
        <f>IF(DONNEES_SOURCE!$CA409=TRUE,DONNEES_SOURCE!$BW409,"")</f>
        <v/>
      </c>
      <c r="U409" t="str">
        <f>IF(DONNEES_SOURCE!$CA409=TRUE,IFERROR(MATCH(DONNEES_SOURCE!$B409,{"2. Très rarement (Moins d'une fois par mois)","3. Rarement (1 à 3 fois par mois)","4. Parfois (Environ une fois par semaine)","5. Régulièrement (Plusieurs fois par semaine)","6. Quotidiennement (Une fois par jour)","7. Très fréquemment (Plusieurs fois par jour)"},0)+1,""),"")</f>
        <v/>
      </c>
    </row>
    <row r="410" spans="16:21" x14ac:dyDescent="0.25">
      <c r="P410" t="str">
        <f>IF(DONNEES_SOURCE!$CA410=TRUE,DONNEES_SOURCE!$BV410,"")</f>
        <v/>
      </c>
      <c r="Q410" t="str">
        <f>IF(DONNEES_SOURCE!$CA410=TRUE,IFERROR(MATCH(DONNEES_SOURCE!$B410,{"2. Très rarement (Moins d'une fois par mois)","3. Rarement (1 à 3 fois par mois)","4. Parfois (Environ une fois par semaine)","5. Régulièrement (Plusieurs fois par semaine)","6. Quotidiennement (Une fois par jour)","7. Très fréquemment (Plusieurs fois par jour)"},0)+1,""),"")</f>
        <v/>
      </c>
      <c r="R410" t="str">
        <f>IF(DONNEES_SOURCE!$CA410=TRUE,DONNEES_SOURCE!$BW410,"")</f>
        <v/>
      </c>
      <c r="S410" t="str">
        <f>IF(DONNEES_SOURCE!$CA410=TRUE,DONNEES_SOURCE!$AU410,"")</f>
        <v/>
      </c>
      <c r="T410" t="str">
        <f>IF(DONNEES_SOURCE!$CA410=TRUE,DONNEES_SOURCE!$BW410,"")</f>
        <v/>
      </c>
      <c r="U410" t="str">
        <f>IF(DONNEES_SOURCE!$CA410=TRUE,IFERROR(MATCH(DONNEES_SOURCE!$B410,{"2. Très rarement (Moins d'une fois par mois)","3. Rarement (1 à 3 fois par mois)","4. Parfois (Environ une fois par semaine)","5. Régulièrement (Plusieurs fois par semaine)","6. Quotidiennement (Une fois par jour)","7. Très fréquemment (Plusieurs fois par jour)"},0)+1,""),"")</f>
        <v/>
      </c>
    </row>
    <row r="411" spans="16:21" x14ac:dyDescent="0.25">
      <c r="P411" t="str">
        <f>IF(DONNEES_SOURCE!$CA411=TRUE,DONNEES_SOURCE!$BV411,"")</f>
        <v/>
      </c>
      <c r="Q411" t="str">
        <f>IF(DONNEES_SOURCE!$CA411=TRUE,IFERROR(MATCH(DONNEES_SOURCE!$B411,{"2. Très rarement (Moins d'une fois par mois)","3. Rarement (1 à 3 fois par mois)","4. Parfois (Environ une fois par semaine)","5. Régulièrement (Plusieurs fois par semaine)","6. Quotidiennement (Une fois par jour)","7. Très fréquemment (Plusieurs fois par jour)"},0)+1,""),"")</f>
        <v/>
      </c>
      <c r="R411" t="str">
        <f>IF(DONNEES_SOURCE!$CA411=TRUE,DONNEES_SOURCE!$BW411,"")</f>
        <v/>
      </c>
      <c r="S411" t="str">
        <f>IF(DONNEES_SOURCE!$CA411=TRUE,DONNEES_SOURCE!$AU411,"")</f>
        <v/>
      </c>
      <c r="T411" t="str">
        <f>IF(DONNEES_SOURCE!$CA411=TRUE,DONNEES_SOURCE!$BW411,"")</f>
        <v/>
      </c>
      <c r="U411" t="str">
        <f>IF(DONNEES_SOURCE!$CA411=TRUE,IFERROR(MATCH(DONNEES_SOURCE!$B411,{"2. Très rarement (Moins d'une fois par mois)","3. Rarement (1 à 3 fois par mois)","4. Parfois (Environ une fois par semaine)","5. Régulièrement (Plusieurs fois par semaine)","6. Quotidiennement (Une fois par jour)","7. Très fréquemment (Plusieurs fois par jour)"},0)+1,""),"")</f>
        <v/>
      </c>
    </row>
    <row r="412" spans="16:21" x14ac:dyDescent="0.25">
      <c r="P412" t="str">
        <f>IF(DONNEES_SOURCE!$CA412=TRUE,DONNEES_SOURCE!$BV412,"")</f>
        <v/>
      </c>
      <c r="Q412" t="str">
        <f>IF(DONNEES_SOURCE!$CA412=TRUE,IFERROR(MATCH(DONNEES_SOURCE!$B412,{"2. Très rarement (Moins d'une fois par mois)","3. Rarement (1 à 3 fois par mois)","4. Parfois (Environ une fois par semaine)","5. Régulièrement (Plusieurs fois par semaine)","6. Quotidiennement (Une fois par jour)","7. Très fréquemment (Plusieurs fois par jour)"},0)+1,""),"")</f>
        <v/>
      </c>
      <c r="R412" t="str">
        <f>IF(DONNEES_SOURCE!$CA412=TRUE,DONNEES_SOURCE!$BW412,"")</f>
        <v/>
      </c>
      <c r="S412" t="str">
        <f>IF(DONNEES_SOURCE!$CA412=TRUE,DONNEES_SOURCE!$AU412,"")</f>
        <v/>
      </c>
      <c r="T412" t="str">
        <f>IF(DONNEES_SOURCE!$CA412=TRUE,DONNEES_SOURCE!$BW412,"")</f>
        <v/>
      </c>
      <c r="U412" t="str">
        <f>IF(DONNEES_SOURCE!$CA412=TRUE,IFERROR(MATCH(DONNEES_SOURCE!$B412,{"2. Très rarement (Moins d'une fois par mois)","3. Rarement (1 à 3 fois par mois)","4. Parfois (Environ une fois par semaine)","5. Régulièrement (Plusieurs fois par semaine)","6. Quotidiennement (Une fois par jour)","7. Très fréquemment (Plusieurs fois par jour)"},0)+1,""),"")</f>
        <v/>
      </c>
    </row>
    <row r="413" spans="16:21" x14ac:dyDescent="0.25">
      <c r="P413" t="str">
        <f>IF(DONNEES_SOURCE!$CA413=TRUE,DONNEES_SOURCE!$BV413,"")</f>
        <v/>
      </c>
      <c r="Q413" t="str">
        <f>IF(DONNEES_SOURCE!$CA413=TRUE,IFERROR(MATCH(DONNEES_SOURCE!$B413,{"2. Très rarement (Moins d'une fois par mois)","3. Rarement (1 à 3 fois par mois)","4. Parfois (Environ une fois par semaine)","5. Régulièrement (Plusieurs fois par semaine)","6. Quotidiennement (Une fois par jour)","7. Très fréquemment (Plusieurs fois par jour)"},0)+1,""),"")</f>
        <v/>
      </c>
      <c r="R413" t="str">
        <f>IF(DONNEES_SOURCE!$CA413=TRUE,DONNEES_SOURCE!$BW413,"")</f>
        <v/>
      </c>
      <c r="S413" t="str">
        <f>IF(DONNEES_SOURCE!$CA413=TRUE,DONNEES_SOURCE!$AU413,"")</f>
        <v/>
      </c>
      <c r="T413" t="str">
        <f>IF(DONNEES_SOURCE!$CA413=TRUE,DONNEES_SOURCE!$BW413,"")</f>
        <v/>
      </c>
      <c r="U413" t="str">
        <f>IF(DONNEES_SOURCE!$CA413=TRUE,IFERROR(MATCH(DONNEES_SOURCE!$B413,{"2. Très rarement (Moins d'une fois par mois)","3. Rarement (1 à 3 fois par mois)","4. Parfois (Environ une fois par semaine)","5. Régulièrement (Plusieurs fois par semaine)","6. Quotidiennement (Une fois par jour)","7. Très fréquemment (Plusieurs fois par jour)"},0)+1,""),"")</f>
        <v/>
      </c>
    </row>
    <row r="414" spans="16:21" x14ac:dyDescent="0.25">
      <c r="P414" t="str">
        <f>IF(DONNEES_SOURCE!$CA414=TRUE,DONNEES_SOURCE!$BV414,"")</f>
        <v/>
      </c>
      <c r="Q414" t="str">
        <f>IF(DONNEES_SOURCE!$CA414=TRUE,IFERROR(MATCH(DONNEES_SOURCE!$B414,{"2. Très rarement (Moins d'une fois par mois)","3. Rarement (1 à 3 fois par mois)","4. Parfois (Environ une fois par semaine)","5. Régulièrement (Plusieurs fois par semaine)","6. Quotidiennement (Une fois par jour)","7. Très fréquemment (Plusieurs fois par jour)"},0)+1,""),"")</f>
        <v/>
      </c>
      <c r="R414" t="str">
        <f>IF(DONNEES_SOURCE!$CA414=TRUE,DONNEES_SOURCE!$BW414,"")</f>
        <v/>
      </c>
      <c r="S414" t="str">
        <f>IF(DONNEES_SOURCE!$CA414=TRUE,DONNEES_SOURCE!$AU414,"")</f>
        <v/>
      </c>
      <c r="T414" t="str">
        <f>IF(DONNEES_SOURCE!$CA414=TRUE,DONNEES_SOURCE!$BW414,"")</f>
        <v/>
      </c>
      <c r="U414" t="str">
        <f>IF(DONNEES_SOURCE!$CA414=TRUE,IFERROR(MATCH(DONNEES_SOURCE!$B414,{"2. Très rarement (Moins d'une fois par mois)","3. Rarement (1 à 3 fois par mois)","4. Parfois (Environ une fois par semaine)","5. Régulièrement (Plusieurs fois par semaine)","6. Quotidiennement (Une fois par jour)","7. Très fréquemment (Plusieurs fois par jour)"},0)+1,""),"")</f>
        <v/>
      </c>
    </row>
    <row r="415" spans="16:21" x14ac:dyDescent="0.25">
      <c r="P415" t="str">
        <f>IF(DONNEES_SOURCE!$CA415=TRUE,DONNEES_SOURCE!$BV415,"")</f>
        <v/>
      </c>
      <c r="Q415" t="str">
        <f>IF(DONNEES_SOURCE!$CA415=TRUE,IFERROR(MATCH(DONNEES_SOURCE!$B415,{"2. Très rarement (Moins d'une fois par mois)","3. Rarement (1 à 3 fois par mois)","4. Parfois (Environ une fois par semaine)","5. Régulièrement (Plusieurs fois par semaine)","6. Quotidiennement (Une fois par jour)","7. Très fréquemment (Plusieurs fois par jour)"},0)+1,""),"")</f>
        <v/>
      </c>
      <c r="R415" t="str">
        <f>IF(DONNEES_SOURCE!$CA415=TRUE,DONNEES_SOURCE!$BW415,"")</f>
        <v/>
      </c>
      <c r="S415" t="str">
        <f>IF(DONNEES_SOURCE!$CA415=TRUE,DONNEES_SOURCE!$AU415,"")</f>
        <v/>
      </c>
      <c r="T415" t="str">
        <f>IF(DONNEES_SOURCE!$CA415=TRUE,DONNEES_SOURCE!$BW415,"")</f>
        <v/>
      </c>
      <c r="U415" t="str">
        <f>IF(DONNEES_SOURCE!$CA415=TRUE,IFERROR(MATCH(DONNEES_SOURCE!$B415,{"2. Très rarement (Moins d'une fois par mois)","3. Rarement (1 à 3 fois par mois)","4. Parfois (Environ une fois par semaine)","5. Régulièrement (Plusieurs fois par semaine)","6. Quotidiennement (Une fois par jour)","7. Très fréquemment (Plusieurs fois par jour)"},0)+1,""),"")</f>
        <v/>
      </c>
    </row>
    <row r="416" spans="16:21" x14ac:dyDescent="0.25">
      <c r="P416" t="str">
        <f>IF(DONNEES_SOURCE!$CA416=TRUE,DONNEES_SOURCE!$BV416,"")</f>
        <v/>
      </c>
      <c r="Q416" t="str">
        <f>IF(DONNEES_SOURCE!$CA416=TRUE,IFERROR(MATCH(DONNEES_SOURCE!$B416,{"2. Très rarement (Moins d'une fois par mois)","3. Rarement (1 à 3 fois par mois)","4. Parfois (Environ une fois par semaine)","5. Régulièrement (Plusieurs fois par semaine)","6. Quotidiennement (Une fois par jour)","7. Très fréquemment (Plusieurs fois par jour)"},0)+1,""),"")</f>
        <v/>
      </c>
      <c r="R416" t="str">
        <f>IF(DONNEES_SOURCE!$CA416=TRUE,DONNEES_SOURCE!$BW416,"")</f>
        <v/>
      </c>
      <c r="S416" t="str">
        <f>IF(DONNEES_SOURCE!$CA416=TRUE,DONNEES_SOURCE!$AU416,"")</f>
        <v/>
      </c>
      <c r="T416" t="str">
        <f>IF(DONNEES_SOURCE!$CA416=TRUE,DONNEES_SOURCE!$BW416,"")</f>
        <v/>
      </c>
      <c r="U416" t="str">
        <f>IF(DONNEES_SOURCE!$CA416=TRUE,IFERROR(MATCH(DONNEES_SOURCE!$B416,{"2. Très rarement (Moins d'une fois par mois)","3. Rarement (1 à 3 fois par mois)","4. Parfois (Environ une fois par semaine)","5. Régulièrement (Plusieurs fois par semaine)","6. Quotidiennement (Une fois par jour)","7. Très fréquemment (Plusieurs fois par jour)"},0)+1,""),"")</f>
        <v/>
      </c>
    </row>
    <row r="417" spans="16:21" x14ac:dyDescent="0.25">
      <c r="P417" t="str">
        <f>IF(DONNEES_SOURCE!$CA417=TRUE,DONNEES_SOURCE!$BV417,"")</f>
        <v/>
      </c>
      <c r="Q417" t="str">
        <f>IF(DONNEES_SOURCE!$CA417=TRUE,IFERROR(MATCH(DONNEES_SOURCE!$B417,{"2. Très rarement (Moins d'une fois par mois)","3. Rarement (1 à 3 fois par mois)","4. Parfois (Environ une fois par semaine)","5. Régulièrement (Plusieurs fois par semaine)","6. Quotidiennement (Une fois par jour)","7. Très fréquemment (Plusieurs fois par jour)"},0)+1,""),"")</f>
        <v/>
      </c>
      <c r="R417" t="str">
        <f>IF(DONNEES_SOURCE!$CA417=TRUE,DONNEES_SOURCE!$BW417,"")</f>
        <v/>
      </c>
      <c r="S417" t="str">
        <f>IF(DONNEES_SOURCE!$CA417=TRUE,DONNEES_SOURCE!$AU417,"")</f>
        <v/>
      </c>
      <c r="T417" t="str">
        <f>IF(DONNEES_SOURCE!$CA417=TRUE,DONNEES_SOURCE!$BW417,"")</f>
        <v/>
      </c>
      <c r="U417" t="str">
        <f>IF(DONNEES_SOURCE!$CA417=TRUE,IFERROR(MATCH(DONNEES_SOURCE!$B417,{"2. Très rarement (Moins d'une fois par mois)","3. Rarement (1 à 3 fois par mois)","4. Parfois (Environ une fois par semaine)","5. Régulièrement (Plusieurs fois par semaine)","6. Quotidiennement (Une fois par jour)","7. Très fréquemment (Plusieurs fois par jour)"},0)+1,""),"")</f>
        <v/>
      </c>
    </row>
    <row r="418" spans="16:21" x14ac:dyDescent="0.25">
      <c r="P418" t="str">
        <f>IF(DONNEES_SOURCE!$CA418=TRUE,DONNEES_SOURCE!$BV418,"")</f>
        <v/>
      </c>
      <c r="Q418" t="str">
        <f>IF(DONNEES_SOURCE!$CA418=TRUE,IFERROR(MATCH(DONNEES_SOURCE!$B418,{"2. Très rarement (Moins d'une fois par mois)","3. Rarement (1 à 3 fois par mois)","4. Parfois (Environ une fois par semaine)","5. Régulièrement (Plusieurs fois par semaine)","6. Quotidiennement (Une fois par jour)","7. Très fréquemment (Plusieurs fois par jour)"},0)+1,""),"")</f>
        <v/>
      </c>
      <c r="R418" t="str">
        <f>IF(DONNEES_SOURCE!$CA418=TRUE,DONNEES_SOURCE!$BW418,"")</f>
        <v/>
      </c>
      <c r="S418" t="str">
        <f>IF(DONNEES_SOURCE!$CA418=TRUE,DONNEES_SOURCE!$AU418,"")</f>
        <v/>
      </c>
      <c r="T418" t="str">
        <f>IF(DONNEES_SOURCE!$CA418=TRUE,DONNEES_SOURCE!$BW418,"")</f>
        <v/>
      </c>
      <c r="U418" t="str">
        <f>IF(DONNEES_SOURCE!$CA418=TRUE,IFERROR(MATCH(DONNEES_SOURCE!$B418,{"2. Très rarement (Moins d'une fois par mois)","3. Rarement (1 à 3 fois par mois)","4. Parfois (Environ une fois par semaine)","5. Régulièrement (Plusieurs fois par semaine)","6. Quotidiennement (Une fois par jour)","7. Très fréquemment (Plusieurs fois par jour)"},0)+1,""),"")</f>
        <v/>
      </c>
    </row>
    <row r="419" spans="16:21" x14ac:dyDescent="0.25">
      <c r="P419" t="str">
        <f>IF(DONNEES_SOURCE!$CA419=TRUE,DONNEES_SOURCE!$BV419,"")</f>
        <v/>
      </c>
      <c r="Q419" t="str">
        <f>IF(DONNEES_SOURCE!$CA419=TRUE,IFERROR(MATCH(DONNEES_SOURCE!$B419,{"2. Très rarement (Moins d'une fois par mois)","3. Rarement (1 à 3 fois par mois)","4. Parfois (Environ une fois par semaine)","5. Régulièrement (Plusieurs fois par semaine)","6. Quotidiennement (Une fois par jour)","7. Très fréquemment (Plusieurs fois par jour)"},0)+1,""),"")</f>
        <v/>
      </c>
      <c r="R419" t="str">
        <f>IF(DONNEES_SOURCE!$CA419=TRUE,DONNEES_SOURCE!$BW419,"")</f>
        <v/>
      </c>
      <c r="S419" t="str">
        <f>IF(DONNEES_SOURCE!$CA419=TRUE,DONNEES_SOURCE!$AU419,"")</f>
        <v/>
      </c>
      <c r="T419" t="str">
        <f>IF(DONNEES_SOURCE!$CA419=TRUE,DONNEES_SOURCE!$BW419,"")</f>
        <v/>
      </c>
      <c r="U419" t="str">
        <f>IF(DONNEES_SOURCE!$CA419=TRUE,IFERROR(MATCH(DONNEES_SOURCE!$B419,{"2. Très rarement (Moins d'une fois par mois)","3. Rarement (1 à 3 fois par mois)","4. Parfois (Environ une fois par semaine)","5. Régulièrement (Plusieurs fois par semaine)","6. Quotidiennement (Une fois par jour)","7. Très fréquemment (Plusieurs fois par jour)"},0)+1,""),"")</f>
        <v/>
      </c>
    </row>
    <row r="420" spans="16:21" x14ac:dyDescent="0.25">
      <c r="P420" t="str">
        <f>IF(DONNEES_SOURCE!$CA420=TRUE,DONNEES_SOURCE!$BV420,"")</f>
        <v/>
      </c>
      <c r="Q420" t="str">
        <f>IF(DONNEES_SOURCE!$CA420=TRUE,IFERROR(MATCH(DONNEES_SOURCE!$B420,{"2. Très rarement (Moins d'une fois par mois)","3. Rarement (1 à 3 fois par mois)","4. Parfois (Environ une fois par semaine)","5. Régulièrement (Plusieurs fois par semaine)","6. Quotidiennement (Une fois par jour)","7. Très fréquemment (Plusieurs fois par jour)"},0)+1,""),"")</f>
        <v/>
      </c>
      <c r="R420" t="str">
        <f>IF(DONNEES_SOURCE!$CA420=TRUE,DONNEES_SOURCE!$BW420,"")</f>
        <v/>
      </c>
      <c r="S420" t="str">
        <f>IF(DONNEES_SOURCE!$CA420=TRUE,DONNEES_SOURCE!$AU420,"")</f>
        <v/>
      </c>
      <c r="T420" t="str">
        <f>IF(DONNEES_SOURCE!$CA420=TRUE,DONNEES_SOURCE!$BW420,"")</f>
        <v/>
      </c>
      <c r="U420" t="str">
        <f>IF(DONNEES_SOURCE!$CA420=TRUE,IFERROR(MATCH(DONNEES_SOURCE!$B420,{"2. Très rarement (Moins d'une fois par mois)","3. Rarement (1 à 3 fois par mois)","4. Parfois (Environ une fois par semaine)","5. Régulièrement (Plusieurs fois par semaine)","6. Quotidiennement (Une fois par jour)","7. Très fréquemment (Plusieurs fois par jour)"},0)+1,""),"")</f>
        <v/>
      </c>
    </row>
    <row r="421" spans="16:21" x14ac:dyDescent="0.25">
      <c r="P421" t="str">
        <f>IF(DONNEES_SOURCE!$CA421=TRUE,DONNEES_SOURCE!$BV421,"")</f>
        <v/>
      </c>
      <c r="Q421" t="str">
        <f>IF(DONNEES_SOURCE!$CA421=TRUE,IFERROR(MATCH(DONNEES_SOURCE!$B421,{"2. Très rarement (Moins d'une fois par mois)","3. Rarement (1 à 3 fois par mois)","4. Parfois (Environ une fois par semaine)","5. Régulièrement (Plusieurs fois par semaine)","6. Quotidiennement (Une fois par jour)","7. Très fréquemment (Plusieurs fois par jour)"},0)+1,""),"")</f>
        <v/>
      </c>
      <c r="R421" t="str">
        <f>IF(DONNEES_SOURCE!$CA421=TRUE,DONNEES_SOURCE!$BW421,"")</f>
        <v/>
      </c>
      <c r="S421" t="str">
        <f>IF(DONNEES_SOURCE!$CA421=TRUE,DONNEES_SOURCE!$AU421,"")</f>
        <v/>
      </c>
      <c r="T421" t="str">
        <f>IF(DONNEES_SOURCE!$CA421=TRUE,DONNEES_SOURCE!$BW421,"")</f>
        <v/>
      </c>
      <c r="U421" t="str">
        <f>IF(DONNEES_SOURCE!$CA421=TRUE,IFERROR(MATCH(DONNEES_SOURCE!$B421,{"2. Très rarement (Moins d'une fois par mois)","3. Rarement (1 à 3 fois par mois)","4. Parfois (Environ une fois par semaine)","5. Régulièrement (Plusieurs fois par semaine)","6. Quotidiennement (Une fois par jour)","7. Très fréquemment (Plusieurs fois par jour)"},0)+1,""),"")</f>
        <v/>
      </c>
    </row>
    <row r="422" spans="16:21" x14ac:dyDescent="0.25">
      <c r="P422" t="str">
        <f>IF(DONNEES_SOURCE!$CA422=TRUE,DONNEES_SOURCE!$BV422,"")</f>
        <v/>
      </c>
      <c r="Q422" t="str">
        <f>IF(DONNEES_SOURCE!$CA422=TRUE,IFERROR(MATCH(DONNEES_SOURCE!$B422,{"2. Très rarement (Moins d'une fois par mois)","3. Rarement (1 à 3 fois par mois)","4. Parfois (Environ une fois par semaine)","5. Régulièrement (Plusieurs fois par semaine)","6. Quotidiennement (Une fois par jour)","7. Très fréquemment (Plusieurs fois par jour)"},0)+1,""),"")</f>
        <v/>
      </c>
      <c r="R422" t="str">
        <f>IF(DONNEES_SOURCE!$CA422=TRUE,DONNEES_SOURCE!$BW422,"")</f>
        <v/>
      </c>
      <c r="S422" t="str">
        <f>IF(DONNEES_SOURCE!$CA422=TRUE,DONNEES_SOURCE!$AU422,"")</f>
        <v/>
      </c>
      <c r="T422" t="str">
        <f>IF(DONNEES_SOURCE!$CA422=TRUE,DONNEES_SOURCE!$BW422,"")</f>
        <v/>
      </c>
      <c r="U422" t="str">
        <f>IF(DONNEES_SOURCE!$CA422=TRUE,IFERROR(MATCH(DONNEES_SOURCE!$B422,{"2. Très rarement (Moins d'une fois par mois)","3. Rarement (1 à 3 fois par mois)","4. Parfois (Environ une fois par semaine)","5. Régulièrement (Plusieurs fois par semaine)","6. Quotidiennement (Une fois par jour)","7. Très fréquemment (Plusieurs fois par jour)"},0)+1,""),"")</f>
        <v/>
      </c>
    </row>
    <row r="423" spans="16:21" x14ac:dyDescent="0.25">
      <c r="P423" t="str">
        <f>IF(DONNEES_SOURCE!$CA423=TRUE,DONNEES_SOURCE!$BV423,"")</f>
        <v/>
      </c>
      <c r="Q423" t="str">
        <f>IF(DONNEES_SOURCE!$CA423=TRUE,IFERROR(MATCH(DONNEES_SOURCE!$B423,{"2. Très rarement (Moins d'une fois par mois)","3. Rarement (1 à 3 fois par mois)","4. Parfois (Environ une fois par semaine)","5. Régulièrement (Plusieurs fois par semaine)","6. Quotidiennement (Une fois par jour)","7. Très fréquemment (Plusieurs fois par jour)"},0)+1,""),"")</f>
        <v/>
      </c>
      <c r="R423" t="str">
        <f>IF(DONNEES_SOURCE!$CA423=TRUE,DONNEES_SOURCE!$BW423,"")</f>
        <v/>
      </c>
      <c r="S423" t="str">
        <f>IF(DONNEES_SOURCE!$CA423=TRUE,DONNEES_SOURCE!$AU423,"")</f>
        <v/>
      </c>
      <c r="T423" t="str">
        <f>IF(DONNEES_SOURCE!$CA423=TRUE,DONNEES_SOURCE!$BW423,"")</f>
        <v/>
      </c>
      <c r="U423" t="str">
        <f>IF(DONNEES_SOURCE!$CA423=TRUE,IFERROR(MATCH(DONNEES_SOURCE!$B423,{"2. Très rarement (Moins d'une fois par mois)","3. Rarement (1 à 3 fois par mois)","4. Parfois (Environ une fois par semaine)","5. Régulièrement (Plusieurs fois par semaine)","6. Quotidiennement (Une fois par jour)","7. Très fréquemment (Plusieurs fois par jour)"},0)+1,""),"")</f>
        <v/>
      </c>
    </row>
    <row r="424" spans="16:21" x14ac:dyDescent="0.25">
      <c r="P424" t="str">
        <f>IF(DONNEES_SOURCE!$CA424=TRUE,DONNEES_SOURCE!$BV424,"")</f>
        <v/>
      </c>
      <c r="Q424" t="str">
        <f>IF(DONNEES_SOURCE!$CA424=TRUE,IFERROR(MATCH(DONNEES_SOURCE!$B424,{"2. Très rarement (Moins d'une fois par mois)","3. Rarement (1 à 3 fois par mois)","4. Parfois (Environ une fois par semaine)","5. Régulièrement (Plusieurs fois par semaine)","6. Quotidiennement (Une fois par jour)","7. Très fréquemment (Plusieurs fois par jour)"},0)+1,""),"")</f>
        <v/>
      </c>
      <c r="R424" t="str">
        <f>IF(DONNEES_SOURCE!$CA424=TRUE,DONNEES_SOURCE!$BW424,"")</f>
        <v/>
      </c>
      <c r="S424" t="str">
        <f>IF(DONNEES_SOURCE!$CA424=TRUE,DONNEES_SOURCE!$AU424,"")</f>
        <v/>
      </c>
      <c r="T424" t="str">
        <f>IF(DONNEES_SOURCE!$CA424=TRUE,DONNEES_SOURCE!$BW424,"")</f>
        <v/>
      </c>
      <c r="U424" t="str">
        <f>IF(DONNEES_SOURCE!$CA424=TRUE,IFERROR(MATCH(DONNEES_SOURCE!$B424,{"2. Très rarement (Moins d'une fois par mois)","3. Rarement (1 à 3 fois par mois)","4. Parfois (Environ une fois par semaine)","5. Régulièrement (Plusieurs fois par semaine)","6. Quotidiennement (Une fois par jour)","7. Très fréquemment (Plusieurs fois par jour)"},0)+1,""),"")</f>
        <v/>
      </c>
    </row>
    <row r="425" spans="16:21" x14ac:dyDescent="0.25">
      <c r="P425" t="str">
        <f>IF(DONNEES_SOURCE!$CA425=TRUE,DONNEES_SOURCE!$BV425,"")</f>
        <v/>
      </c>
      <c r="Q425" t="str">
        <f>IF(DONNEES_SOURCE!$CA425=TRUE,IFERROR(MATCH(DONNEES_SOURCE!$B425,{"2. Très rarement (Moins d'une fois par mois)","3. Rarement (1 à 3 fois par mois)","4. Parfois (Environ une fois par semaine)","5. Régulièrement (Plusieurs fois par semaine)","6. Quotidiennement (Une fois par jour)","7. Très fréquemment (Plusieurs fois par jour)"},0)+1,""),"")</f>
        <v/>
      </c>
      <c r="R425" t="str">
        <f>IF(DONNEES_SOURCE!$CA425=TRUE,DONNEES_SOURCE!$BW425,"")</f>
        <v/>
      </c>
      <c r="S425" t="str">
        <f>IF(DONNEES_SOURCE!$CA425=TRUE,DONNEES_SOURCE!$AU425,"")</f>
        <v/>
      </c>
      <c r="T425" t="str">
        <f>IF(DONNEES_SOURCE!$CA425=TRUE,DONNEES_SOURCE!$BW425,"")</f>
        <v/>
      </c>
      <c r="U425" t="str">
        <f>IF(DONNEES_SOURCE!$CA425=TRUE,IFERROR(MATCH(DONNEES_SOURCE!$B425,{"2. Très rarement (Moins d'une fois par mois)","3. Rarement (1 à 3 fois par mois)","4. Parfois (Environ une fois par semaine)","5. Régulièrement (Plusieurs fois par semaine)","6. Quotidiennement (Une fois par jour)","7. Très fréquemment (Plusieurs fois par jour)"},0)+1,""),"")</f>
        <v/>
      </c>
    </row>
    <row r="426" spans="16:21" x14ac:dyDescent="0.25">
      <c r="P426" t="str">
        <f>IF(DONNEES_SOURCE!$CA426=TRUE,DONNEES_SOURCE!$BV426,"")</f>
        <v/>
      </c>
      <c r="Q426" t="str">
        <f>IF(DONNEES_SOURCE!$CA426=TRUE,IFERROR(MATCH(DONNEES_SOURCE!$B426,{"2. Très rarement (Moins d'une fois par mois)","3. Rarement (1 à 3 fois par mois)","4. Parfois (Environ une fois par semaine)","5. Régulièrement (Plusieurs fois par semaine)","6. Quotidiennement (Une fois par jour)","7. Très fréquemment (Plusieurs fois par jour)"},0)+1,""),"")</f>
        <v/>
      </c>
      <c r="R426" t="str">
        <f>IF(DONNEES_SOURCE!$CA426=TRUE,DONNEES_SOURCE!$BW426,"")</f>
        <v/>
      </c>
      <c r="S426" t="str">
        <f>IF(DONNEES_SOURCE!$CA426=TRUE,DONNEES_SOURCE!$AU426,"")</f>
        <v/>
      </c>
      <c r="T426" t="str">
        <f>IF(DONNEES_SOURCE!$CA426=TRUE,DONNEES_SOURCE!$BW426,"")</f>
        <v/>
      </c>
      <c r="U426" t="str">
        <f>IF(DONNEES_SOURCE!$CA426=TRUE,IFERROR(MATCH(DONNEES_SOURCE!$B426,{"2. Très rarement (Moins d'une fois par mois)","3. Rarement (1 à 3 fois par mois)","4. Parfois (Environ une fois par semaine)","5. Régulièrement (Plusieurs fois par semaine)","6. Quotidiennement (Une fois par jour)","7. Très fréquemment (Plusieurs fois par jour)"},0)+1,""),"")</f>
        <v/>
      </c>
    </row>
    <row r="427" spans="16:21" x14ac:dyDescent="0.25">
      <c r="P427" t="str">
        <f>IF(DONNEES_SOURCE!$CA427=TRUE,DONNEES_SOURCE!$BV427,"")</f>
        <v/>
      </c>
      <c r="Q427" t="str">
        <f>IF(DONNEES_SOURCE!$CA427=TRUE,IFERROR(MATCH(DONNEES_SOURCE!$B427,{"2. Très rarement (Moins d'une fois par mois)","3. Rarement (1 à 3 fois par mois)","4. Parfois (Environ une fois par semaine)","5. Régulièrement (Plusieurs fois par semaine)","6. Quotidiennement (Une fois par jour)","7. Très fréquemment (Plusieurs fois par jour)"},0)+1,""),"")</f>
        <v/>
      </c>
      <c r="R427" t="str">
        <f>IF(DONNEES_SOURCE!$CA427=TRUE,DONNEES_SOURCE!$BW427,"")</f>
        <v/>
      </c>
      <c r="S427" t="str">
        <f>IF(DONNEES_SOURCE!$CA427=TRUE,DONNEES_SOURCE!$AU427,"")</f>
        <v/>
      </c>
      <c r="T427" t="str">
        <f>IF(DONNEES_SOURCE!$CA427=TRUE,DONNEES_SOURCE!$BW427,"")</f>
        <v/>
      </c>
      <c r="U427" t="str">
        <f>IF(DONNEES_SOURCE!$CA427=TRUE,IFERROR(MATCH(DONNEES_SOURCE!$B427,{"2. Très rarement (Moins d'une fois par mois)","3. Rarement (1 à 3 fois par mois)","4. Parfois (Environ une fois par semaine)","5. Régulièrement (Plusieurs fois par semaine)","6. Quotidiennement (Une fois par jour)","7. Très fréquemment (Plusieurs fois par jour)"},0)+1,""),"")</f>
        <v/>
      </c>
    </row>
    <row r="428" spans="16:21" x14ac:dyDescent="0.25">
      <c r="P428" t="str">
        <f>IF(DONNEES_SOURCE!$CA428=TRUE,DONNEES_SOURCE!$BV428,"")</f>
        <v/>
      </c>
      <c r="Q428" t="str">
        <f>IF(DONNEES_SOURCE!$CA428=TRUE,IFERROR(MATCH(DONNEES_SOURCE!$B428,{"2. Très rarement (Moins d'une fois par mois)","3. Rarement (1 à 3 fois par mois)","4. Parfois (Environ une fois par semaine)","5. Régulièrement (Plusieurs fois par semaine)","6. Quotidiennement (Une fois par jour)","7. Très fréquemment (Plusieurs fois par jour)"},0)+1,""),"")</f>
        <v/>
      </c>
      <c r="R428" t="str">
        <f>IF(DONNEES_SOURCE!$CA428=TRUE,DONNEES_SOURCE!$BW428,"")</f>
        <v/>
      </c>
      <c r="S428" t="str">
        <f>IF(DONNEES_SOURCE!$CA428=TRUE,DONNEES_SOURCE!$AU428,"")</f>
        <v/>
      </c>
      <c r="T428" t="str">
        <f>IF(DONNEES_SOURCE!$CA428=TRUE,DONNEES_SOURCE!$BW428,"")</f>
        <v/>
      </c>
      <c r="U428" t="str">
        <f>IF(DONNEES_SOURCE!$CA428=TRUE,IFERROR(MATCH(DONNEES_SOURCE!$B428,{"2. Très rarement (Moins d'une fois par mois)","3. Rarement (1 à 3 fois par mois)","4. Parfois (Environ une fois par semaine)","5. Régulièrement (Plusieurs fois par semaine)","6. Quotidiennement (Une fois par jour)","7. Très fréquemment (Plusieurs fois par jour)"},0)+1,""),"")</f>
        <v/>
      </c>
    </row>
    <row r="429" spans="16:21" x14ac:dyDescent="0.25">
      <c r="P429" t="str">
        <f>IF(DONNEES_SOURCE!$CA429=TRUE,DONNEES_SOURCE!$BV429,"")</f>
        <v/>
      </c>
      <c r="Q429" t="str">
        <f>IF(DONNEES_SOURCE!$CA429=TRUE,IFERROR(MATCH(DONNEES_SOURCE!$B429,{"2. Très rarement (Moins d'une fois par mois)","3. Rarement (1 à 3 fois par mois)","4. Parfois (Environ une fois par semaine)","5. Régulièrement (Plusieurs fois par semaine)","6. Quotidiennement (Une fois par jour)","7. Très fréquemment (Plusieurs fois par jour)"},0)+1,""),"")</f>
        <v/>
      </c>
      <c r="R429" t="str">
        <f>IF(DONNEES_SOURCE!$CA429=TRUE,DONNEES_SOURCE!$BW429,"")</f>
        <v/>
      </c>
      <c r="S429" t="str">
        <f>IF(DONNEES_SOURCE!$CA429=TRUE,DONNEES_SOURCE!$AU429,"")</f>
        <v/>
      </c>
      <c r="T429" t="str">
        <f>IF(DONNEES_SOURCE!$CA429=TRUE,DONNEES_SOURCE!$BW429,"")</f>
        <v/>
      </c>
      <c r="U429" t="str">
        <f>IF(DONNEES_SOURCE!$CA429=TRUE,IFERROR(MATCH(DONNEES_SOURCE!$B429,{"2. Très rarement (Moins d'une fois par mois)","3. Rarement (1 à 3 fois par mois)","4. Parfois (Environ une fois par semaine)","5. Régulièrement (Plusieurs fois par semaine)","6. Quotidiennement (Une fois par jour)","7. Très fréquemment (Plusieurs fois par jour)"},0)+1,""),"")</f>
        <v/>
      </c>
    </row>
    <row r="430" spans="16:21" x14ac:dyDescent="0.25">
      <c r="P430" t="str">
        <f>IF(DONNEES_SOURCE!$CA430=TRUE,DONNEES_SOURCE!$BV430,"")</f>
        <v/>
      </c>
      <c r="Q430" t="str">
        <f>IF(DONNEES_SOURCE!$CA430=TRUE,IFERROR(MATCH(DONNEES_SOURCE!$B430,{"2. Très rarement (Moins d'une fois par mois)","3. Rarement (1 à 3 fois par mois)","4. Parfois (Environ une fois par semaine)","5. Régulièrement (Plusieurs fois par semaine)","6. Quotidiennement (Une fois par jour)","7. Très fréquemment (Plusieurs fois par jour)"},0)+1,""),"")</f>
        <v/>
      </c>
      <c r="R430" t="str">
        <f>IF(DONNEES_SOURCE!$CA430=TRUE,DONNEES_SOURCE!$BW430,"")</f>
        <v/>
      </c>
      <c r="S430" t="str">
        <f>IF(DONNEES_SOURCE!$CA430=TRUE,DONNEES_SOURCE!$AU430,"")</f>
        <v/>
      </c>
      <c r="T430" t="str">
        <f>IF(DONNEES_SOURCE!$CA430=TRUE,DONNEES_SOURCE!$BW430,"")</f>
        <v/>
      </c>
      <c r="U430" t="str">
        <f>IF(DONNEES_SOURCE!$CA430=TRUE,IFERROR(MATCH(DONNEES_SOURCE!$B430,{"2. Très rarement (Moins d'une fois par mois)","3. Rarement (1 à 3 fois par mois)","4. Parfois (Environ une fois par semaine)","5. Régulièrement (Plusieurs fois par semaine)","6. Quotidiennement (Une fois par jour)","7. Très fréquemment (Plusieurs fois par jour)"},0)+1,""),"")</f>
        <v/>
      </c>
    </row>
    <row r="431" spans="16:21" x14ac:dyDescent="0.25">
      <c r="P431" t="str">
        <f>IF(DONNEES_SOURCE!$CA431=TRUE,DONNEES_SOURCE!$BV431,"")</f>
        <v/>
      </c>
      <c r="Q431" t="str">
        <f>IF(DONNEES_SOURCE!$CA431=TRUE,IFERROR(MATCH(DONNEES_SOURCE!$B431,{"2. Très rarement (Moins d'une fois par mois)","3. Rarement (1 à 3 fois par mois)","4. Parfois (Environ une fois par semaine)","5. Régulièrement (Plusieurs fois par semaine)","6. Quotidiennement (Une fois par jour)","7. Très fréquemment (Plusieurs fois par jour)"},0)+1,""),"")</f>
        <v/>
      </c>
      <c r="R431" t="str">
        <f>IF(DONNEES_SOURCE!$CA431=TRUE,DONNEES_SOURCE!$BW431,"")</f>
        <v/>
      </c>
      <c r="S431" t="str">
        <f>IF(DONNEES_SOURCE!$CA431=TRUE,DONNEES_SOURCE!$AU431,"")</f>
        <v/>
      </c>
      <c r="T431" t="str">
        <f>IF(DONNEES_SOURCE!$CA431=TRUE,DONNEES_SOURCE!$BW431,"")</f>
        <v/>
      </c>
      <c r="U431" t="str">
        <f>IF(DONNEES_SOURCE!$CA431=TRUE,IFERROR(MATCH(DONNEES_SOURCE!$B431,{"2. Très rarement (Moins d'une fois par mois)","3. Rarement (1 à 3 fois par mois)","4. Parfois (Environ une fois par semaine)","5. Régulièrement (Plusieurs fois par semaine)","6. Quotidiennement (Une fois par jour)","7. Très fréquemment (Plusieurs fois par jour)"},0)+1,""),"")</f>
        <v/>
      </c>
    </row>
    <row r="432" spans="16:21" x14ac:dyDescent="0.25">
      <c r="P432" t="str">
        <f>IF(DONNEES_SOURCE!$CA432=TRUE,DONNEES_SOURCE!$BV432,"")</f>
        <v/>
      </c>
      <c r="Q432" t="str">
        <f>IF(DONNEES_SOURCE!$CA432=TRUE,IFERROR(MATCH(DONNEES_SOURCE!$B432,{"2. Très rarement (Moins d'une fois par mois)","3. Rarement (1 à 3 fois par mois)","4. Parfois (Environ une fois par semaine)","5. Régulièrement (Plusieurs fois par semaine)","6. Quotidiennement (Une fois par jour)","7. Très fréquemment (Plusieurs fois par jour)"},0)+1,""),"")</f>
        <v/>
      </c>
      <c r="R432" t="str">
        <f>IF(DONNEES_SOURCE!$CA432=TRUE,DONNEES_SOURCE!$BW432,"")</f>
        <v/>
      </c>
      <c r="S432" t="str">
        <f>IF(DONNEES_SOURCE!$CA432=TRUE,DONNEES_SOURCE!$AU432,"")</f>
        <v/>
      </c>
      <c r="T432" t="str">
        <f>IF(DONNEES_SOURCE!$CA432=TRUE,DONNEES_SOURCE!$BW432,"")</f>
        <v/>
      </c>
      <c r="U432" t="str">
        <f>IF(DONNEES_SOURCE!$CA432=TRUE,IFERROR(MATCH(DONNEES_SOURCE!$B432,{"2. Très rarement (Moins d'une fois par mois)","3. Rarement (1 à 3 fois par mois)","4. Parfois (Environ une fois par semaine)","5. Régulièrement (Plusieurs fois par semaine)","6. Quotidiennement (Une fois par jour)","7. Très fréquemment (Plusieurs fois par jour)"},0)+1,""),"")</f>
        <v/>
      </c>
    </row>
    <row r="433" spans="16:21" x14ac:dyDescent="0.25">
      <c r="P433" t="str">
        <f>IF(DONNEES_SOURCE!$CA433=TRUE,DONNEES_SOURCE!$BV433,"")</f>
        <v/>
      </c>
      <c r="Q433" t="str">
        <f>IF(DONNEES_SOURCE!$CA433=TRUE,IFERROR(MATCH(DONNEES_SOURCE!$B433,{"2. Très rarement (Moins d'une fois par mois)","3. Rarement (1 à 3 fois par mois)","4. Parfois (Environ une fois par semaine)","5. Régulièrement (Plusieurs fois par semaine)","6. Quotidiennement (Une fois par jour)","7. Très fréquemment (Plusieurs fois par jour)"},0)+1,""),"")</f>
        <v/>
      </c>
      <c r="R433" t="str">
        <f>IF(DONNEES_SOURCE!$CA433=TRUE,DONNEES_SOURCE!$BW433,"")</f>
        <v/>
      </c>
      <c r="S433" t="str">
        <f>IF(DONNEES_SOURCE!$CA433=TRUE,DONNEES_SOURCE!$AU433,"")</f>
        <v/>
      </c>
      <c r="T433" t="str">
        <f>IF(DONNEES_SOURCE!$CA433=TRUE,DONNEES_SOURCE!$BW433,"")</f>
        <v/>
      </c>
      <c r="U433" t="str">
        <f>IF(DONNEES_SOURCE!$CA433=TRUE,IFERROR(MATCH(DONNEES_SOURCE!$B433,{"2. Très rarement (Moins d'une fois par mois)","3. Rarement (1 à 3 fois par mois)","4. Parfois (Environ une fois par semaine)","5. Régulièrement (Plusieurs fois par semaine)","6. Quotidiennement (Une fois par jour)","7. Très fréquemment (Plusieurs fois par jour)"},0)+1,""),"")</f>
        <v/>
      </c>
    </row>
    <row r="434" spans="16:21" x14ac:dyDescent="0.25">
      <c r="P434" t="str">
        <f>IF(DONNEES_SOURCE!$CA434=TRUE,DONNEES_SOURCE!$BV434,"")</f>
        <v/>
      </c>
      <c r="Q434" t="str">
        <f>IF(DONNEES_SOURCE!$CA434=TRUE,IFERROR(MATCH(DONNEES_SOURCE!$B434,{"2. Très rarement (Moins d'une fois par mois)","3. Rarement (1 à 3 fois par mois)","4. Parfois (Environ une fois par semaine)","5. Régulièrement (Plusieurs fois par semaine)","6. Quotidiennement (Une fois par jour)","7. Très fréquemment (Plusieurs fois par jour)"},0)+1,""),"")</f>
        <v/>
      </c>
      <c r="R434" t="str">
        <f>IF(DONNEES_SOURCE!$CA434=TRUE,DONNEES_SOURCE!$BW434,"")</f>
        <v/>
      </c>
      <c r="S434" t="str">
        <f>IF(DONNEES_SOURCE!$CA434=TRUE,DONNEES_SOURCE!$AU434,"")</f>
        <v/>
      </c>
      <c r="T434" t="str">
        <f>IF(DONNEES_SOURCE!$CA434=TRUE,DONNEES_SOURCE!$BW434,"")</f>
        <v/>
      </c>
      <c r="U434" t="str">
        <f>IF(DONNEES_SOURCE!$CA434=TRUE,IFERROR(MATCH(DONNEES_SOURCE!$B434,{"2. Très rarement (Moins d'une fois par mois)","3. Rarement (1 à 3 fois par mois)","4. Parfois (Environ une fois par semaine)","5. Régulièrement (Plusieurs fois par semaine)","6. Quotidiennement (Une fois par jour)","7. Très fréquemment (Plusieurs fois par jour)"},0)+1,""),"")</f>
        <v/>
      </c>
    </row>
    <row r="435" spans="16:21" x14ac:dyDescent="0.25">
      <c r="P435" t="str">
        <f>IF(DONNEES_SOURCE!$CA435=TRUE,DONNEES_SOURCE!$BV435,"")</f>
        <v/>
      </c>
      <c r="Q435" t="str">
        <f>IF(DONNEES_SOURCE!$CA435=TRUE,IFERROR(MATCH(DONNEES_SOURCE!$B435,{"2. Très rarement (Moins d'une fois par mois)","3. Rarement (1 à 3 fois par mois)","4. Parfois (Environ une fois par semaine)","5. Régulièrement (Plusieurs fois par semaine)","6. Quotidiennement (Une fois par jour)","7. Très fréquemment (Plusieurs fois par jour)"},0)+1,""),"")</f>
        <v/>
      </c>
      <c r="R435" t="str">
        <f>IF(DONNEES_SOURCE!$CA435=TRUE,DONNEES_SOURCE!$BW435,"")</f>
        <v/>
      </c>
      <c r="S435" t="str">
        <f>IF(DONNEES_SOURCE!$CA435=TRUE,DONNEES_SOURCE!$AU435,"")</f>
        <v/>
      </c>
      <c r="T435" t="str">
        <f>IF(DONNEES_SOURCE!$CA435=TRUE,DONNEES_SOURCE!$BW435,"")</f>
        <v/>
      </c>
      <c r="U435" t="str">
        <f>IF(DONNEES_SOURCE!$CA435=TRUE,IFERROR(MATCH(DONNEES_SOURCE!$B435,{"2. Très rarement (Moins d'une fois par mois)","3. Rarement (1 à 3 fois par mois)","4. Parfois (Environ une fois par semaine)","5. Régulièrement (Plusieurs fois par semaine)","6. Quotidiennement (Une fois par jour)","7. Très fréquemment (Plusieurs fois par jour)"},0)+1,""),"")</f>
        <v/>
      </c>
    </row>
    <row r="436" spans="16:21" x14ac:dyDescent="0.25">
      <c r="P436" t="str">
        <f>IF(DONNEES_SOURCE!$CA436=TRUE,DONNEES_SOURCE!$BV436,"")</f>
        <v/>
      </c>
      <c r="Q436" t="str">
        <f>IF(DONNEES_SOURCE!$CA436=TRUE,IFERROR(MATCH(DONNEES_SOURCE!$B436,{"2. Très rarement (Moins d'une fois par mois)","3. Rarement (1 à 3 fois par mois)","4. Parfois (Environ une fois par semaine)","5. Régulièrement (Plusieurs fois par semaine)","6. Quotidiennement (Une fois par jour)","7. Très fréquemment (Plusieurs fois par jour)"},0)+1,""),"")</f>
        <v/>
      </c>
      <c r="R436" t="str">
        <f>IF(DONNEES_SOURCE!$CA436=TRUE,DONNEES_SOURCE!$BW436,"")</f>
        <v/>
      </c>
      <c r="S436" t="str">
        <f>IF(DONNEES_SOURCE!$CA436=TRUE,DONNEES_SOURCE!$AU436,"")</f>
        <v/>
      </c>
      <c r="T436" t="str">
        <f>IF(DONNEES_SOURCE!$CA436=TRUE,DONNEES_SOURCE!$BW436,"")</f>
        <v/>
      </c>
      <c r="U436" t="str">
        <f>IF(DONNEES_SOURCE!$CA436=TRUE,IFERROR(MATCH(DONNEES_SOURCE!$B436,{"2. Très rarement (Moins d'une fois par mois)","3. Rarement (1 à 3 fois par mois)","4. Parfois (Environ une fois par semaine)","5. Régulièrement (Plusieurs fois par semaine)","6. Quotidiennement (Une fois par jour)","7. Très fréquemment (Plusieurs fois par jour)"},0)+1,""),"")</f>
        <v/>
      </c>
    </row>
    <row r="437" spans="16:21" x14ac:dyDescent="0.25">
      <c r="P437" t="str">
        <f>IF(DONNEES_SOURCE!$CA437=TRUE,DONNEES_SOURCE!$BV437,"")</f>
        <v/>
      </c>
      <c r="Q437" t="str">
        <f>IF(DONNEES_SOURCE!$CA437=TRUE,IFERROR(MATCH(DONNEES_SOURCE!$B437,{"2. Très rarement (Moins d'une fois par mois)","3. Rarement (1 à 3 fois par mois)","4. Parfois (Environ une fois par semaine)","5. Régulièrement (Plusieurs fois par semaine)","6. Quotidiennement (Une fois par jour)","7. Très fréquemment (Plusieurs fois par jour)"},0)+1,""),"")</f>
        <v/>
      </c>
      <c r="R437" t="str">
        <f>IF(DONNEES_SOURCE!$CA437=TRUE,DONNEES_SOURCE!$BW437,"")</f>
        <v/>
      </c>
      <c r="S437" t="str">
        <f>IF(DONNEES_SOURCE!$CA437=TRUE,DONNEES_SOURCE!$AU437,"")</f>
        <v/>
      </c>
      <c r="T437" t="str">
        <f>IF(DONNEES_SOURCE!$CA437=TRUE,DONNEES_SOURCE!$BW437,"")</f>
        <v/>
      </c>
      <c r="U437" t="str">
        <f>IF(DONNEES_SOURCE!$CA437=TRUE,IFERROR(MATCH(DONNEES_SOURCE!$B437,{"2. Très rarement (Moins d'une fois par mois)","3. Rarement (1 à 3 fois par mois)","4. Parfois (Environ une fois par semaine)","5. Régulièrement (Plusieurs fois par semaine)","6. Quotidiennement (Une fois par jour)","7. Très fréquemment (Plusieurs fois par jour)"},0)+1,""),"")</f>
        <v/>
      </c>
    </row>
    <row r="438" spans="16:21" x14ac:dyDescent="0.25">
      <c r="P438" t="str">
        <f>IF(DONNEES_SOURCE!$CA438=TRUE,DONNEES_SOURCE!$BV438,"")</f>
        <v/>
      </c>
      <c r="Q438" t="str">
        <f>IF(DONNEES_SOURCE!$CA438=TRUE,IFERROR(MATCH(DONNEES_SOURCE!$B438,{"2. Très rarement (Moins d'une fois par mois)","3. Rarement (1 à 3 fois par mois)","4. Parfois (Environ une fois par semaine)","5. Régulièrement (Plusieurs fois par semaine)","6. Quotidiennement (Une fois par jour)","7. Très fréquemment (Plusieurs fois par jour)"},0)+1,""),"")</f>
        <v/>
      </c>
      <c r="R438" t="str">
        <f>IF(DONNEES_SOURCE!$CA438=TRUE,DONNEES_SOURCE!$BW438,"")</f>
        <v/>
      </c>
      <c r="S438" t="str">
        <f>IF(DONNEES_SOURCE!$CA438=TRUE,DONNEES_SOURCE!$AU438,"")</f>
        <v/>
      </c>
      <c r="T438" t="str">
        <f>IF(DONNEES_SOURCE!$CA438=TRUE,DONNEES_SOURCE!$BW438,"")</f>
        <v/>
      </c>
      <c r="U438" t="str">
        <f>IF(DONNEES_SOURCE!$CA438=TRUE,IFERROR(MATCH(DONNEES_SOURCE!$B438,{"2. Très rarement (Moins d'une fois par mois)","3. Rarement (1 à 3 fois par mois)","4. Parfois (Environ une fois par semaine)","5. Régulièrement (Plusieurs fois par semaine)","6. Quotidiennement (Une fois par jour)","7. Très fréquemment (Plusieurs fois par jour)"},0)+1,""),"")</f>
        <v/>
      </c>
    </row>
    <row r="439" spans="16:21" x14ac:dyDescent="0.25">
      <c r="P439" t="str">
        <f>IF(DONNEES_SOURCE!$CA439=TRUE,DONNEES_SOURCE!$BV439,"")</f>
        <v/>
      </c>
      <c r="Q439" t="str">
        <f>IF(DONNEES_SOURCE!$CA439=TRUE,IFERROR(MATCH(DONNEES_SOURCE!$B439,{"2. Très rarement (Moins d'une fois par mois)","3. Rarement (1 à 3 fois par mois)","4. Parfois (Environ une fois par semaine)","5. Régulièrement (Plusieurs fois par semaine)","6. Quotidiennement (Une fois par jour)","7. Très fréquemment (Plusieurs fois par jour)"},0)+1,""),"")</f>
        <v/>
      </c>
      <c r="R439" t="str">
        <f>IF(DONNEES_SOURCE!$CA439=TRUE,DONNEES_SOURCE!$BW439,"")</f>
        <v/>
      </c>
      <c r="S439" t="str">
        <f>IF(DONNEES_SOURCE!$CA439=TRUE,DONNEES_SOURCE!$AU439,"")</f>
        <v/>
      </c>
      <c r="T439" t="str">
        <f>IF(DONNEES_SOURCE!$CA439=TRUE,DONNEES_SOURCE!$BW439,"")</f>
        <v/>
      </c>
      <c r="U439" t="str">
        <f>IF(DONNEES_SOURCE!$CA439=TRUE,IFERROR(MATCH(DONNEES_SOURCE!$B439,{"2. Très rarement (Moins d'une fois par mois)","3. Rarement (1 à 3 fois par mois)","4. Parfois (Environ une fois par semaine)","5. Régulièrement (Plusieurs fois par semaine)","6. Quotidiennement (Une fois par jour)","7. Très fréquemment (Plusieurs fois par jour)"},0)+1,""),"")</f>
        <v/>
      </c>
    </row>
    <row r="440" spans="16:21" x14ac:dyDescent="0.25">
      <c r="P440" t="str">
        <f>IF(DONNEES_SOURCE!$CA440=TRUE,DONNEES_SOURCE!$BV440,"")</f>
        <v/>
      </c>
      <c r="Q440" t="str">
        <f>IF(DONNEES_SOURCE!$CA440=TRUE,IFERROR(MATCH(DONNEES_SOURCE!$B440,{"2. Très rarement (Moins d'une fois par mois)","3. Rarement (1 à 3 fois par mois)","4. Parfois (Environ une fois par semaine)","5. Régulièrement (Plusieurs fois par semaine)","6. Quotidiennement (Une fois par jour)","7. Très fréquemment (Plusieurs fois par jour)"},0)+1,""),"")</f>
        <v/>
      </c>
      <c r="R440" t="str">
        <f>IF(DONNEES_SOURCE!$CA440=TRUE,DONNEES_SOURCE!$BW440,"")</f>
        <v/>
      </c>
      <c r="S440" t="str">
        <f>IF(DONNEES_SOURCE!$CA440=TRUE,DONNEES_SOURCE!$AU440,"")</f>
        <v/>
      </c>
      <c r="T440" t="str">
        <f>IF(DONNEES_SOURCE!$CA440=TRUE,DONNEES_SOURCE!$BW440,"")</f>
        <v/>
      </c>
      <c r="U440" t="str">
        <f>IF(DONNEES_SOURCE!$CA440=TRUE,IFERROR(MATCH(DONNEES_SOURCE!$B440,{"2. Très rarement (Moins d'une fois par mois)","3. Rarement (1 à 3 fois par mois)","4. Parfois (Environ une fois par semaine)","5. Régulièrement (Plusieurs fois par semaine)","6. Quotidiennement (Une fois par jour)","7. Très fréquemment (Plusieurs fois par jour)"},0)+1,""),"")</f>
        <v/>
      </c>
    </row>
    <row r="441" spans="16:21" x14ac:dyDescent="0.25">
      <c r="P441" t="str">
        <f>IF(DONNEES_SOURCE!$CA441=TRUE,DONNEES_SOURCE!$BV441,"")</f>
        <v/>
      </c>
      <c r="Q441" t="str">
        <f>IF(DONNEES_SOURCE!$CA441=TRUE,IFERROR(MATCH(DONNEES_SOURCE!$B441,{"2. Très rarement (Moins d'une fois par mois)","3. Rarement (1 à 3 fois par mois)","4. Parfois (Environ une fois par semaine)","5. Régulièrement (Plusieurs fois par semaine)","6. Quotidiennement (Une fois par jour)","7. Très fréquemment (Plusieurs fois par jour)"},0)+1,""),"")</f>
        <v/>
      </c>
      <c r="R441" t="str">
        <f>IF(DONNEES_SOURCE!$CA441=TRUE,DONNEES_SOURCE!$BW441,"")</f>
        <v/>
      </c>
      <c r="S441" t="str">
        <f>IF(DONNEES_SOURCE!$CA441=TRUE,DONNEES_SOURCE!$AU441,"")</f>
        <v/>
      </c>
      <c r="T441" t="str">
        <f>IF(DONNEES_SOURCE!$CA441=TRUE,DONNEES_SOURCE!$BW441,"")</f>
        <v/>
      </c>
      <c r="U441" t="str">
        <f>IF(DONNEES_SOURCE!$CA441=TRUE,IFERROR(MATCH(DONNEES_SOURCE!$B441,{"2. Très rarement (Moins d'une fois par mois)","3. Rarement (1 à 3 fois par mois)","4. Parfois (Environ une fois par semaine)","5. Régulièrement (Plusieurs fois par semaine)","6. Quotidiennement (Une fois par jour)","7. Très fréquemment (Plusieurs fois par jour)"},0)+1,""),"")</f>
        <v/>
      </c>
    </row>
    <row r="442" spans="16:21" x14ac:dyDescent="0.25">
      <c r="P442" t="str">
        <f>IF(DONNEES_SOURCE!$CA442=TRUE,DONNEES_SOURCE!$BV442,"")</f>
        <v/>
      </c>
      <c r="Q442" t="str">
        <f>IF(DONNEES_SOURCE!$CA442=TRUE,IFERROR(MATCH(DONNEES_SOURCE!$B442,{"2. Très rarement (Moins d'une fois par mois)","3. Rarement (1 à 3 fois par mois)","4. Parfois (Environ une fois par semaine)","5. Régulièrement (Plusieurs fois par semaine)","6. Quotidiennement (Une fois par jour)","7. Très fréquemment (Plusieurs fois par jour)"},0)+1,""),"")</f>
        <v/>
      </c>
      <c r="R442" t="str">
        <f>IF(DONNEES_SOURCE!$CA442=TRUE,DONNEES_SOURCE!$BW442,"")</f>
        <v/>
      </c>
      <c r="S442" t="str">
        <f>IF(DONNEES_SOURCE!$CA442=TRUE,DONNEES_SOURCE!$AU442,"")</f>
        <v/>
      </c>
      <c r="T442" t="str">
        <f>IF(DONNEES_SOURCE!$CA442=TRUE,DONNEES_SOURCE!$BW442,"")</f>
        <v/>
      </c>
      <c r="U442" t="str">
        <f>IF(DONNEES_SOURCE!$CA442=TRUE,IFERROR(MATCH(DONNEES_SOURCE!$B442,{"2. Très rarement (Moins d'une fois par mois)","3. Rarement (1 à 3 fois par mois)","4. Parfois (Environ une fois par semaine)","5. Régulièrement (Plusieurs fois par semaine)","6. Quotidiennement (Une fois par jour)","7. Très fréquemment (Plusieurs fois par jour)"},0)+1,""),"")</f>
        <v/>
      </c>
    </row>
    <row r="443" spans="16:21" x14ac:dyDescent="0.25">
      <c r="P443" t="str">
        <f>IF(DONNEES_SOURCE!$CA443=TRUE,DONNEES_SOURCE!$BV443,"")</f>
        <v/>
      </c>
      <c r="Q443" t="str">
        <f>IF(DONNEES_SOURCE!$CA443=TRUE,IFERROR(MATCH(DONNEES_SOURCE!$B443,{"2. Très rarement (Moins d'une fois par mois)","3. Rarement (1 à 3 fois par mois)","4. Parfois (Environ une fois par semaine)","5. Régulièrement (Plusieurs fois par semaine)","6. Quotidiennement (Une fois par jour)","7. Très fréquemment (Plusieurs fois par jour)"},0)+1,""),"")</f>
        <v/>
      </c>
      <c r="R443" t="str">
        <f>IF(DONNEES_SOURCE!$CA443=TRUE,DONNEES_SOURCE!$BW443,"")</f>
        <v/>
      </c>
      <c r="S443" t="str">
        <f>IF(DONNEES_SOURCE!$CA443=TRUE,DONNEES_SOURCE!$AU443,"")</f>
        <v/>
      </c>
      <c r="T443" t="str">
        <f>IF(DONNEES_SOURCE!$CA443=TRUE,DONNEES_SOURCE!$BW443,"")</f>
        <v/>
      </c>
      <c r="U443" t="str">
        <f>IF(DONNEES_SOURCE!$CA443=TRUE,IFERROR(MATCH(DONNEES_SOURCE!$B443,{"2. Très rarement (Moins d'une fois par mois)","3. Rarement (1 à 3 fois par mois)","4. Parfois (Environ une fois par semaine)","5. Régulièrement (Plusieurs fois par semaine)","6. Quotidiennement (Une fois par jour)","7. Très fréquemment (Plusieurs fois par jour)"},0)+1,""),"")</f>
        <v/>
      </c>
    </row>
    <row r="444" spans="16:21" x14ac:dyDescent="0.25">
      <c r="P444" t="str">
        <f>IF(DONNEES_SOURCE!$CA444=TRUE,DONNEES_SOURCE!$BV444,"")</f>
        <v/>
      </c>
      <c r="Q444" t="str">
        <f>IF(DONNEES_SOURCE!$CA444=TRUE,IFERROR(MATCH(DONNEES_SOURCE!$B444,{"2. Très rarement (Moins d'une fois par mois)","3. Rarement (1 à 3 fois par mois)","4. Parfois (Environ une fois par semaine)","5. Régulièrement (Plusieurs fois par semaine)","6. Quotidiennement (Une fois par jour)","7. Très fréquemment (Plusieurs fois par jour)"},0)+1,""),"")</f>
        <v/>
      </c>
      <c r="R444" t="str">
        <f>IF(DONNEES_SOURCE!$CA444=TRUE,DONNEES_SOURCE!$BW444,"")</f>
        <v/>
      </c>
      <c r="S444" t="str">
        <f>IF(DONNEES_SOURCE!$CA444=TRUE,DONNEES_SOURCE!$AU444,"")</f>
        <v/>
      </c>
      <c r="T444" t="str">
        <f>IF(DONNEES_SOURCE!$CA444=TRUE,DONNEES_SOURCE!$BW444,"")</f>
        <v/>
      </c>
      <c r="U444" t="str">
        <f>IF(DONNEES_SOURCE!$CA444=TRUE,IFERROR(MATCH(DONNEES_SOURCE!$B444,{"2. Très rarement (Moins d'une fois par mois)","3. Rarement (1 à 3 fois par mois)","4. Parfois (Environ une fois par semaine)","5. Régulièrement (Plusieurs fois par semaine)","6. Quotidiennement (Une fois par jour)","7. Très fréquemment (Plusieurs fois par jour)"},0)+1,""),"")</f>
        <v/>
      </c>
    </row>
    <row r="445" spans="16:21" x14ac:dyDescent="0.25">
      <c r="P445" t="str">
        <f>IF(DONNEES_SOURCE!$CA445=TRUE,DONNEES_SOURCE!$BV445,"")</f>
        <v/>
      </c>
      <c r="Q445" t="str">
        <f>IF(DONNEES_SOURCE!$CA445=TRUE,IFERROR(MATCH(DONNEES_SOURCE!$B445,{"2. Très rarement (Moins d'une fois par mois)","3. Rarement (1 à 3 fois par mois)","4. Parfois (Environ une fois par semaine)","5. Régulièrement (Plusieurs fois par semaine)","6. Quotidiennement (Une fois par jour)","7. Très fréquemment (Plusieurs fois par jour)"},0)+1,""),"")</f>
        <v/>
      </c>
      <c r="R445" t="str">
        <f>IF(DONNEES_SOURCE!$CA445=TRUE,DONNEES_SOURCE!$BW445,"")</f>
        <v/>
      </c>
      <c r="S445" t="str">
        <f>IF(DONNEES_SOURCE!$CA445=TRUE,DONNEES_SOURCE!$AU445,"")</f>
        <v/>
      </c>
      <c r="T445" t="str">
        <f>IF(DONNEES_SOURCE!$CA445=TRUE,DONNEES_SOURCE!$BW445,"")</f>
        <v/>
      </c>
      <c r="U445" t="str">
        <f>IF(DONNEES_SOURCE!$CA445=TRUE,IFERROR(MATCH(DONNEES_SOURCE!$B445,{"2. Très rarement (Moins d'une fois par mois)","3. Rarement (1 à 3 fois par mois)","4. Parfois (Environ une fois par semaine)","5. Régulièrement (Plusieurs fois par semaine)","6. Quotidiennement (Une fois par jour)","7. Très fréquemment (Plusieurs fois par jour)"},0)+1,""),"")</f>
        <v/>
      </c>
    </row>
    <row r="446" spans="16:21" x14ac:dyDescent="0.25">
      <c r="P446" t="str">
        <f>IF(DONNEES_SOURCE!$CA446=TRUE,DONNEES_SOURCE!$BV446,"")</f>
        <v/>
      </c>
      <c r="Q446" t="str">
        <f>IF(DONNEES_SOURCE!$CA446=TRUE,IFERROR(MATCH(DONNEES_SOURCE!$B446,{"2. Très rarement (Moins d'une fois par mois)","3. Rarement (1 à 3 fois par mois)","4. Parfois (Environ une fois par semaine)","5. Régulièrement (Plusieurs fois par semaine)","6. Quotidiennement (Une fois par jour)","7. Très fréquemment (Plusieurs fois par jour)"},0)+1,""),"")</f>
        <v/>
      </c>
      <c r="R446" t="str">
        <f>IF(DONNEES_SOURCE!$CA446=TRUE,DONNEES_SOURCE!$BW446,"")</f>
        <v/>
      </c>
      <c r="S446" t="str">
        <f>IF(DONNEES_SOURCE!$CA446=TRUE,DONNEES_SOURCE!$AU446,"")</f>
        <v/>
      </c>
      <c r="T446" t="str">
        <f>IF(DONNEES_SOURCE!$CA446=TRUE,DONNEES_SOURCE!$BW446,"")</f>
        <v/>
      </c>
      <c r="U446" t="str">
        <f>IF(DONNEES_SOURCE!$CA446=TRUE,IFERROR(MATCH(DONNEES_SOURCE!$B446,{"2. Très rarement (Moins d'une fois par mois)","3. Rarement (1 à 3 fois par mois)","4. Parfois (Environ une fois par semaine)","5. Régulièrement (Plusieurs fois par semaine)","6. Quotidiennement (Une fois par jour)","7. Très fréquemment (Plusieurs fois par jour)"},0)+1,""),"")</f>
        <v/>
      </c>
    </row>
    <row r="447" spans="16:21" x14ac:dyDescent="0.25">
      <c r="P447" t="str">
        <f>IF(DONNEES_SOURCE!$CA447=TRUE,DONNEES_SOURCE!$BV447,"")</f>
        <v/>
      </c>
      <c r="Q447" t="str">
        <f>IF(DONNEES_SOURCE!$CA447=TRUE,IFERROR(MATCH(DONNEES_SOURCE!$B447,{"2. Très rarement (Moins d'une fois par mois)","3. Rarement (1 à 3 fois par mois)","4. Parfois (Environ une fois par semaine)","5. Régulièrement (Plusieurs fois par semaine)","6. Quotidiennement (Une fois par jour)","7. Très fréquemment (Plusieurs fois par jour)"},0)+1,""),"")</f>
        <v/>
      </c>
      <c r="R447" t="str">
        <f>IF(DONNEES_SOURCE!$CA447=TRUE,DONNEES_SOURCE!$BW447,"")</f>
        <v/>
      </c>
      <c r="S447" t="str">
        <f>IF(DONNEES_SOURCE!$CA447=TRUE,DONNEES_SOURCE!$AU447,"")</f>
        <v/>
      </c>
      <c r="T447" t="str">
        <f>IF(DONNEES_SOURCE!$CA447=TRUE,DONNEES_SOURCE!$BW447,"")</f>
        <v/>
      </c>
      <c r="U447" t="str">
        <f>IF(DONNEES_SOURCE!$CA447=TRUE,IFERROR(MATCH(DONNEES_SOURCE!$B447,{"2. Très rarement (Moins d'une fois par mois)","3. Rarement (1 à 3 fois par mois)","4. Parfois (Environ une fois par semaine)","5. Régulièrement (Plusieurs fois par semaine)","6. Quotidiennement (Une fois par jour)","7. Très fréquemment (Plusieurs fois par jour)"},0)+1,""),"")</f>
        <v/>
      </c>
    </row>
    <row r="448" spans="16:21" x14ac:dyDescent="0.25">
      <c r="P448" t="str">
        <f>IF(DONNEES_SOURCE!$CA448=TRUE,DONNEES_SOURCE!$BV448,"")</f>
        <v/>
      </c>
      <c r="Q448" t="str">
        <f>IF(DONNEES_SOURCE!$CA448=TRUE,IFERROR(MATCH(DONNEES_SOURCE!$B448,{"2. Très rarement (Moins d'une fois par mois)","3. Rarement (1 à 3 fois par mois)","4. Parfois (Environ une fois par semaine)","5. Régulièrement (Plusieurs fois par semaine)","6. Quotidiennement (Une fois par jour)","7. Très fréquemment (Plusieurs fois par jour)"},0)+1,""),"")</f>
        <v/>
      </c>
      <c r="R448" t="str">
        <f>IF(DONNEES_SOURCE!$CA448=TRUE,DONNEES_SOURCE!$BW448,"")</f>
        <v/>
      </c>
      <c r="S448" t="str">
        <f>IF(DONNEES_SOURCE!$CA448=TRUE,DONNEES_SOURCE!$AU448,"")</f>
        <v/>
      </c>
      <c r="T448" t="str">
        <f>IF(DONNEES_SOURCE!$CA448=TRUE,DONNEES_SOURCE!$BW448,"")</f>
        <v/>
      </c>
      <c r="U448" t="str">
        <f>IF(DONNEES_SOURCE!$CA448=TRUE,IFERROR(MATCH(DONNEES_SOURCE!$B448,{"2. Très rarement (Moins d'une fois par mois)","3. Rarement (1 à 3 fois par mois)","4. Parfois (Environ une fois par semaine)","5. Régulièrement (Plusieurs fois par semaine)","6. Quotidiennement (Une fois par jour)","7. Très fréquemment (Plusieurs fois par jour)"},0)+1,""),"")</f>
        <v/>
      </c>
    </row>
    <row r="449" spans="16:21" x14ac:dyDescent="0.25">
      <c r="P449" t="str">
        <f>IF(DONNEES_SOURCE!$CA449=TRUE,DONNEES_SOURCE!$BV449,"")</f>
        <v/>
      </c>
      <c r="Q449" t="str">
        <f>IF(DONNEES_SOURCE!$CA449=TRUE,IFERROR(MATCH(DONNEES_SOURCE!$B449,{"2. Très rarement (Moins d'une fois par mois)","3. Rarement (1 à 3 fois par mois)","4. Parfois (Environ une fois par semaine)","5. Régulièrement (Plusieurs fois par semaine)","6. Quotidiennement (Une fois par jour)","7. Très fréquemment (Plusieurs fois par jour)"},0)+1,""),"")</f>
        <v/>
      </c>
      <c r="R449" t="str">
        <f>IF(DONNEES_SOURCE!$CA449=TRUE,DONNEES_SOURCE!$BW449,"")</f>
        <v/>
      </c>
      <c r="S449" t="str">
        <f>IF(DONNEES_SOURCE!$CA449=TRUE,DONNEES_SOURCE!$AU449,"")</f>
        <v/>
      </c>
      <c r="T449" t="str">
        <f>IF(DONNEES_SOURCE!$CA449=TRUE,DONNEES_SOURCE!$BW449,"")</f>
        <v/>
      </c>
      <c r="U449" t="str">
        <f>IF(DONNEES_SOURCE!$CA449=TRUE,IFERROR(MATCH(DONNEES_SOURCE!$B449,{"2. Très rarement (Moins d'une fois par mois)","3. Rarement (1 à 3 fois par mois)","4. Parfois (Environ une fois par semaine)","5. Régulièrement (Plusieurs fois par semaine)","6. Quotidiennement (Une fois par jour)","7. Très fréquemment (Plusieurs fois par jour)"},0)+1,""),"")</f>
        <v/>
      </c>
    </row>
    <row r="450" spans="16:21" x14ac:dyDescent="0.25">
      <c r="P450" t="str">
        <f>IF(DONNEES_SOURCE!$CA450=TRUE,DONNEES_SOURCE!$BV450,"")</f>
        <v/>
      </c>
      <c r="Q450" t="str">
        <f>IF(DONNEES_SOURCE!$CA450=TRUE,IFERROR(MATCH(DONNEES_SOURCE!$B450,{"2. Très rarement (Moins d'une fois par mois)","3. Rarement (1 à 3 fois par mois)","4. Parfois (Environ une fois par semaine)","5. Régulièrement (Plusieurs fois par semaine)","6. Quotidiennement (Une fois par jour)","7. Très fréquemment (Plusieurs fois par jour)"},0)+1,""),"")</f>
        <v/>
      </c>
      <c r="R450" t="str">
        <f>IF(DONNEES_SOURCE!$CA450=TRUE,DONNEES_SOURCE!$BW450,"")</f>
        <v/>
      </c>
      <c r="S450" t="str">
        <f>IF(DONNEES_SOURCE!$CA450=TRUE,DONNEES_SOURCE!$AU450,"")</f>
        <v/>
      </c>
      <c r="T450" t="str">
        <f>IF(DONNEES_SOURCE!$CA450=TRUE,DONNEES_SOURCE!$BW450,"")</f>
        <v/>
      </c>
      <c r="U450" t="str">
        <f>IF(DONNEES_SOURCE!$CA450=TRUE,IFERROR(MATCH(DONNEES_SOURCE!$B450,{"2. Très rarement (Moins d'une fois par mois)","3. Rarement (1 à 3 fois par mois)","4. Parfois (Environ une fois par semaine)","5. Régulièrement (Plusieurs fois par semaine)","6. Quotidiennement (Une fois par jour)","7. Très fréquemment (Plusieurs fois par jour)"},0)+1,""),"")</f>
        <v/>
      </c>
    </row>
    <row r="451" spans="16:21" x14ac:dyDescent="0.25">
      <c r="P451" t="str">
        <f>IF(DONNEES_SOURCE!$CA451=TRUE,DONNEES_SOURCE!$BV451,"")</f>
        <v/>
      </c>
      <c r="Q451" t="str">
        <f>IF(DONNEES_SOURCE!$CA451=TRUE,IFERROR(MATCH(DONNEES_SOURCE!$B451,{"2. Très rarement (Moins d'une fois par mois)","3. Rarement (1 à 3 fois par mois)","4. Parfois (Environ une fois par semaine)","5. Régulièrement (Plusieurs fois par semaine)","6. Quotidiennement (Une fois par jour)","7. Très fréquemment (Plusieurs fois par jour)"},0)+1,""),"")</f>
        <v/>
      </c>
      <c r="R451" t="str">
        <f>IF(DONNEES_SOURCE!$CA451=TRUE,DONNEES_SOURCE!$BW451,"")</f>
        <v/>
      </c>
      <c r="S451" t="str">
        <f>IF(DONNEES_SOURCE!$CA451=TRUE,DONNEES_SOURCE!$AU451,"")</f>
        <v/>
      </c>
      <c r="T451" t="str">
        <f>IF(DONNEES_SOURCE!$CA451=TRUE,DONNEES_SOURCE!$BW451,"")</f>
        <v/>
      </c>
      <c r="U451" t="str">
        <f>IF(DONNEES_SOURCE!$CA451=TRUE,IFERROR(MATCH(DONNEES_SOURCE!$B451,{"2. Très rarement (Moins d'une fois par mois)","3. Rarement (1 à 3 fois par mois)","4. Parfois (Environ une fois par semaine)","5. Régulièrement (Plusieurs fois par semaine)","6. Quotidiennement (Une fois par jour)","7. Très fréquemment (Plusieurs fois par jour)"},0)+1,""),"")</f>
        <v/>
      </c>
    </row>
    <row r="452" spans="16:21" x14ac:dyDescent="0.25">
      <c r="P452" t="str">
        <f>IF(DONNEES_SOURCE!$CA452=TRUE,DONNEES_SOURCE!$BV452,"")</f>
        <v/>
      </c>
      <c r="Q452" t="str">
        <f>IF(DONNEES_SOURCE!$CA452=TRUE,IFERROR(MATCH(DONNEES_SOURCE!$B452,{"2. Très rarement (Moins d'une fois par mois)","3. Rarement (1 à 3 fois par mois)","4. Parfois (Environ une fois par semaine)","5. Régulièrement (Plusieurs fois par semaine)","6. Quotidiennement (Une fois par jour)","7. Très fréquemment (Plusieurs fois par jour)"},0)+1,""),"")</f>
        <v/>
      </c>
      <c r="R452" t="str">
        <f>IF(DONNEES_SOURCE!$CA452=TRUE,DONNEES_SOURCE!$BW452,"")</f>
        <v/>
      </c>
      <c r="S452" t="str">
        <f>IF(DONNEES_SOURCE!$CA452=TRUE,DONNEES_SOURCE!$AU452,"")</f>
        <v/>
      </c>
      <c r="T452" t="str">
        <f>IF(DONNEES_SOURCE!$CA452=TRUE,DONNEES_SOURCE!$BW452,"")</f>
        <v/>
      </c>
      <c r="U452" t="str">
        <f>IF(DONNEES_SOURCE!$CA452=TRUE,IFERROR(MATCH(DONNEES_SOURCE!$B452,{"2. Très rarement (Moins d'une fois par mois)","3. Rarement (1 à 3 fois par mois)","4. Parfois (Environ une fois par semaine)","5. Régulièrement (Plusieurs fois par semaine)","6. Quotidiennement (Une fois par jour)","7. Très fréquemment (Plusieurs fois par jour)"},0)+1,""),"")</f>
        <v/>
      </c>
    </row>
    <row r="453" spans="16:21" x14ac:dyDescent="0.25">
      <c r="P453" t="str">
        <f>IF(DONNEES_SOURCE!$CA453=TRUE,DONNEES_SOURCE!$BV453,"")</f>
        <v/>
      </c>
      <c r="Q453" t="str">
        <f>IF(DONNEES_SOURCE!$CA453=TRUE,IFERROR(MATCH(DONNEES_SOURCE!$B453,{"2. Très rarement (Moins d'une fois par mois)","3. Rarement (1 à 3 fois par mois)","4. Parfois (Environ une fois par semaine)","5. Régulièrement (Plusieurs fois par semaine)","6. Quotidiennement (Une fois par jour)","7. Très fréquemment (Plusieurs fois par jour)"},0)+1,""),"")</f>
        <v/>
      </c>
      <c r="R453" t="str">
        <f>IF(DONNEES_SOURCE!$CA453=TRUE,DONNEES_SOURCE!$BW453,"")</f>
        <v/>
      </c>
      <c r="S453" t="str">
        <f>IF(DONNEES_SOURCE!$CA453=TRUE,DONNEES_SOURCE!$AU453,"")</f>
        <v/>
      </c>
      <c r="T453" t="str">
        <f>IF(DONNEES_SOURCE!$CA453=TRUE,DONNEES_SOURCE!$BW453,"")</f>
        <v/>
      </c>
      <c r="U453" t="str">
        <f>IF(DONNEES_SOURCE!$CA453=TRUE,IFERROR(MATCH(DONNEES_SOURCE!$B453,{"2. Très rarement (Moins d'une fois par mois)","3. Rarement (1 à 3 fois par mois)","4. Parfois (Environ une fois par semaine)","5. Régulièrement (Plusieurs fois par semaine)","6. Quotidiennement (Une fois par jour)","7. Très fréquemment (Plusieurs fois par jour)"},0)+1,""),"")</f>
        <v/>
      </c>
    </row>
    <row r="454" spans="16:21" x14ac:dyDescent="0.25">
      <c r="P454" t="str">
        <f>IF(DONNEES_SOURCE!$CA454=TRUE,DONNEES_SOURCE!$BV454,"")</f>
        <v/>
      </c>
      <c r="Q454" t="str">
        <f>IF(DONNEES_SOURCE!$CA454=TRUE,IFERROR(MATCH(DONNEES_SOURCE!$B454,{"2. Très rarement (Moins d'une fois par mois)","3. Rarement (1 à 3 fois par mois)","4. Parfois (Environ une fois par semaine)","5. Régulièrement (Plusieurs fois par semaine)","6. Quotidiennement (Une fois par jour)","7. Très fréquemment (Plusieurs fois par jour)"},0)+1,""),"")</f>
        <v/>
      </c>
      <c r="R454" t="str">
        <f>IF(DONNEES_SOURCE!$CA454=TRUE,DONNEES_SOURCE!$BW454,"")</f>
        <v/>
      </c>
      <c r="S454" t="str">
        <f>IF(DONNEES_SOURCE!$CA454=TRUE,DONNEES_SOURCE!$AU454,"")</f>
        <v/>
      </c>
      <c r="T454" t="str">
        <f>IF(DONNEES_SOURCE!$CA454=TRUE,DONNEES_SOURCE!$BW454,"")</f>
        <v/>
      </c>
      <c r="U454" t="str">
        <f>IF(DONNEES_SOURCE!$CA454=TRUE,IFERROR(MATCH(DONNEES_SOURCE!$B454,{"2. Très rarement (Moins d'une fois par mois)","3. Rarement (1 à 3 fois par mois)","4. Parfois (Environ une fois par semaine)","5. Régulièrement (Plusieurs fois par semaine)","6. Quotidiennement (Une fois par jour)","7. Très fréquemment (Plusieurs fois par jour)"},0)+1,""),"")</f>
        <v/>
      </c>
    </row>
    <row r="455" spans="16:21" x14ac:dyDescent="0.25">
      <c r="P455" t="str">
        <f>IF(DONNEES_SOURCE!$CA455=TRUE,DONNEES_SOURCE!$BV455,"")</f>
        <v/>
      </c>
      <c r="Q455" t="str">
        <f>IF(DONNEES_SOURCE!$CA455=TRUE,IFERROR(MATCH(DONNEES_SOURCE!$B455,{"2. Très rarement (Moins d'une fois par mois)","3. Rarement (1 à 3 fois par mois)","4. Parfois (Environ une fois par semaine)","5. Régulièrement (Plusieurs fois par semaine)","6. Quotidiennement (Une fois par jour)","7. Très fréquemment (Plusieurs fois par jour)"},0)+1,""),"")</f>
        <v/>
      </c>
      <c r="R455" t="str">
        <f>IF(DONNEES_SOURCE!$CA455=TRUE,DONNEES_SOURCE!$BW455,"")</f>
        <v/>
      </c>
      <c r="S455" t="str">
        <f>IF(DONNEES_SOURCE!$CA455=TRUE,DONNEES_SOURCE!$AU455,"")</f>
        <v/>
      </c>
      <c r="T455" t="str">
        <f>IF(DONNEES_SOURCE!$CA455=TRUE,DONNEES_SOURCE!$BW455,"")</f>
        <v/>
      </c>
      <c r="U455" t="str">
        <f>IF(DONNEES_SOURCE!$CA455=TRUE,IFERROR(MATCH(DONNEES_SOURCE!$B455,{"2. Très rarement (Moins d'une fois par mois)","3. Rarement (1 à 3 fois par mois)","4. Parfois (Environ une fois par semaine)","5. Régulièrement (Plusieurs fois par semaine)","6. Quotidiennement (Une fois par jour)","7. Très fréquemment (Plusieurs fois par jour)"},0)+1,""),"")</f>
        <v/>
      </c>
    </row>
    <row r="456" spans="16:21" x14ac:dyDescent="0.25">
      <c r="P456" t="str">
        <f>IF(DONNEES_SOURCE!$CA456=TRUE,DONNEES_SOURCE!$BV456,"")</f>
        <v/>
      </c>
      <c r="Q456" t="str">
        <f>IF(DONNEES_SOURCE!$CA456=TRUE,IFERROR(MATCH(DONNEES_SOURCE!$B456,{"2. Très rarement (Moins d'une fois par mois)","3. Rarement (1 à 3 fois par mois)","4. Parfois (Environ une fois par semaine)","5. Régulièrement (Plusieurs fois par semaine)","6. Quotidiennement (Une fois par jour)","7. Très fréquemment (Plusieurs fois par jour)"},0)+1,""),"")</f>
        <v/>
      </c>
      <c r="R456" t="str">
        <f>IF(DONNEES_SOURCE!$CA456=TRUE,DONNEES_SOURCE!$BW456,"")</f>
        <v/>
      </c>
      <c r="S456" t="str">
        <f>IF(DONNEES_SOURCE!$CA456=TRUE,DONNEES_SOURCE!$AU456,"")</f>
        <v/>
      </c>
      <c r="T456" t="str">
        <f>IF(DONNEES_SOURCE!$CA456=TRUE,DONNEES_SOURCE!$BW456,"")</f>
        <v/>
      </c>
      <c r="U456" t="str">
        <f>IF(DONNEES_SOURCE!$CA456=TRUE,IFERROR(MATCH(DONNEES_SOURCE!$B456,{"2. Très rarement (Moins d'une fois par mois)","3. Rarement (1 à 3 fois par mois)","4. Parfois (Environ une fois par semaine)","5. Régulièrement (Plusieurs fois par semaine)","6. Quotidiennement (Une fois par jour)","7. Très fréquemment (Plusieurs fois par jour)"},0)+1,""),"")</f>
        <v/>
      </c>
    </row>
    <row r="457" spans="16:21" x14ac:dyDescent="0.25">
      <c r="P457" t="str">
        <f>IF(DONNEES_SOURCE!$CA457=TRUE,DONNEES_SOURCE!$BV457,"")</f>
        <v/>
      </c>
      <c r="Q457" t="str">
        <f>IF(DONNEES_SOURCE!$CA457=TRUE,IFERROR(MATCH(DONNEES_SOURCE!$B457,{"2. Très rarement (Moins d'une fois par mois)","3. Rarement (1 à 3 fois par mois)","4. Parfois (Environ une fois par semaine)","5. Régulièrement (Plusieurs fois par semaine)","6. Quotidiennement (Une fois par jour)","7. Très fréquemment (Plusieurs fois par jour)"},0)+1,""),"")</f>
        <v/>
      </c>
      <c r="R457" t="str">
        <f>IF(DONNEES_SOURCE!$CA457=TRUE,DONNEES_SOURCE!$BW457,"")</f>
        <v/>
      </c>
      <c r="S457" t="str">
        <f>IF(DONNEES_SOURCE!$CA457=TRUE,DONNEES_SOURCE!$AU457,"")</f>
        <v/>
      </c>
      <c r="T457" t="str">
        <f>IF(DONNEES_SOURCE!$CA457=TRUE,DONNEES_SOURCE!$BW457,"")</f>
        <v/>
      </c>
      <c r="U457" t="str">
        <f>IF(DONNEES_SOURCE!$CA457=TRUE,IFERROR(MATCH(DONNEES_SOURCE!$B457,{"2. Très rarement (Moins d'une fois par mois)","3. Rarement (1 à 3 fois par mois)","4. Parfois (Environ une fois par semaine)","5. Régulièrement (Plusieurs fois par semaine)","6. Quotidiennement (Une fois par jour)","7. Très fréquemment (Plusieurs fois par jour)"},0)+1,""),"")</f>
        <v/>
      </c>
    </row>
    <row r="458" spans="16:21" x14ac:dyDescent="0.25">
      <c r="P458" t="str">
        <f>IF(DONNEES_SOURCE!$CA458=TRUE,DONNEES_SOURCE!$BV458,"")</f>
        <v/>
      </c>
      <c r="Q458" t="str">
        <f>IF(DONNEES_SOURCE!$CA458=TRUE,IFERROR(MATCH(DONNEES_SOURCE!$B458,{"2. Très rarement (Moins d'une fois par mois)","3. Rarement (1 à 3 fois par mois)","4. Parfois (Environ une fois par semaine)","5. Régulièrement (Plusieurs fois par semaine)","6. Quotidiennement (Une fois par jour)","7. Très fréquemment (Plusieurs fois par jour)"},0)+1,""),"")</f>
        <v/>
      </c>
      <c r="R458" t="str">
        <f>IF(DONNEES_SOURCE!$CA458=TRUE,DONNEES_SOURCE!$BW458,"")</f>
        <v/>
      </c>
      <c r="S458" t="str">
        <f>IF(DONNEES_SOURCE!$CA458=TRUE,DONNEES_SOURCE!$AU458,"")</f>
        <v/>
      </c>
      <c r="T458" t="str">
        <f>IF(DONNEES_SOURCE!$CA458=TRUE,DONNEES_SOURCE!$BW458,"")</f>
        <v/>
      </c>
      <c r="U458" t="str">
        <f>IF(DONNEES_SOURCE!$CA458=TRUE,IFERROR(MATCH(DONNEES_SOURCE!$B458,{"2. Très rarement (Moins d'une fois par mois)","3. Rarement (1 à 3 fois par mois)","4. Parfois (Environ une fois par semaine)","5. Régulièrement (Plusieurs fois par semaine)","6. Quotidiennement (Une fois par jour)","7. Très fréquemment (Plusieurs fois par jour)"},0)+1,""),"")</f>
        <v/>
      </c>
    </row>
    <row r="459" spans="16:21" x14ac:dyDescent="0.25">
      <c r="P459" t="str">
        <f>IF(DONNEES_SOURCE!$CA459=TRUE,DONNEES_SOURCE!$BV459,"")</f>
        <v/>
      </c>
      <c r="Q459" t="str">
        <f>IF(DONNEES_SOURCE!$CA459=TRUE,IFERROR(MATCH(DONNEES_SOURCE!$B459,{"2. Très rarement (Moins d'une fois par mois)","3. Rarement (1 à 3 fois par mois)","4. Parfois (Environ une fois par semaine)","5. Régulièrement (Plusieurs fois par semaine)","6. Quotidiennement (Une fois par jour)","7. Très fréquemment (Plusieurs fois par jour)"},0)+1,""),"")</f>
        <v/>
      </c>
      <c r="R459" t="str">
        <f>IF(DONNEES_SOURCE!$CA459=TRUE,DONNEES_SOURCE!$BW459,"")</f>
        <v/>
      </c>
      <c r="S459" t="str">
        <f>IF(DONNEES_SOURCE!$CA459=TRUE,DONNEES_SOURCE!$AU459,"")</f>
        <v/>
      </c>
      <c r="T459" t="str">
        <f>IF(DONNEES_SOURCE!$CA459=TRUE,DONNEES_SOURCE!$BW459,"")</f>
        <v/>
      </c>
      <c r="U459" t="str">
        <f>IF(DONNEES_SOURCE!$CA459=TRUE,IFERROR(MATCH(DONNEES_SOURCE!$B459,{"2. Très rarement (Moins d'une fois par mois)","3. Rarement (1 à 3 fois par mois)","4. Parfois (Environ une fois par semaine)","5. Régulièrement (Plusieurs fois par semaine)","6. Quotidiennement (Une fois par jour)","7. Très fréquemment (Plusieurs fois par jour)"},0)+1,""),"")</f>
        <v/>
      </c>
    </row>
    <row r="460" spans="16:21" x14ac:dyDescent="0.25">
      <c r="P460" t="str">
        <f>IF(DONNEES_SOURCE!$CA460=TRUE,DONNEES_SOURCE!$BV460,"")</f>
        <v/>
      </c>
      <c r="Q460" t="str">
        <f>IF(DONNEES_SOURCE!$CA460=TRUE,IFERROR(MATCH(DONNEES_SOURCE!$B460,{"2. Très rarement (Moins d'une fois par mois)","3. Rarement (1 à 3 fois par mois)","4. Parfois (Environ une fois par semaine)","5. Régulièrement (Plusieurs fois par semaine)","6. Quotidiennement (Une fois par jour)","7. Très fréquemment (Plusieurs fois par jour)"},0)+1,""),"")</f>
        <v/>
      </c>
      <c r="R460" t="str">
        <f>IF(DONNEES_SOURCE!$CA460=TRUE,DONNEES_SOURCE!$BW460,"")</f>
        <v/>
      </c>
      <c r="S460" t="str">
        <f>IF(DONNEES_SOURCE!$CA460=TRUE,DONNEES_SOURCE!$AU460,"")</f>
        <v/>
      </c>
      <c r="T460" t="str">
        <f>IF(DONNEES_SOURCE!$CA460=TRUE,DONNEES_SOURCE!$BW460,"")</f>
        <v/>
      </c>
      <c r="U460" t="str">
        <f>IF(DONNEES_SOURCE!$CA460=TRUE,IFERROR(MATCH(DONNEES_SOURCE!$B460,{"2. Très rarement (Moins d'une fois par mois)","3. Rarement (1 à 3 fois par mois)","4. Parfois (Environ une fois par semaine)","5. Régulièrement (Plusieurs fois par semaine)","6. Quotidiennement (Une fois par jour)","7. Très fréquemment (Plusieurs fois par jour)"},0)+1,""),"")</f>
        <v/>
      </c>
    </row>
    <row r="461" spans="16:21" x14ac:dyDescent="0.25">
      <c r="P461" t="str">
        <f>IF(DONNEES_SOURCE!$CA461=TRUE,DONNEES_SOURCE!$BV461,"")</f>
        <v/>
      </c>
      <c r="Q461" t="str">
        <f>IF(DONNEES_SOURCE!$CA461=TRUE,IFERROR(MATCH(DONNEES_SOURCE!$B461,{"2. Très rarement (Moins d'une fois par mois)","3. Rarement (1 à 3 fois par mois)","4. Parfois (Environ une fois par semaine)","5. Régulièrement (Plusieurs fois par semaine)","6. Quotidiennement (Une fois par jour)","7. Très fréquemment (Plusieurs fois par jour)"},0)+1,""),"")</f>
        <v/>
      </c>
      <c r="R461" t="str">
        <f>IF(DONNEES_SOURCE!$CA461=TRUE,DONNEES_SOURCE!$BW461,"")</f>
        <v/>
      </c>
      <c r="S461" t="str">
        <f>IF(DONNEES_SOURCE!$CA461=TRUE,DONNEES_SOURCE!$AU461,"")</f>
        <v/>
      </c>
      <c r="T461" t="str">
        <f>IF(DONNEES_SOURCE!$CA461=TRUE,DONNEES_SOURCE!$BW461,"")</f>
        <v/>
      </c>
      <c r="U461" t="str">
        <f>IF(DONNEES_SOURCE!$CA461=TRUE,IFERROR(MATCH(DONNEES_SOURCE!$B461,{"2. Très rarement (Moins d'une fois par mois)","3. Rarement (1 à 3 fois par mois)","4. Parfois (Environ une fois par semaine)","5. Régulièrement (Plusieurs fois par semaine)","6. Quotidiennement (Une fois par jour)","7. Très fréquemment (Plusieurs fois par jour)"},0)+1,""),"")</f>
        <v/>
      </c>
    </row>
    <row r="462" spans="16:21" x14ac:dyDescent="0.25">
      <c r="P462" t="str">
        <f>IF(DONNEES_SOURCE!$CA462=TRUE,DONNEES_SOURCE!$BV462,"")</f>
        <v/>
      </c>
      <c r="Q462" t="str">
        <f>IF(DONNEES_SOURCE!$CA462=TRUE,IFERROR(MATCH(DONNEES_SOURCE!$B462,{"2. Très rarement (Moins d'une fois par mois)","3. Rarement (1 à 3 fois par mois)","4. Parfois (Environ une fois par semaine)","5. Régulièrement (Plusieurs fois par semaine)","6. Quotidiennement (Une fois par jour)","7. Très fréquemment (Plusieurs fois par jour)"},0)+1,""),"")</f>
        <v/>
      </c>
      <c r="R462" t="str">
        <f>IF(DONNEES_SOURCE!$CA462=TRUE,DONNEES_SOURCE!$BW462,"")</f>
        <v/>
      </c>
      <c r="S462" t="str">
        <f>IF(DONNEES_SOURCE!$CA462=TRUE,DONNEES_SOURCE!$AU462,"")</f>
        <v/>
      </c>
      <c r="T462" t="str">
        <f>IF(DONNEES_SOURCE!$CA462=TRUE,DONNEES_SOURCE!$BW462,"")</f>
        <v/>
      </c>
      <c r="U462" t="str">
        <f>IF(DONNEES_SOURCE!$CA462=TRUE,IFERROR(MATCH(DONNEES_SOURCE!$B462,{"2. Très rarement (Moins d'une fois par mois)","3. Rarement (1 à 3 fois par mois)","4. Parfois (Environ une fois par semaine)","5. Régulièrement (Plusieurs fois par semaine)","6. Quotidiennement (Une fois par jour)","7. Très fréquemment (Plusieurs fois par jour)"},0)+1,""),"")</f>
        <v/>
      </c>
    </row>
    <row r="463" spans="16:21" x14ac:dyDescent="0.25">
      <c r="P463" t="str">
        <f>IF(DONNEES_SOURCE!$CA463=TRUE,DONNEES_SOURCE!$BV463,"")</f>
        <v/>
      </c>
      <c r="Q463" t="str">
        <f>IF(DONNEES_SOURCE!$CA463=TRUE,IFERROR(MATCH(DONNEES_SOURCE!$B463,{"2. Très rarement (Moins d'une fois par mois)","3. Rarement (1 à 3 fois par mois)","4. Parfois (Environ une fois par semaine)","5. Régulièrement (Plusieurs fois par semaine)","6. Quotidiennement (Une fois par jour)","7. Très fréquemment (Plusieurs fois par jour)"},0)+1,""),"")</f>
        <v/>
      </c>
      <c r="R463" t="str">
        <f>IF(DONNEES_SOURCE!$CA463=TRUE,DONNEES_SOURCE!$BW463,"")</f>
        <v/>
      </c>
      <c r="S463" t="str">
        <f>IF(DONNEES_SOURCE!$CA463=TRUE,DONNEES_SOURCE!$AU463,"")</f>
        <v/>
      </c>
      <c r="T463" t="str">
        <f>IF(DONNEES_SOURCE!$CA463=TRUE,DONNEES_SOURCE!$BW463,"")</f>
        <v/>
      </c>
      <c r="U463" t="str">
        <f>IF(DONNEES_SOURCE!$CA463=TRUE,IFERROR(MATCH(DONNEES_SOURCE!$B463,{"2. Très rarement (Moins d'une fois par mois)","3. Rarement (1 à 3 fois par mois)","4. Parfois (Environ une fois par semaine)","5. Régulièrement (Plusieurs fois par semaine)","6. Quotidiennement (Une fois par jour)","7. Très fréquemment (Plusieurs fois par jour)"},0)+1,""),"")</f>
        <v/>
      </c>
    </row>
    <row r="464" spans="16:21" x14ac:dyDescent="0.25">
      <c r="P464" t="str">
        <f>IF(DONNEES_SOURCE!$CA464=TRUE,DONNEES_SOURCE!$BV464,"")</f>
        <v/>
      </c>
      <c r="Q464" t="str">
        <f>IF(DONNEES_SOURCE!$CA464=TRUE,IFERROR(MATCH(DONNEES_SOURCE!$B464,{"2. Très rarement (Moins d'une fois par mois)","3. Rarement (1 à 3 fois par mois)","4. Parfois (Environ une fois par semaine)","5. Régulièrement (Plusieurs fois par semaine)","6. Quotidiennement (Une fois par jour)","7. Très fréquemment (Plusieurs fois par jour)"},0)+1,""),"")</f>
        <v/>
      </c>
      <c r="R464" t="str">
        <f>IF(DONNEES_SOURCE!$CA464=TRUE,DONNEES_SOURCE!$BW464,"")</f>
        <v/>
      </c>
      <c r="S464" t="str">
        <f>IF(DONNEES_SOURCE!$CA464=TRUE,DONNEES_SOURCE!$AU464,"")</f>
        <v/>
      </c>
      <c r="T464" t="str">
        <f>IF(DONNEES_SOURCE!$CA464=TRUE,DONNEES_SOURCE!$BW464,"")</f>
        <v/>
      </c>
      <c r="U464" t="str">
        <f>IF(DONNEES_SOURCE!$CA464=TRUE,IFERROR(MATCH(DONNEES_SOURCE!$B464,{"2. Très rarement (Moins d'une fois par mois)","3. Rarement (1 à 3 fois par mois)","4. Parfois (Environ une fois par semaine)","5. Régulièrement (Plusieurs fois par semaine)","6. Quotidiennement (Une fois par jour)","7. Très fréquemment (Plusieurs fois par jour)"},0)+1,""),"")</f>
        <v/>
      </c>
    </row>
    <row r="465" spans="16:21" x14ac:dyDescent="0.25">
      <c r="P465" t="str">
        <f>IF(DONNEES_SOURCE!$CA465=TRUE,DONNEES_SOURCE!$BV465,"")</f>
        <v/>
      </c>
      <c r="Q465" t="str">
        <f>IF(DONNEES_SOURCE!$CA465=TRUE,IFERROR(MATCH(DONNEES_SOURCE!$B465,{"2. Très rarement (Moins d'une fois par mois)","3. Rarement (1 à 3 fois par mois)","4. Parfois (Environ une fois par semaine)","5. Régulièrement (Plusieurs fois par semaine)","6. Quotidiennement (Une fois par jour)","7. Très fréquemment (Plusieurs fois par jour)"},0)+1,""),"")</f>
        <v/>
      </c>
      <c r="R465" t="str">
        <f>IF(DONNEES_SOURCE!$CA465=TRUE,DONNEES_SOURCE!$BW465,"")</f>
        <v/>
      </c>
      <c r="S465" t="str">
        <f>IF(DONNEES_SOURCE!$CA465=TRUE,DONNEES_SOURCE!$AU465,"")</f>
        <v/>
      </c>
      <c r="T465" t="str">
        <f>IF(DONNEES_SOURCE!$CA465=TRUE,DONNEES_SOURCE!$BW465,"")</f>
        <v/>
      </c>
      <c r="U465" t="str">
        <f>IF(DONNEES_SOURCE!$CA465=TRUE,IFERROR(MATCH(DONNEES_SOURCE!$B465,{"2. Très rarement (Moins d'une fois par mois)","3. Rarement (1 à 3 fois par mois)","4. Parfois (Environ une fois par semaine)","5. Régulièrement (Plusieurs fois par semaine)","6. Quotidiennement (Une fois par jour)","7. Très fréquemment (Plusieurs fois par jour)"},0)+1,""),"")</f>
        <v/>
      </c>
    </row>
    <row r="466" spans="16:21" x14ac:dyDescent="0.25">
      <c r="P466" t="str">
        <f>IF(DONNEES_SOURCE!$CA466=TRUE,DONNEES_SOURCE!$BV466,"")</f>
        <v/>
      </c>
      <c r="Q466" t="str">
        <f>IF(DONNEES_SOURCE!$CA466=TRUE,IFERROR(MATCH(DONNEES_SOURCE!$B466,{"2. Très rarement (Moins d'une fois par mois)","3. Rarement (1 à 3 fois par mois)","4. Parfois (Environ une fois par semaine)","5. Régulièrement (Plusieurs fois par semaine)","6. Quotidiennement (Une fois par jour)","7. Très fréquemment (Plusieurs fois par jour)"},0)+1,""),"")</f>
        <v/>
      </c>
      <c r="R466" t="str">
        <f>IF(DONNEES_SOURCE!$CA466=TRUE,DONNEES_SOURCE!$BW466,"")</f>
        <v/>
      </c>
      <c r="S466" t="str">
        <f>IF(DONNEES_SOURCE!$CA466=TRUE,DONNEES_SOURCE!$AU466,"")</f>
        <v/>
      </c>
      <c r="T466" t="str">
        <f>IF(DONNEES_SOURCE!$CA466=TRUE,DONNEES_SOURCE!$BW466,"")</f>
        <v/>
      </c>
      <c r="U466" t="str">
        <f>IF(DONNEES_SOURCE!$CA466=TRUE,IFERROR(MATCH(DONNEES_SOURCE!$B466,{"2. Très rarement (Moins d'une fois par mois)","3. Rarement (1 à 3 fois par mois)","4. Parfois (Environ une fois par semaine)","5. Régulièrement (Plusieurs fois par semaine)","6. Quotidiennement (Une fois par jour)","7. Très fréquemment (Plusieurs fois par jour)"},0)+1,""),"")</f>
        <v/>
      </c>
    </row>
    <row r="467" spans="16:21" x14ac:dyDescent="0.25">
      <c r="P467" t="str">
        <f>IF(DONNEES_SOURCE!$CA467=TRUE,DONNEES_SOURCE!$BV467,"")</f>
        <v/>
      </c>
      <c r="Q467" t="str">
        <f>IF(DONNEES_SOURCE!$CA467=TRUE,IFERROR(MATCH(DONNEES_SOURCE!$B467,{"2. Très rarement (Moins d'une fois par mois)","3. Rarement (1 à 3 fois par mois)","4. Parfois (Environ une fois par semaine)","5. Régulièrement (Plusieurs fois par semaine)","6. Quotidiennement (Une fois par jour)","7. Très fréquemment (Plusieurs fois par jour)"},0)+1,""),"")</f>
        <v/>
      </c>
      <c r="R467" t="str">
        <f>IF(DONNEES_SOURCE!$CA467=TRUE,DONNEES_SOURCE!$BW467,"")</f>
        <v/>
      </c>
      <c r="S467" t="str">
        <f>IF(DONNEES_SOURCE!$CA467=TRUE,DONNEES_SOURCE!$AU467,"")</f>
        <v/>
      </c>
      <c r="T467" t="str">
        <f>IF(DONNEES_SOURCE!$CA467=TRUE,DONNEES_SOURCE!$BW467,"")</f>
        <v/>
      </c>
      <c r="U467" t="str">
        <f>IF(DONNEES_SOURCE!$CA467=TRUE,IFERROR(MATCH(DONNEES_SOURCE!$B467,{"2. Très rarement (Moins d'une fois par mois)","3. Rarement (1 à 3 fois par mois)","4. Parfois (Environ une fois par semaine)","5. Régulièrement (Plusieurs fois par semaine)","6. Quotidiennement (Une fois par jour)","7. Très fréquemment (Plusieurs fois par jour)"},0)+1,""),"")</f>
        <v/>
      </c>
    </row>
    <row r="468" spans="16:21" x14ac:dyDescent="0.25">
      <c r="P468" t="str">
        <f>IF(DONNEES_SOURCE!$CA468=TRUE,DONNEES_SOURCE!$BV468,"")</f>
        <v/>
      </c>
      <c r="Q468" t="str">
        <f>IF(DONNEES_SOURCE!$CA468=TRUE,IFERROR(MATCH(DONNEES_SOURCE!$B468,{"2. Très rarement (Moins d'une fois par mois)","3. Rarement (1 à 3 fois par mois)","4. Parfois (Environ une fois par semaine)","5. Régulièrement (Plusieurs fois par semaine)","6. Quotidiennement (Une fois par jour)","7. Très fréquemment (Plusieurs fois par jour)"},0)+1,""),"")</f>
        <v/>
      </c>
      <c r="R468" t="str">
        <f>IF(DONNEES_SOURCE!$CA468=TRUE,DONNEES_SOURCE!$BW468,"")</f>
        <v/>
      </c>
      <c r="S468" t="str">
        <f>IF(DONNEES_SOURCE!$CA468=TRUE,DONNEES_SOURCE!$AU468,"")</f>
        <v/>
      </c>
      <c r="T468" t="str">
        <f>IF(DONNEES_SOURCE!$CA468=TRUE,DONNEES_SOURCE!$BW468,"")</f>
        <v/>
      </c>
      <c r="U468" t="str">
        <f>IF(DONNEES_SOURCE!$CA468=TRUE,IFERROR(MATCH(DONNEES_SOURCE!$B468,{"2. Très rarement (Moins d'une fois par mois)","3. Rarement (1 à 3 fois par mois)","4. Parfois (Environ une fois par semaine)","5. Régulièrement (Plusieurs fois par semaine)","6. Quotidiennement (Une fois par jour)","7. Très fréquemment (Plusieurs fois par jour)"},0)+1,""),"")</f>
        <v/>
      </c>
    </row>
    <row r="469" spans="16:21" x14ac:dyDescent="0.25">
      <c r="P469" t="str">
        <f>IF(DONNEES_SOURCE!$CA469=TRUE,DONNEES_SOURCE!$BV469,"")</f>
        <v/>
      </c>
      <c r="Q469" t="str">
        <f>IF(DONNEES_SOURCE!$CA469=TRUE,IFERROR(MATCH(DONNEES_SOURCE!$B469,{"2. Très rarement (Moins d'une fois par mois)","3. Rarement (1 à 3 fois par mois)","4. Parfois (Environ une fois par semaine)","5. Régulièrement (Plusieurs fois par semaine)","6. Quotidiennement (Une fois par jour)","7. Très fréquemment (Plusieurs fois par jour)"},0)+1,""),"")</f>
        <v/>
      </c>
      <c r="R469" t="str">
        <f>IF(DONNEES_SOURCE!$CA469=TRUE,DONNEES_SOURCE!$BW469,"")</f>
        <v/>
      </c>
      <c r="S469" t="str">
        <f>IF(DONNEES_SOURCE!$CA469=TRUE,DONNEES_SOURCE!$AU469,"")</f>
        <v/>
      </c>
      <c r="T469" t="str">
        <f>IF(DONNEES_SOURCE!$CA469=TRUE,DONNEES_SOURCE!$BW469,"")</f>
        <v/>
      </c>
      <c r="U469" t="str">
        <f>IF(DONNEES_SOURCE!$CA469=TRUE,IFERROR(MATCH(DONNEES_SOURCE!$B469,{"2. Très rarement (Moins d'une fois par mois)","3. Rarement (1 à 3 fois par mois)","4. Parfois (Environ une fois par semaine)","5. Régulièrement (Plusieurs fois par semaine)","6. Quotidiennement (Une fois par jour)","7. Très fréquemment (Plusieurs fois par jour)"},0)+1,""),"")</f>
        <v/>
      </c>
    </row>
    <row r="470" spans="16:21" x14ac:dyDescent="0.25">
      <c r="P470" t="str">
        <f>IF(DONNEES_SOURCE!$CA470=TRUE,DONNEES_SOURCE!$BV470,"")</f>
        <v/>
      </c>
      <c r="Q470" t="str">
        <f>IF(DONNEES_SOURCE!$CA470=TRUE,IFERROR(MATCH(DONNEES_SOURCE!$B470,{"2. Très rarement (Moins d'une fois par mois)","3. Rarement (1 à 3 fois par mois)","4. Parfois (Environ une fois par semaine)","5. Régulièrement (Plusieurs fois par semaine)","6. Quotidiennement (Une fois par jour)","7. Très fréquemment (Plusieurs fois par jour)"},0)+1,""),"")</f>
        <v/>
      </c>
      <c r="R470" t="str">
        <f>IF(DONNEES_SOURCE!$CA470=TRUE,DONNEES_SOURCE!$BW470,"")</f>
        <v/>
      </c>
      <c r="S470" t="str">
        <f>IF(DONNEES_SOURCE!$CA470=TRUE,DONNEES_SOURCE!$AU470,"")</f>
        <v/>
      </c>
      <c r="T470" t="str">
        <f>IF(DONNEES_SOURCE!$CA470=TRUE,DONNEES_SOURCE!$BW470,"")</f>
        <v/>
      </c>
      <c r="U470" t="str">
        <f>IF(DONNEES_SOURCE!$CA470=TRUE,IFERROR(MATCH(DONNEES_SOURCE!$B470,{"2. Très rarement (Moins d'une fois par mois)","3. Rarement (1 à 3 fois par mois)","4. Parfois (Environ une fois par semaine)","5. Régulièrement (Plusieurs fois par semaine)","6. Quotidiennement (Une fois par jour)","7. Très fréquemment (Plusieurs fois par jour)"},0)+1,""),"")</f>
        <v/>
      </c>
    </row>
    <row r="471" spans="16:21" x14ac:dyDescent="0.25">
      <c r="P471" t="str">
        <f>IF(DONNEES_SOURCE!$CA471=TRUE,DONNEES_SOURCE!$BV471,"")</f>
        <v/>
      </c>
      <c r="Q471" t="str">
        <f>IF(DONNEES_SOURCE!$CA471=TRUE,IFERROR(MATCH(DONNEES_SOURCE!$B471,{"2. Très rarement (Moins d'une fois par mois)","3. Rarement (1 à 3 fois par mois)","4. Parfois (Environ une fois par semaine)","5. Régulièrement (Plusieurs fois par semaine)","6. Quotidiennement (Une fois par jour)","7. Très fréquemment (Plusieurs fois par jour)"},0)+1,""),"")</f>
        <v/>
      </c>
      <c r="R471" t="str">
        <f>IF(DONNEES_SOURCE!$CA471=TRUE,DONNEES_SOURCE!$BW471,"")</f>
        <v/>
      </c>
      <c r="S471" t="str">
        <f>IF(DONNEES_SOURCE!$CA471=TRUE,DONNEES_SOURCE!$AU471,"")</f>
        <v/>
      </c>
      <c r="T471" t="str">
        <f>IF(DONNEES_SOURCE!$CA471=TRUE,DONNEES_SOURCE!$BW471,"")</f>
        <v/>
      </c>
      <c r="U471" t="str">
        <f>IF(DONNEES_SOURCE!$CA471=TRUE,IFERROR(MATCH(DONNEES_SOURCE!$B471,{"2. Très rarement (Moins d'une fois par mois)","3. Rarement (1 à 3 fois par mois)","4. Parfois (Environ une fois par semaine)","5. Régulièrement (Plusieurs fois par semaine)","6. Quotidiennement (Une fois par jour)","7. Très fréquemment (Plusieurs fois par jour)"},0)+1,""),"")</f>
        <v/>
      </c>
    </row>
    <row r="472" spans="16:21" x14ac:dyDescent="0.25">
      <c r="P472" t="str">
        <f>IF(DONNEES_SOURCE!$CA472=TRUE,DONNEES_SOURCE!$BV472,"")</f>
        <v/>
      </c>
      <c r="Q472" t="str">
        <f>IF(DONNEES_SOURCE!$CA472=TRUE,IFERROR(MATCH(DONNEES_SOURCE!$B472,{"2. Très rarement (Moins d'une fois par mois)","3. Rarement (1 à 3 fois par mois)","4. Parfois (Environ une fois par semaine)","5. Régulièrement (Plusieurs fois par semaine)","6. Quotidiennement (Une fois par jour)","7. Très fréquemment (Plusieurs fois par jour)"},0)+1,""),"")</f>
        <v/>
      </c>
      <c r="R472" t="str">
        <f>IF(DONNEES_SOURCE!$CA472=TRUE,DONNEES_SOURCE!$BW472,"")</f>
        <v/>
      </c>
      <c r="S472" t="str">
        <f>IF(DONNEES_SOURCE!$CA472=TRUE,DONNEES_SOURCE!$AU472,"")</f>
        <v/>
      </c>
      <c r="T472" t="str">
        <f>IF(DONNEES_SOURCE!$CA472=TRUE,DONNEES_SOURCE!$BW472,"")</f>
        <v/>
      </c>
      <c r="U472" t="str">
        <f>IF(DONNEES_SOURCE!$CA472=TRUE,IFERROR(MATCH(DONNEES_SOURCE!$B472,{"2. Très rarement (Moins d'une fois par mois)","3. Rarement (1 à 3 fois par mois)","4. Parfois (Environ une fois par semaine)","5. Régulièrement (Plusieurs fois par semaine)","6. Quotidiennement (Une fois par jour)","7. Très fréquemment (Plusieurs fois par jour)"},0)+1,""),"")</f>
        <v/>
      </c>
    </row>
    <row r="473" spans="16:21" x14ac:dyDescent="0.25">
      <c r="P473" t="str">
        <f>IF(DONNEES_SOURCE!$CA473=TRUE,DONNEES_SOURCE!$BV473,"")</f>
        <v/>
      </c>
      <c r="Q473" t="str">
        <f>IF(DONNEES_SOURCE!$CA473=TRUE,IFERROR(MATCH(DONNEES_SOURCE!$B473,{"2. Très rarement (Moins d'une fois par mois)","3. Rarement (1 à 3 fois par mois)","4. Parfois (Environ une fois par semaine)","5. Régulièrement (Plusieurs fois par semaine)","6. Quotidiennement (Une fois par jour)","7. Très fréquemment (Plusieurs fois par jour)"},0)+1,""),"")</f>
        <v/>
      </c>
      <c r="R473" t="str">
        <f>IF(DONNEES_SOURCE!$CA473=TRUE,DONNEES_SOURCE!$BW473,"")</f>
        <v/>
      </c>
      <c r="S473" t="str">
        <f>IF(DONNEES_SOURCE!$CA473=TRUE,DONNEES_SOURCE!$AU473,"")</f>
        <v/>
      </c>
      <c r="T473" t="str">
        <f>IF(DONNEES_SOURCE!$CA473=TRUE,DONNEES_SOURCE!$BW473,"")</f>
        <v/>
      </c>
      <c r="U473" t="str">
        <f>IF(DONNEES_SOURCE!$CA473=TRUE,IFERROR(MATCH(DONNEES_SOURCE!$B473,{"2. Très rarement (Moins d'une fois par mois)","3. Rarement (1 à 3 fois par mois)","4. Parfois (Environ une fois par semaine)","5. Régulièrement (Plusieurs fois par semaine)","6. Quotidiennement (Une fois par jour)","7. Très fréquemment (Plusieurs fois par jour)"},0)+1,""),"")</f>
        <v/>
      </c>
    </row>
    <row r="474" spans="16:21" x14ac:dyDescent="0.25">
      <c r="P474" t="str">
        <f>IF(DONNEES_SOURCE!$CA474=TRUE,DONNEES_SOURCE!$BV474,"")</f>
        <v/>
      </c>
      <c r="Q474" t="str">
        <f>IF(DONNEES_SOURCE!$CA474=TRUE,IFERROR(MATCH(DONNEES_SOURCE!$B474,{"2. Très rarement (Moins d'une fois par mois)","3. Rarement (1 à 3 fois par mois)","4. Parfois (Environ une fois par semaine)","5. Régulièrement (Plusieurs fois par semaine)","6. Quotidiennement (Une fois par jour)","7. Très fréquemment (Plusieurs fois par jour)"},0)+1,""),"")</f>
        <v/>
      </c>
      <c r="R474" t="str">
        <f>IF(DONNEES_SOURCE!$CA474=TRUE,DONNEES_SOURCE!$BW474,"")</f>
        <v/>
      </c>
      <c r="S474" t="str">
        <f>IF(DONNEES_SOURCE!$CA474=TRUE,DONNEES_SOURCE!$AU474,"")</f>
        <v/>
      </c>
      <c r="T474" t="str">
        <f>IF(DONNEES_SOURCE!$CA474=TRUE,DONNEES_SOURCE!$BW474,"")</f>
        <v/>
      </c>
      <c r="U474" t="str">
        <f>IF(DONNEES_SOURCE!$CA474=TRUE,IFERROR(MATCH(DONNEES_SOURCE!$B474,{"2. Très rarement (Moins d'une fois par mois)","3. Rarement (1 à 3 fois par mois)","4. Parfois (Environ une fois par semaine)","5. Régulièrement (Plusieurs fois par semaine)","6. Quotidiennement (Une fois par jour)","7. Très fréquemment (Plusieurs fois par jour)"},0)+1,""),"")</f>
        <v/>
      </c>
    </row>
    <row r="475" spans="16:21" x14ac:dyDescent="0.25">
      <c r="P475" t="str">
        <f>IF(DONNEES_SOURCE!$CA475=TRUE,DONNEES_SOURCE!$BV475,"")</f>
        <v/>
      </c>
      <c r="Q475" t="str">
        <f>IF(DONNEES_SOURCE!$CA475=TRUE,IFERROR(MATCH(DONNEES_SOURCE!$B475,{"2. Très rarement (Moins d'une fois par mois)","3. Rarement (1 à 3 fois par mois)","4. Parfois (Environ une fois par semaine)","5. Régulièrement (Plusieurs fois par semaine)","6. Quotidiennement (Une fois par jour)","7. Très fréquemment (Plusieurs fois par jour)"},0)+1,""),"")</f>
        <v/>
      </c>
      <c r="R475" t="str">
        <f>IF(DONNEES_SOURCE!$CA475=TRUE,DONNEES_SOURCE!$BW475,"")</f>
        <v/>
      </c>
      <c r="S475" t="str">
        <f>IF(DONNEES_SOURCE!$CA475=TRUE,DONNEES_SOURCE!$AU475,"")</f>
        <v/>
      </c>
      <c r="T475" t="str">
        <f>IF(DONNEES_SOURCE!$CA475=TRUE,DONNEES_SOURCE!$BW475,"")</f>
        <v/>
      </c>
      <c r="U475" t="str">
        <f>IF(DONNEES_SOURCE!$CA475=TRUE,IFERROR(MATCH(DONNEES_SOURCE!$B475,{"2. Très rarement (Moins d'une fois par mois)","3. Rarement (1 à 3 fois par mois)","4. Parfois (Environ une fois par semaine)","5. Régulièrement (Plusieurs fois par semaine)","6. Quotidiennement (Une fois par jour)","7. Très fréquemment (Plusieurs fois par jour)"},0)+1,""),"")</f>
        <v/>
      </c>
    </row>
    <row r="476" spans="16:21" x14ac:dyDescent="0.25">
      <c r="P476" t="str">
        <f>IF(DONNEES_SOURCE!$CA476=TRUE,DONNEES_SOURCE!$BV476,"")</f>
        <v/>
      </c>
      <c r="Q476" t="str">
        <f>IF(DONNEES_SOURCE!$CA476=TRUE,IFERROR(MATCH(DONNEES_SOURCE!$B476,{"2. Très rarement (Moins d'une fois par mois)","3. Rarement (1 à 3 fois par mois)","4. Parfois (Environ une fois par semaine)","5. Régulièrement (Plusieurs fois par semaine)","6. Quotidiennement (Une fois par jour)","7. Très fréquemment (Plusieurs fois par jour)"},0)+1,""),"")</f>
        <v/>
      </c>
      <c r="R476" t="str">
        <f>IF(DONNEES_SOURCE!$CA476=TRUE,DONNEES_SOURCE!$BW476,"")</f>
        <v/>
      </c>
      <c r="S476" t="str">
        <f>IF(DONNEES_SOURCE!$CA476=TRUE,DONNEES_SOURCE!$AU476,"")</f>
        <v/>
      </c>
      <c r="T476" t="str">
        <f>IF(DONNEES_SOURCE!$CA476=TRUE,DONNEES_SOURCE!$BW476,"")</f>
        <v/>
      </c>
      <c r="U476" t="str">
        <f>IF(DONNEES_SOURCE!$CA476=TRUE,IFERROR(MATCH(DONNEES_SOURCE!$B476,{"2. Très rarement (Moins d'une fois par mois)","3. Rarement (1 à 3 fois par mois)","4. Parfois (Environ une fois par semaine)","5. Régulièrement (Plusieurs fois par semaine)","6. Quotidiennement (Une fois par jour)","7. Très fréquemment (Plusieurs fois par jour)"},0)+1,""),"")</f>
        <v/>
      </c>
    </row>
    <row r="477" spans="16:21" x14ac:dyDescent="0.25">
      <c r="P477" t="str">
        <f>IF(DONNEES_SOURCE!$CA477=TRUE,DONNEES_SOURCE!$BV477,"")</f>
        <v/>
      </c>
      <c r="Q477" t="str">
        <f>IF(DONNEES_SOURCE!$CA477=TRUE,IFERROR(MATCH(DONNEES_SOURCE!$B477,{"2. Très rarement (Moins d'une fois par mois)","3. Rarement (1 à 3 fois par mois)","4. Parfois (Environ une fois par semaine)","5. Régulièrement (Plusieurs fois par semaine)","6. Quotidiennement (Une fois par jour)","7. Très fréquemment (Plusieurs fois par jour)"},0)+1,""),"")</f>
        <v/>
      </c>
      <c r="R477" t="str">
        <f>IF(DONNEES_SOURCE!$CA477=TRUE,DONNEES_SOURCE!$BW477,"")</f>
        <v/>
      </c>
      <c r="S477" t="str">
        <f>IF(DONNEES_SOURCE!$CA477=TRUE,DONNEES_SOURCE!$AU477,"")</f>
        <v/>
      </c>
      <c r="T477" t="str">
        <f>IF(DONNEES_SOURCE!$CA477=TRUE,DONNEES_SOURCE!$BW477,"")</f>
        <v/>
      </c>
      <c r="U477" t="str">
        <f>IF(DONNEES_SOURCE!$CA477=TRUE,IFERROR(MATCH(DONNEES_SOURCE!$B477,{"2. Très rarement (Moins d'une fois par mois)","3. Rarement (1 à 3 fois par mois)","4. Parfois (Environ une fois par semaine)","5. Régulièrement (Plusieurs fois par semaine)","6. Quotidiennement (Une fois par jour)","7. Très fréquemment (Plusieurs fois par jour)"},0)+1,""),"")</f>
        <v/>
      </c>
    </row>
    <row r="478" spans="16:21" x14ac:dyDescent="0.25">
      <c r="P478" t="str">
        <f>IF(DONNEES_SOURCE!$CA478=TRUE,DONNEES_SOURCE!$BV478,"")</f>
        <v/>
      </c>
      <c r="Q478" t="str">
        <f>IF(DONNEES_SOURCE!$CA478=TRUE,IFERROR(MATCH(DONNEES_SOURCE!$B478,{"2. Très rarement (Moins d'une fois par mois)","3. Rarement (1 à 3 fois par mois)","4. Parfois (Environ une fois par semaine)","5. Régulièrement (Plusieurs fois par semaine)","6. Quotidiennement (Une fois par jour)","7. Très fréquemment (Plusieurs fois par jour)"},0)+1,""),"")</f>
        <v/>
      </c>
      <c r="R478" t="str">
        <f>IF(DONNEES_SOURCE!$CA478=TRUE,DONNEES_SOURCE!$BW478,"")</f>
        <v/>
      </c>
      <c r="S478" t="str">
        <f>IF(DONNEES_SOURCE!$CA478=TRUE,DONNEES_SOURCE!$AU478,"")</f>
        <v/>
      </c>
      <c r="T478" t="str">
        <f>IF(DONNEES_SOURCE!$CA478=TRUE,DONNEES_SOURCE!$BW478,"")</f>
        <v/>
      </c>
      <c r="U478" t="str">
        <f>IF(DONNEES_SOURCE!$CA478=TRUE,IFERROR(MATCH(DONNEES_SOURCE!$B478,{"2. Très rarement (Moins d'une fois par mois)","3. Rarement (1 à 3 fois par mois)","4. Parfois (Environ une fois par semaine)","5. Régulièrement (Plusieurs fois par semaine)","6. Quotidiennement (Une fois par jour)","7. Très fréquemment (Plusieurs fois par jour)"},0)+1,""),"")</f>
        <v/>
      </c>
    </row>
    <row r="479" spans="16:21" x14ac:dyDescent="0.25">
      <c r="P479" t="str">
        <f>IF(DONNEES_SOURCE!$CA479=TRUE,DONNEES_SOURCE!$BV479,"")</f>
        <v/>
      </c>
      <c r="Q479" t="str">
        <f>IF(DONNEES_SOURCE!$CA479=TRUE,IFERROR(MATCH(DONNEES_SOURCE!$B479,{"2. Très rarement (Moins d'une fois par mois)","3. Rarement (1 à 3 fois par mois)","4. Parfois (Environ une fois par semaine)","5. Régulièrement (Plusieurs fois par semaine)","6. Quotidiennement (Une fois par jour)","7. Très fréquemment (Plusieurs fois par jour)"},0)+1,""),"")</f>
        <v/>
      </c>
      <c r="R479" t="str">
        <f>IF(DONNEES_SOURCE!$CA479=TRUE,DONNEES_SOURCE!$BW479,"")</f>
        <v/>
      </c>
      <c r="S479" t="str">
        <f>IF(DONNEES_SOURCE!$CA479=TRUE,DONNEES_SOURCE!$AU479,"")</f>
        <v/>
      </c>
      <c r="T479" t="str">
        <f>IF(DONNEES_SOURCE!$CA479=TRUE,DONNEES_SOURCE!$BW479,"")</f>
        <v/>
      </c>
      <c r="U479" t="str">
        <f>IF(DONNEES_SOURCE!$CA479=TRUE,IFERROR(MATCH(DONNEES_SOURCE!$B479,{"2. Très rarement (Moins d'une fois par mois)","3. Rarement (1 à 3 fois par mois)","4. Parfois (Environ une fois par semaine)","5. Régulièrement (Plusieurs fois par semaine)","6. Quotidiennement (Une fois par jour)","7. Très fréquemment (Plusieurs fois par jour)"},0)+1,""),"")</f>
        <v/>
      </c>
    </row>
    <row r="480" spans="16:21" x14ac:dyDescent="0.25">
      <c r="P480" t="str">
        <f>IF(DONNEES_SOURCE!$CA480=TRUE,DONNEES_SOURCE!$BV480,"")</f>
        <v/>
      </c>
      <c r="Q480" t="str">
        <f>IF(DONNEES_SOURCE!$CA480=TRUE,IFERROR(MATCH(DONNEES_SOURCE!$B480,{"2. Très rarement (Moins d'une fois par mois)","3. Rarement (1 à 3 fois par mois)","4. Parfois (Environ une fois par semaine)","5. Régulièrement (Plusieurs fois par semaine)","6. Quotidiennement (Une fois par jour)","7. Très fréquemment (Plusieurs fois par jour)"},0)+1,""),"")</f>
        <v/>
      </c>
      <c r="R480" t="str">
        <f>IF(DONNEES_SOURCE!$CA480=TRUE,DONNEES_SOURCE!$BW480,"")</f>
        <v/>
      </c>
      <c r="S480" t="str">
        <f>IF(DONNEES_SOURCE!$CA480=TRUE,DONNEES_SOURCE!$AU480,"")</f>
        <v/>
      </c>
      <c r="T480" t="str">
        <f>IF(DONNEES_SOURCE!$CA480=TRUE,DONNEES_SOURCE!$BW480,"")</f>
        <v/>
      </c>
      <c r="U480" t="str">
        <f>IF(DONNEES_SOURCE!$CA480=TRUE,IFERROR(MATCH(DONNEES_SOURCE!$B480,{"2. Très rarement (Moins d'une fois par mois)","3. Rarement (1 à 3 fois par mois)","4. Parfois (Environ une fois par semaine)","5. Régulièrement (Plusieurs fois par semaine)","6. Quotidiennement (Une fois par jour)","7. Très fréquemment (Plusieurs fois par jour)"},0)+1,""),"")</f>
        <v/>
      </c>
    </row>
    <row r="481" spans="16:21" x14ac:dyDescent="0.25">
      <c r="P481" t="str">
        <f>IF(DONNEES_SOURCE!$CA481=TRUE,DONNEES_SOURCE!$BV481,"")</f>
        <v/>
      </c>
      <c r="Q481" t="str">
        <f>IF(DONNEES_SOURCE!$CA481=TRUE,IFERROR(MATCH(DONNEES_SOURCE!$B481,{"2. Très rarement (Moins d'une fois par mois)","3. Rarement (1 à 3 fois par mois)","4. Parfois (Environ une fois par semaine)","5. Régulièrement (Plusieurs fois par semaine)","6. Quotidiennement (Une fois par jour)","7. Très fréquemment (Plusieurs fois par jour)"},0)+1,""),"")</f>
        <v/>
      </c>
      <c r="R481" t="str">
        <f>IF(DONNEES_SOURCE!$CA481=TRUE,DONNEES_SOURCE!$BW481,"")</f>
        <v/>
      </c>
      <c r="S481" t="str">
        <f>IF(DONNEES_SOURCE!$CA481=TRUE,DONNEES_SOURCE!$AU481,"")</f>
        <v/>
      </c>
      <c r="T481" t="str">
        <f>IF(DONNEES_SOURCE!$CA481=TRUE,DONNEES_SOURCE!$BW481,"")</f>
        <v/>
      </c>
      <c r="U481" t="str">
        <f>IF(DONNEES_SOURCE!$CA481=TRUE,IFERROR(MATCH(DONNEES_SOURCE!$B481,{"2. Très rarement (Moins d'une fois par mois)","3. Rarement (1 à 3 fois par mois)","4. Parfois (Environ une fois par semaine)","5. Régulièrement (Plusieurs fois par semaine)","6. Quotidiennement (Une fois par jour)","7. Très fréquemment (Plusieurs fois par jour)"},0)+1,""),"")</f>
        <v/>
      </c>
    </row>
    <row r="482" spans="16:21" x14ac:dyDescent="0.25">
      <c r="P482" t="str">
        <f>IF(DONNEES_SOURCE!$CA482=TRUE,DONNEES_SOURCE!$BV482,"")</f>
        <v/>
      </c>
      <c r="Q482" t="str">
        <f>IF(DONNEES_SOURCE!$CA482=TRUE,IFERROR(MATCH(DONNEES_SOURCE!$B482,{"2. Très rarement (Moins d'une fois par mois)","3. Rarement (1 à 3 fois par mois)","4. Parfois (Environ une fois par semaine)","5. Régulièrement (Plusieurs fois par semaine)","6. Quotidiennement (Une fois par jour)","7. Très fréquemment (Plusieurs fois par jour)"},0)+1,""),"")</f>
        <v/>
      </c>
      <c r="R482" t="str">
        <f>IF(DONNEES_SOURCE!$CA482=TRUE,DONNEES_SOURCE!$BW482,"")</f>
        <v/>
      </c>
      <c r="S482" t="str">
        <f>IF(DONNEES_SOURCE!$CA482=TRUE,DONNEES_SOURCE!$AU482,"")</f>
        <v/>
      </c>
      <c r="T482" t="str">
        <f>IF(DONNEES_SOURCE!$CA482=TRUE,DONNEES_SOURCE!$BW482,"")</f>
        <v/>
      </c>
      <c r="U482" t="str">
        <f>IF(DONNEES_SOURCE!$CA482=TRUE,IFERROR(MATCH(DONNEES_SOURCE!$B482,{"2. Très rarement (Moins d'une fois par mois)","3. Rarement (1 à 3 fois par mois)","4. Parfois (Environ une fois par semaine)","5. Régulièrement (Plusieurs fois par semaine)","6. Quotidiennement (Une fois par jour)","7. Très fréquemment (Plusieurs fois par jour)"},0)+1,""),"")</f>
        <v/>
      </c>
    </row>
    <row r="483" spans="16:21" x14ac:dyDescent="0.25">
      <c r="P483" t="str">
        <f>IF(DONNEES_SOURCE!$CA483=TRUE,DONNEES_SOURCE!$BV483,"")</f>
        <v/>
      </c>
      <c r="Q483" t="str">
        <f>IF(DONNEES_SOURCE!$CA483=TRUE,IFERROR(MATCH(DONNEES_SOURCE!$B483,{"2. Très rarement (Moins d'une fois par mois)","3. Rarement (1 à 3 fois par mois)","4. Parfois (Environ une fois par semaine)","5. Régulièrement (Plusieurs fois par semaine)","6. Quotidiennement (Une fois par jour)","7. Très fréquemment (Plusieurs fois par jour)"},0)+1,""),"")</f>
        <v/>
      </c>
      <c r="R483" t="str">
        <f>IF(DONNEES_SOURCE!$CA483=TRUE,DONNEES_SOURCE!$BW483,"")</f>
        <v/>
      </c>
      <c r="S483" t="str">
        <f>IF(DONNEES_SOURCE!$CA483=TRUE,DONNEES_SOURCE!$AU483,"")</f>
        <v/>
      </c>
      <c r="T483" t="str">
        <f>IF(DONNEES_SOURCE!$CA483=TRUE,DONNEES_SOURCE!$BW483,"")</f>
        <v/>
      </c>
      <c r="U483" t="str">
        <f>IF(DONNEES_SOURCE!$CA483=TRUE,IFERROR(MATCH(DONNEES_SOURCE!$B483,{"2. Très rarement (Moins d'une fois par mois)","3. Rarement (1 à 3 fois par mois)","4. Parfois (Environ une fois par semaine)","5. Régulièrement (Plusieurs fois par semaine)","6. Quotidiennement (Une fois par jour)","7. Très fréquemment (Plusieurs fois par jour)"},0)+1,""),"")</f>
        <v/>
      </c>
    </row>
    <row r="484" spans="16:21" x14ac:dyDescent="0.25">
      <c r="P484" t="str">
        <f>IF(DONNEES_SOURCE!$CA484=TRUE,DONNEES_SOURCE!$BV484,"")</f>
        <v/>
      </c>
      <c r="Q484" t="str">
        <f>IF(DONNEES_SOURCE!$CA484=TRUE,IFERROR(MATCH(DONNEES_SOURCE!$B484,{"2. Très rarement (Moins d'une fois par mois)","3. Rarement (1 à 3 fois par mois)","4. Parfois (Environ une fois par semaine)","5. Régulièrement (Plusieurs fois par semaine)","6. Quotidiennement (Une fois par jour)","7. Très fréquemment (Plusieurs fois par jour)"},0)+1,""),"")</f>
        <v/>
      </c>
      <c r="R484" t="str">
        <f>IF(DONNEES_SOURCE!$CA484=TRUE,DONNEES_SOURCE!$BW484,"")</f>
        <v/>
      </c>
      <c r="S484" t="str">
        <f>IF(DONNEES_SOURCE!$CA484=TRUE,DONNEES_SOURCE!$AU484,"")</f>
        <v/>
      </c>
      <c r="T484" t="str">
        <f>IF(DONNEES_SOURCE!$CA484=TRUE,DONNEES_SOURCE!$BW484,"")</f>
        <v/>
      </c>
      <c r="U484" t="str">
        <f>IF(DONNEES_SOURCE!$CA484=TRUE,IFERROR(MATCH(DONNEES_SOURCE!$B484,{"2. Très rarement (Moins d'une fois par mois)","3. Rarement (1 à 3 fois par mois)","4. Parfois (Environ une fois par semaine)","5. Régulièrement (Plusieurs fois par semaine)","6. Quotidiennement (Une fois par jour)","7. Très fréquemment (Plusieurs fois par jour)"},0)+1,""),"")</f>
        <v/>
      </c>
    </row>
    <row r="485" spans="16:21" x14ac:dyDescent="0.25">
      <c r="P485" t="str">
        <f>IF(DONNEES_SOURCE!$CA485=TRUE,DONNEES_SOURCE!$BV485,"")</f>
        <v/>
      </c>
      <c r="Q485" t="str">
        <f>IF(DONNEES_SOURCE!$CA485=TRUE,IFERROR(MATCH(DONNEES_SOURCE!$B485,{"2. Très rarement (Moins d'une fois par mois)","3. Rarement (1 à 3 fois par mois)","4. Parfois (Environ une fois par semaine)","5. Régulièrement (Plusieurs fois par semaine)","6. Quotidiennement (Une fois par jour)","7. Très fréquemment (Plusieurs fois par jour)"},0)+1,""),"")</f>
        <v/>
      </c>
      <c r="R485" t="str">
        <f>IF(DONNEES_SOURCE!$CA485=TRUE,DONNEES_SOURCE!$BW485,"")</f>
        <v/>
      </c>
      <c r="S485" t="str">
        <f>IF(DONNEES_SOURCE!$CA485=TRUE,DONNEES_SOURCE!$AU485,"")</f>
        <v/>
      </c>
      <c r="T485" t="str">
        <f>IF(DONNEES_SOURCE!$CA485=TRUE,DONNEES_SOURCE!$BW485,"")</f>
        <v/>
      </c>
      <c r="U485" t="str">
        <f>IF(DONNEES_SOURCE!$CA485=TRUE,IFERROR(MATCH(DONNEES_SOURCE!$B485,{"2. Très rarement (Moins d'une fois par mois)","3. Rarement (1 à 3 fois par mois)","4. Parfois (Environ une fois par semaine)","5. Régulièrement (Plusieurs fois par semaine)","6. Quotidiennement (Une fois par jour)","7. Très fréquemment (Plusieurs fois par jour)"},0)+1,""),"")</f>
        <v/>
      </c>
    </row>
    <row r="486" spans="16:21" x14ac:dyDescent="0.25">
      <c r="P486" t="str">
        <f>IF(DONNEES_SOURCE!$CA486=TRUE,DONNEES_SOURCE!$BV486,"")</f>
        <v/>
      </c>
      <c r="Q486" t="str">
        <f>IF(DONNEES_SOURCE!$CA486=TRUE,IFERROR(MATCH(DONNEES_SOURCE!$B486,{"2. Très rarement (Moins d'une fois par mois)","3. Rarement (1 à 3 fois par mois)","4. Parfois (Environ une fois par semaine)","5. Régulièrement (Plusieurs fois par semaine)","6. Quotidiennement (Une fois par jour)","7. Très fréquemment (Plusieurs fois par jour)"},0)+1,""),"")</f>
        <v/>
      </c>
      <c r="R486" t="str">
        <f>IF(DONNEES_SOURCE!$CA486=TRUE,DONNEES_SOURCE!$BW486,"")</f>
        <v/>
      </c>
      <c r="S486" t="str">
        <f>IF(DONNEES_SOURCE!$CA486=TRUE,DONNEES_SOURCE!$AU486,"")</f>
        <v/>
      </c>
      <c r="T486" t="str">
        <f>IF(DONNEES_SOURCE!$CA486=TRUE,DONNEES_SOURCE!$BW486,"")</f>
        <v/>
      </c>
      <c r="U486" t="str">
        <f>IF(DONNEES_SOURCE!$CA486=TRUE,IFERROR(MATCH(DONNEES_SOURCE!$B486,{"2. Très rarement (Moins d'une fois par mois)","3. Rarement (1 à 3 fois par mois)","4. Parfois (Environ une fois par semaine)","5. Régulièrement (Plusieurs fois par semaine)","6. Quotidiennement (Une fois par jour)","7. Très fréquemment (Plusieurs fois par jour)"},0)+1,""),"")</f>
        <v/>
      </c>
    </row>
    <row r="487" spans="16:21" x14ac:dyDescent="0.25">
      <c r="P487" t="str">
        <f>IF(DONNEES_SOURCE!$CA487=TRUE,DONNEES_SOURCE!$BV487,"")</f>
        <v/>
      </c>
      <c r="Q487" t="str">
        <f>IF(DONNEES_SOURCE!$CA487=TRUE,IFERROR(MATCH(DONNEES_SOURCE!$B487,{"2. Très rarement (Moins d'une fois par mois)","3. Rarement (1 à 3 fois par mois)","4. Parfois (Environ une fois par semaine)","5. Régulièrement (Plusieurs fois par semaine)","6. Quotidiennement (Une fois par jour)","7. Très fréquemment (Plusieurs fois par jour)"},0)+1,""),"")</f>
        <v/>
      </c>
      <c r="R487" t="str">
        <f>IF(DONNEES_SOURCE!$CA487=TRUE,DONNEES_SOURCE!$BW487,"")</f>
        <v/>
      </c>
      <c r="S487" t="str">
        <f>IF(DONNEES_SOURCE!$CA487=TRUE,DONNEES_SOURCE!$AU487,"")</f>
        <v/>
      </c>
      <c r="T487" t="str">
        <f>IF(DONNEES_SOURCE!$CA487=TRUE,DONNEES_SOURCE!$BW487,"")</f>
        <v/>
      </c>
      <c r="U487" t="str">
        <f>IF(DONNEES_SOURCE!$CA487=TRUE,IFERROR(MATCH(DONNEES_SOURCE!$B487,{"2. Très rarement (Moins d'une fois par mois)","3. Rarement (1 à 3 fois par mois)","4. Parfois (Environ une fois par semaine)","5. Régulièrement (Plusieurs fois par semaine)","6. Quotidiennement (Une fois par jour)","7. Très fréquemment (Plusieurs fois par jour)"},0)+1,""),"")</f>
        <v/>
      </c>
    </row>
    <row r="488" spans="16:21" x14ac:dyDescent="0.25">
      <c r="P488" t="str">
        <f>IF(DONNEES_SOURCE!$CA488=TRUE,DONNEES_SOURCE!$BV488,"")</f>
        <v/>
      </c>
      <c r="Q488" t="str">
        <f>IF(DONNEES_SOURCE!$CA488=TRUE,IFERROR(MATCH(DONNEES_SOURCE!$B488,{"2. Très rarement (Moins d'une fois par mois)","3. Rarement (1 à 3 fois par mois)","4. Parfois (Environ une fois par semaine)","5. Régulièrement (Plusieurs fois par semaine)","6. Quotidiennement (Une fois par jour)","7. Très fréquemment (Plusieurs fois par jour)"},0)+1,""),"")</f>
        <v/>
      </c>
      <c r="R488" t="str">
        <f>IF(DONNEES_SOURCE!$CA488=TRUE,DONNEES_SOURCE!$BW488,"")</f>
        <v/>
      </c>
      <c r="S488" t="str">
        <f>IF(DONNEES_SOURCE!$CA488=TRUE,DONNEES_SOURCE!$AU488,"")</f>
        <v/>
      </c>
      <c r="T488" t="str">
        <f>IF(DONNEES_SOURCE!$CA488=TRUE,DONNEES_SOURCE!$BW488,"")</f>
        <v/>
      </c>
      <c r="U488" t="str">
        <f>IF(DONNEES_SOURCE!$CA488=TRUE,IFERROR(MATCH(DONNEES_SOURCE!$B488,{"2. Très rarement (Moins d'une fois par mois)","3. Rarement (1 à 3 fois par mois)","4. Parfois (Environ une fois par semaine)","5. Régulièrement (Plusieurs fois par semaine)","6. Quotidiennement (Une fois par jour)","7. Très fréquemment (Plusieurs fois par jour)"},0)+1,""),"")</f>
        <v/>
      </c>
    </row>
    <row r="489" spans="16:21" x14ac:dyDescent="0.25">
      <c r="P489" t="str">
        <f>IF(DONNEES_SOURCE!$CA489=TRUE,DONNEES_SOURCE!$BV489,"")</f>
        <v/>
      </c>
      <c r="Q489" t="str">
        <f>IF(DONNEES_SOURCE!$CA489=TRUE,IFERROR(MATCH(DONNEES_SOURCE!$B489,{"2. Très rarement (Moins d'une fois par mois)","3. Rarement (1 à 3 fois par mois)","4. Parfois (Environ une fois par semaine)","5. Régulièrement (Plusieurs fois par semaine)","6. Quotidiennement (Une fois par jour)","7. Très fréquemment (Plusieurs fois par jour)"},0)+1,""),"")</f>
        <v/>
      </c>
      <c r="R489" t="str">
        <f>IF(DONNEES_SOURCE!$CA489=TRUE,DONNEES_SOURCE!$BW489,"")</f>
        <v/>
      </c>
      <c r="S489" t="str">
        <f>IF(DONNEES_SOURCE!$CA489=TRUE,DONNEES_SOURCE!$AU489,"")</f>
        <v/>
      </c>
      <c r="T489" t="str">
        <f>IF(DONNEES_SOURCE!$CA489=TRUE,DONNEES_SOURCE!$BW489,"")</f>
        <v/>
      </c>
      <c r="U489" t="str">
        <f>IF(DONNEES_SOURCE!$CA489=TRUE,IFERROR(MATCH(DONNEES_SOURCE!$B489,{"2. Très rarement (Moins d'une fois par mois)","3. Rarement (1 à 3 fois par mois)","4. Parfois (Environ une fois par semaine)","5. Régulièrement (Plusieurs fois par semaine)","6. Quotidiennement (Une fois par jour)","7. Très fréquemment (Plusieurs fois par jour)"},0)+1,""),"")</f>
        <v/>
      </c>
    </row>
    <row r="490" spans="16:21" x14ac:dyDescent="0.25">
      <c r="P490" t="str">
        <f>IF(DONNEES_SOURCE!$CA490=TRUE,DONNEES_SOURCE!$BV490,"")</f>
        <v/>
      </c>
      <c r="Q490" t="str">
        <f>IF(DONNEES_SOURCE!$CA490=TRUE,IFERROR(MATCH(DONNEES_SOURCE!$B490,{"2. Très rarement (Moins d'une fois par mois)","3. Rarement (1 à 3 fois par mois)","4. Parfois (Environ une fois par semaine)","5. Régulièrement (Plusieurs fois par semaine)","6. Quotidiennement (Une fois par jour)","7. Très fréquemment (Plusieurs fois par jour)"},0)+1,""),"")</f>
        <v/>
      </c>
      <c r="R490" t="str">
        <f>IF(DONNEES_SOURCE!$CA490=TRUE,DONNEES_SOURCE!$BW490,"")</f>
        <v/>
      </c>
      <c r="S490" t="str">
        <f>IF(DONNEES_SOURCE!$CA490=TRUE,DONNEES_SOURCE!$AU490,"")</f>
        <v/>
      </c>
      <c r="T490" t="str">
        <f>IF(DONNEES_SOURCE!$CA490=TRUE,DONNEES_SOURCE!$BW490,"")</f>
        <v/>
      </c>
      <c r="U490" t="str">
        <f>IF(DONNEES_SOURCE!$CA490=TRUE,IFERROR(MATCH(DONNEES_SOURCE!$B490,{"2. Très rarement (Moins d'une fois par mois)","3. Rarement (1 à 3 fois par mois)","4. Parfois (Environ une fois par semaine)","5. Régulièrement (Plusieurs fois par semaine)","6. Quotidiennement (Une fois par jour)","7. Très fréquemment (Plusieurs fois par jour)"},0)+1,""),"")</f>
        <v/>
      </c>
    </row>
    <row r="491" spans="16:21" x14ac:dyDescent="0.25">
      <c r="P491" t="str">
        <f>IF(DONNEES_SOURCE!$CA491=TRUE,DONNEES_SOURCE!$BV491,"")</f>
        <v/>
      </c>
      <c r="Q491" t="str">
        <f>IF(DONNEES_SOURCE!$CA491=TRUE,IFERROR(MATCH(DONNEES_SOURCE!$B491,{"2. Très rarement (Moins d'une fois par mois)","3. Rarement (1 à 3 fois par mois)","4. Parfois (Environ une fois par semaine)","5. Régulièrement (Plusieurs fois par semaine)","6. Quotidiennement (Une fois par jour)","7. Très fréquemment (Plusieurs fois par jour)"},0)+1,""),"")</f>
        <v/>
      </c>
      <c r="R491" t="str">
        <f>IF(DONNEES_SOURCE!$CA491=TRUE,DONNEES_SOURCE!$BW491,"")</f>
        <v/>
      </c>
      <c r="S491" t="str">
        <f>IF(DONNEES_SOURCE!$CA491=TRUE,DONNEES_SOURCE!$AU491,"")</f>
        <v/>
      </c>
      <c r="T491" t="str">
        <f>IF(DONNEES_SOURCE!$CA491=TRUE,DONNEES_SOURCE!$BW491,"")</f>
        <v/>
      </c>
      <c r="U491" t="str">
        <f>IF(DONNEES_SOURCE!$CA491=TRUE,IFERROR(MATCH(DONNEES_SOURCE!$B491,{"2. Très rarement (Moins d'une fois par mois)","3. Rarement (1 à 3 fois par mois)","4. Parfois (Environ une fois par semaine)","5. Régulièrement (Plusieurs fois par semaine)","6. Quotidiennement (Une fois par jour)","7. Très fréquemment (Plusieurs fois par jour)"},0)+1,""),"")</f>
        <v/>
      </c>
    </row>
    <row r="492" spans="16:21" x14ac:dyDescent="0.25">
      <c r="P492" t="str">
        <f>IF(DONNEES_SOURCE!$CA492=TRUE,DONNEES_SOURCE!$BV492,"")</f>
        <v/>
      </c>
      <c r="Q492" t="str">
        <f>IF(DONNEES_SOURCE!$CA492=TRUE,IFERROR(MATCH(DONNEES_SOURCE!$B492,{"2. Très rarement (Moins d'une fois par mois)","3. Rarement (1 à 3 fois par mois)","4. Parfois (Environ une fois par semaine)","5. Régulièrement (Plusieurs fois par semaine)","6. Quotidiennement (Une fois par jour)","7. Très fréquemment (Plusieurs fois par jour)"},0)+1,""),"")</f>
        <v/>
      </c>
      <c r="R492" t="str">
        <f>IF(DONNEES_SOURCE!$CA492=TRUE,DONNEES_SOURCE!$BW492,"")</f>
        <v/>
      </c>
      <c r="S492" t="str">
        <f>IF(DONNEES_SOURCE!$CA492=TRUE,DONNEES_SOURCE!$AU492,"")</f>
        <v/>
      </c>
      <c r="T492" t="str">
        <f>IF(DONNEES_SOURCE!$CA492=TRUE,DONNEES_SOURCE!$BW492,"")</f>
        <v/>
      </c>
      <c r="U492" t="str">
        <f>IF(DONNEES_SOURCE!$CA492=TRUE,IFERROR(MATCH(DONNEES_SOURCE!$B492,{"2. Très rarement (Moins d'une fois par mois)","3. Rarement (1 à 3 fois par mois)","4. Parfois (Environ une fois par semaine)","5. Régulièrement (Plusieurs fois par semaine)","6. Quotidiennement (Une fois par jour)","7. Très fréquemment (Plusieurs fois par jour)"},0)+1,""),"")</f>
        <v/>
      </c>
    </row>
    <row r="493" spans="16:21" x14ac:dyDescent="0.25">
      <c r="P493" t="str">
        <f>IF(DONNEES_SOURCE!$CA493=TRUE,DONNEES_SOURCE!$BV493,"")</f>
        <v/>
      </c>
      <c r="Q493" t="str">
        <f>IF(DONNEES_SOURCE!$CA493=TRUE,IFERROR(MATCH(DONNEES_SOURCE!$B493,{"2. Très rarement (Moins d'une fois par mois)","3. Rarement (1 à 3 fois par mois)","4. Parfois (Environ une fois par semaine)","5. Régulièrement (Plusieurs fois par semaine)","6. Quotidiennement (Une fois par jour)","7. Très fréquemment (Plusieurs fois par jour)"},0)+1,""),"")</f>
        <v/>
      </c>
      <c r="R493" t="str">
        <f>IF(DONNEES_SOURCE!$CA493=TRUE,DONNEES_SOURCE!$BW493,"")</f>
        <v/>
      </c>
      <c r="S493" t="str">
        <f>IF(DONNEES_SOURCE!$CA493=TRUE,DONNEES_SOURCE!$AU493,"")</f>
        <v/>
      </c>
      <c r="T493" t="str">
        <f>IF(DONNEES_SOURCE!$CA493=TRUE,DONNEES_SOURCE!$BW493,"")</f>
        <v/>
      </c>
      <c r="U493" t="str">
        <f>IF(DONNEES_SOURCE!$CA493=TRUE,IFERROR(MATCH(DONNEES_SOURCE!$B493,{"2. Très rarement (Moins d'une fois par mois)","3. Rarement (1 à 3 fois par mois)","4. Parfois (Environ une fois par semaine)","5. Régulièrement (Plusieurs fois par semaine)","6. Quotidiennement (Une fois par jour)","7. Très fréquemment (Plusieurs fois par jour)"},0)+1,""),"")</f>
        <v/>
      </c>
    </row>
    <row r="494" spans="16:21" x14ac:dyDescent="0.25">
      <c r="P494" t="str">
        <f>IF(DONNEES_SOURCE!$CA494=TRUE,DONNEES_SOURCE!$BV494,"")</f>
        <v/>
      </c>
      <c r="Q494" t="str">
        <f>IF(DONNEES_SOURCE!$CA494=TRUE,IFERROR(MATCH(DONNEES_SOURCE!$B494,{"2. Très rarement (Moins d'une fois par mois)","3. Rarement (1 à 3 fois par mois)","4. Parfois (Environ une fois par semaine)","5. Régulièrement (Plusieurs fois par semaine)","6. Quotidiennement (Une fois par jour)","7. Très fréquemment (Plusieurs fois par jour)"},0)+1,""),"")</f>
        <v/>
      </c>
      <c r="R494" t="str">
        <f>IF(DONNEES_SOURCE!$CA494=TRUE,DONNEES_SOURCE!$BW494,"")</f>
        <v/>
      </c>
      <c r="S494" t="str">
        <f>IF(DONNEES_SOURCE!$CA494=TRUE,DONNEES_SOURCE!$AU494,"")</f>
        <v/>
      </c>
      <c r="T494" t="str">
        <f>IF(DONNEES_SOURCE!$CA494=TRUE,DONNEES_SOURCE!$BW494,"")</f>
        <v/>
      </c>
      <c r="U494" t="str">
        <f>IF(DONNEES_SOURCE!$CA494=TRUE,IFERROR(MATCH(DONNEES_SOURCE!$B494,{"2. Très rarement (Moins d'une fois par mois)","3. Rarement (1 à 3 fois par mois)","4. Parfois (Environ une fois par semaine)","5. Régulièrement (Plusieurs fois par semaine)","6. Quotidiennement (Une fois par jour)","7. Très fréquemment (Plusieurs fois par jour)"},0)+1,""),"")</f>
        <v/>
      </c>
    </row>
    <row r="495" spans="16:21" x14ac:dyDescent="0.25">
      <c r="P495" t="str">
        <f>IF(DONNEES_SOURCE!$CA495=TRUE,DONNEES_SOURCE!$BV495,"")</f>
        <v/>
      </c>
      <c r="Q495" t="str">
        <f>IF(DONNEES_SOURCE!$CA495=TRUE,IFERROR(MATCH(DONNEES_SOURCE!$B495,{"2. Très rarement (Moins d'une fois par mois)","3. Rarement (1 à 3 fois par mois)","4. Parfois (Environ une fois par semaine)","5. Régulièrement (Plusieurs fois par semaine)","6. Quotidiennement (Une fois par jour)","7. Très fréquemment (Plusieurs fois par jour)"},0)+1,""),"")</f>
        <v/>
      </c>
      <c r="R495" t="str">
        <f>IF(DONNEES_SOURCE!$CA495=TRUE,DONNEES_SOURCE!$BW495,"")</f>
        <v/>
      </c>
      <c r="S495" t="str">
        <f>IF(DONNEES_SOURCE!$CA495=TRUE,DONNEES_SOURCE!$AU495,"")</f>
        <v/>
      </c>
      <c r="T495" t="str">
        <f>IF(DONNEES_SOURCE!$CA495=TRUE,DONNEES_SOURCE!$BW495,"")</f>
        <v/>
      </c>
      <c r="U495" t="str">
        <f>IF(DONNEES_SOURCE!$CA495=TRUE,IFERROR(MATCH(DONNEES_SOURCE!$B495,{"2. Très rarement (Moins d'une fois par mois)","3. Rarement (1 à 3 fois par mois)","4. Parfois (Environ une fois par semaine)","5. Régulièrement (Plusieurs fois par semaine)","6. Quotidiennement (Une fois par jour)","7. Très fréquemment (Plusieurs fois par jour)"},0)+1,""),"")</f>
        <v/>
      </c>
    </row>
    <row r="496" spans="16:21" x14ac:dyDescent="0.25">
      <c r="P496" t="str">
        <f>IF(DONNEES_SOURCE!$CA496=TRUE,DONNEES_SOURCE!$BV496,"")</f>
        <v/>
      </c>
      <c r="Q496" t="str">
        <f>IF(DONNEES_SOURCE!$CA496=TRUE,IFERROR(MATCH(DONNEES_SOURCE!$B496,{"2. Très rarement (Moins d'une fois par mois)","3. Rarement (1 à 3 fois par mois)","4. Parfois (Environ une fois par semaine)","5. Régulièrement (Plusieurs fois par semaine)","6. Quotidiennement (Une fois par jour)","7. Très fréquemment (Plusieurs fois par jour)"},0)+1,""),"")</f>
        <v/>
      </c>
      <c r="R496" t="str">
        <f>IF(DONNEES_SOURCE!$CA496=TRUE,DONNEES_SOURCE!$BW496,"")</f>
        <v/>
      </c>
      <c r="S496" t="str">
        <f>IF(DONNEES_SOURCE!$CA496=TRUE,DONNEES_SOURCE!$AU496,"")</f>
        <v/>
      </c>
      <c r="T496" t="str">
        <f>IF(DONNEES_SOURCE!$CA496=TRUE,DONNEES_SOURCE!$BW496,"")</f>
        <v/>
      </c>
      <c r="U496" t="str">
        <f>IF(DONNEES_SOURCE!$CA496=TRUE,IFERROR(MATCH(DONNEES_SOURCE!$B496,{"2. Très rarement (Moins d'une fois par mois)","3. Rarement (1 à 3 fois par mois)","4. Parfois (Environ une fois par semaine)","5. Régulièrement (Plusieurs fois par semaine)","6. Quotidiennement (Une fois par jour)","7. Très fréquemment (Plusieurs fois par jour)"},0)+1,""),"")</f>
        <v/>
      </c>
    </row>
    <row r="497" spans="16:21" x14ac:dyDescent="0.25">
      <c r="P497" t="str">
        <f>IF(DONNEES_SOURCE!$CA497=TRUE,DONNEES_SOURCE!$BV497,"")</f>
        <v/>
      </c>
      <c r="Q497" t="str">
        <f>IF(DONNEES_SOURCE!$CA497=TRUE,IFERROR(MATCH(DONNEES_SOURCE!$B497,{"2. Très rarement (Moins d'une fois par mois)","3. Rarement (1 à 3 fois par mois)","4. Parfois (Environ une fois par semaine)","5. Régulièrement (Plusieurs fois par semaine)","6. Quotidiennement (Une fois par jour)","7. Très fréquemment (Plusieurs fois par jour)"},0)+1,""),"")</f>
        <v/>
      </c>
      <c r="R497" t="str">
        <f>IF(DONNEES_SOURCE!$CA497=TRUE,DONNEES_SOURCE!$BW497,"")</f>
        <v/>
      </c>
      <c r="S497" t="str">
        <f>IF(DONNEES_SOURCE!$CA497=TRUE,DONNEES_SOURCE!$AU497,"")</f>
        <v/>
      </c>
      <c r="T497" t="str">
        <f>IF(DONNEES_SOURCE!$CA497=TRUE,DONNEES_SOURCE!$BW497,"")</f>
        <v/>
      </c>
      <c r="U497" t="str">
        <f>IF(DONNEES_SOURCE!$CA497=TRUE,IFERROR(MATCH(DONNEES_SOURCE!$B497,{"2. Très rarement (Moins d'une fois par mois)","3. Rarement (1 à 3 fois par mois)","4. Parfois (Environ une fois par semaine)","5. Régulièrement (Plusieurs fois par semaine)","6. Quotidiennement (Une fois par jour)","7. Très fréquemment (Plusieurs fois par jour)"},0)+1,""),"")</f>
        <v/>
      </c>
    </row>
    <row r="498" spans="16:21" x14ac:dyDescent="0.25">
      <c r="P498" t="str">
        <f>IF(DONNEES_SOURCE!$CA498=TRUE,DONNEES_SOURCE!$BV498,"")</f>
        <v/>
      </c>
      <c r="Q498" t="str">
        <f>IF(DONNEES_SOURCE!$CA498=TRUE,IFERROR(MATCH(DONNEES_SOURCE!$B498,{"2. Très rarement (Moins d'une fois par mois)","3. Rarement (1 à 3 fois par mois)","4. Parfois (Environ une fois par semaine)","5. Régulièrement (Plusieurs fois par semaine)","6. Quotidiennement (Une fois par jour)","7. Très fréquemment (Plusieurs fois par jour)"},0)+1,""),"")</f>
        <v/>
      </c>
      <c r="R498" t="str">
        <f>IF(DONNEES_SOURCE!$CA498=TRUE,DONNEES_SOURCE!$BW498,"")</f>
        <v/>
      </c>
      <c r="S498" t="str">
        <f>IF(DONNEES_SOURCE!$CA498=TRUE,DONNEES_SOURCE!$AU498,"")</f>
        <v/>
      </c>
      <c r="T498" t="str">
        <f>IF(DONNEES_SOURCE!$CA498=TRUE,DONNEES_SOURCE!$BW498,"")</f>
        <v/>
      </c>
      <c r="U498" t="str">
        <f>IF(DONNEES_SOURCE!$CA498=TRUE,IFERROR(MATCH(DONNEES_SOURCE!$B498,{"2. Très rarement (Moins d'une fois par mois)","3. Rarement (1 à 3 fois par mois)","4. Parfois (Environ une fois par semaine)","5. Régulièrement (Plusieurs fois par semaine)","6. Quotidiennement (Une fois par jour)","7. Très fréquemment (Plusieurs fois par jour)"},0)+1,""),"")</f>
        <v/>
      </c>
    </row>
    <row r="499" spans="16:21" x14ac:dyDescent="0.25">
      <c r="P499" t="str">
        <f>IF(DONNEES_SOURCE!$CA499=TRUE,DONNEES_SOURCE!$BV499,"")</f>
        <v/>
      </c>
      <c r="Q499" t="str">
        <f>IF(DONNEES_SOURCE!$CA499=TRUE,IFERROR(MATCH(DONNEES_SOURCE!$B499,{"2. Très rarement (Moins d'une fois par mois)","3. Rarement (1 à 3 fois par mois)","4. Parfois (Environ une fois par semaine)","5. Régulièrement (Plusieurs fois par semaine)","6. Quotidiennement (Une fois par jour)","7. Très fréquemment (Plusieurs fois par jour)"},0)+1,""),"")</f>
        <v/>
      </c>
      <c r="R499" t="str">
        <f>IF(DONNEES_SOURCE!$CA499=TRUE,DONNEES_SOURCE!$BW499,"")</f>
        <v/>
      </c>
      <c r="S499" t="str">
        <f>IF(DONNEES_SOURCE!$CA499=TRUE,DONNEES_SOURCE!$AU499,"")</f>
        <v/>
      </c>
      <c r="T499" t="str">
        <f>IF(DONNEES_SOURCE!$CA499=TRUE,DONNEES_SOURCE!$BW499,"")</f>
        <v/>
      </c>
      <c r="U499" t="str">
        <f>IF(DONNEES_SOURCE!$CA499=TRUE,IFERROR(MATCH(DONNEES_SOURCE!$B499,{"2. Très rarement (Moins d'une fois par mois)","3. Rarement (1 à 3 fois par mois)","4. Parfois (Environ une fois par semaine)","5. Régulièrement (Plusieurs fois par semaine)","6. Quotidiennement (Une fois par jour)","7. Très fréquemment (Plusieurs fois par jour)"},0)+1,""),"")</f>
        <v/>
      </c>
    </row>
    <row r="500" spans="16:21" x14ac:dyDescent="0.25">
      <c r="P500" t="str">
        <f>IF(DONNEES_SOURCE!$CA500=TRUE,DONNEES_SOURCE!$BV500,"")</f>
        <v/>
      </c>
      <c r="Q500" t="str">
        <f>IF(DONNEES_SOURCE!$CA500=TRUE,IFERROR(MATCH(DONNEES_SOURCE!$B500,{"2. Très rarement (Moins d'une fois par mois)","3. Rarement (1 à 3 fois par mois)","4. Parfois (Environ une fois par semaine)","5. Régulièrement (Plusieurs fois par semaine)","6. Quotidiennement (Une fois par jour)","7. Très fréquemment (Plusieurs fois par jour)"},0)+1,""),"")</f>
        <v/>
      </c>
      <c r="R500" t="str">
        <f>IF(DONNEES_SOURCE!$CA500=TRUE,DONNEES_SOURCE!$BW500,"")</f>
        <v/>
      </c>
      <c r="S500" t="str">
        <f>IF(DONNEES_SOURCE!$CA500=TRUE,DONNEES_SOURCE!$AU500,"")</f>
        <v/>
      </c>
      <c r="T500" t="str">
        <f>IF(DONNEES_SOURCE!$CA500=TRUE,DONNEES_SOURCE!$BW500,"")</f>
        <v/>
      </c>
      <c r="U500" t="str">
        <f>IF(DONNEES_SOURCE!$CA500=TRUE,IFERROR(MATCH(DONNEES_SOURCE!$B500,{"2. Très rarement (Moins d'une fois par mois)","3. Rarement (1 à 3 fois par mois)","4. Parfois (Environ une fois par semaine)","5. Régulièrement (Plusieurs fois par semaine)","6. Quotidiennement (Une fois par jour)","7. Très fréquemment (Plusieurs fois par jour)"},0)+1,""),"")</f>
        <v/>
      </c>
    </row>
    <row r="501" spans="16:21" x14ac:dyDescent="0.25">
      <c r="P501" t="str">
        <f>IF(DONNEES_SOURCE!$CA501=TRUE,DONNEES_SOURCE!$BV501,"")</f>
        <v/>
      </c>
      <c r="Q501" t="str">
        <f>IF(DONNEES_SOURCE!$CA501=TRUE,IFERROR(MATCH(DONNEES_SOURCE!$B501,{"2. Très rarement (Moins d'une fois par mois)","3. Rarement (1 à 3 fois par mois)","4. Parfois (Environ une fois par semaine)","5. Régulièrement (Plusieurs fois par semaine)","6. Quotidiennement (Une fois par jour)","7. Très fréquemment (Plusieurs fois par jour)"},0)+1,""),"")</f>
        <v/>
      </c>
      <c r="R501" t="str">
        <f>IF(DONNEES_SOURCE!$CA501=TRUE,DONNEES_SOURCE!$BW501,"")</f>
        <v/>
      </c>
      <c r="S501" t="str">
        <f>IF(DONNEES_SOURCE!$CA501=TRUE,DONNEES_SOURCE!$AU501,"")</f>
        <v/>
      </c>
      <c r="T501" t="str">
        <f>IF(DONNEES_SOURCE!$CA501=TRUE,DONNEES_SOURCE!$BW501,"")</f>
        <v/>
      </c>
      <c r="U501" t="str">
        <f>IF(DONNEES_SOURCE!$CA501=TRUE,IFERROR(MATCH(DONNEES_SOURCE!$B501,{"2. Très rarement (Moins d'une fois par mois)","3. Rarement (1 à 3 fois par mois)","4. Parfois (Environ une fois par semaine)","5. Régulièrement (Plusieurs fois par semaine)","6. Quotidiennement (Une fois par jour)","7. Très fréquemment (Plusieurs fois par jour)"},0)+1,""),"")</f>
        <v/>
      </c>
    </row>
    <row r="502" spans="16:21" x14ac:dyDescent="0.25">
      <c r="P502" t="str">
        <f>IF(DONNEES_SOURCE!$CA502=TRUE,DONNEES_SOURCE!$BV502,"")</f>
        <v/>
      </c>
      <c r="Q502" t="str">
        <f>IF(DONNEES_SOURCE!$CA502=TRUE,IFERROR(MATCH(DONNEES_SOURCE!$B502,{"2. Très rarement (Moins d'une fois par mois)","3. Rarement (1 à 3 fois par mois)","4. Parfois (Environ une fois par semaine)","5. Régulièrement (Plusieurs fois par semaine)","6. Quotidiennement (Une fois par jour)","7. Très fréquemment (Plusieurs fois par jour)"},0)+1,""),"")</f>
        <v/>
      </c>
      <c r="R502" t="str">
        <f>IF(DONNEES_SOURCE!$CA502=TRUE,DONNEES_SOURCE!$BW502,"")</f>
        <v/>
      </c>
      <c r="S502" t="str">
        <f>IF(DONNEES_SOURCE!$CA502=TRUE,DONNEES_SOURCE!$AU502,"")</f>
        <v/>
      </c>
      <c r="T502" t="str">
        <f>IF(DONNEES_SOURCE!$CA502=TRUE,DONNEES_SOURCE!$BW502,"")</f>
        <v/>
      </c>
      <c r="U502" t="str">
        <f>IF(DONNEES_SOURCE!$CA502=TRUE,IFERROR(MATCH(DONNEES_SOURCE!$B502,{"2. Très rarement (Moins d'une fois par mois)","3. Rarement (1 à 3 fois par mois)","4. Parfois (Environ une fois par semaine)","5. Régulièrement (Plusieurs fois par semaine)","6. Quotidiennement (Une fois par jour)","7. Très fréquemment (Plusieurs fois par jour)"},0)+1,""),"")</f>
        <v/>
      </c>
    </row>
    <row r="503" spans="16:21" x14ac:dyDescent="0.25">
      <c r="P503" t="str">
        <f>IF(DONNEES_SOURCE!$CA503=TRUE,DONNEES_SOURCE!$BV503,"")</f>
        <v/>
      </c>
      <c r="Q503" t="str">
        <f>IF(DONNEES_SOURCE!$CA503=TRUE,IFERROR(MATCH(DONNEES_SOURCE!$B503,{"2. Très rarement (Moins d'une fois par mois)","3. Rarement (1 à 3 fois par mois)","4. Parfois (Environ une fois par semaine)","5. Régulièrement (Plusieurs fois par semaine)","6. Quotidiennement (Une fois par jour)","7. Très fréquemment (Plusieurs fois par jour)"},0)+1,""),"")</f>
        <v/>
      </c>
      <c r="R503" t="str">
        <f>IF(DONNEES_SOURCE!$CA503=TRUE,DONNEES_SOURCE!$BW503,"")</f>
        <v/>
      </c>
      <c r="S503" t="str">
        <f>IF(DONNEES_SOURCE!$CA503=TRUE,DONNEES_SOURCE!$AU503,"")</f>
        <v/>
      </c>
      <c r="T503" t="str">
        <f>IF(DONNEES_SOURCE!$CA503=TRUE,DONNEES_SOURCE!$BW503,"")</f>
        <v/>
      </c>
      <c r="U503" t="str">
        <f>IF(DONNEES_SOURCE!$CA503=TRUE,IFERROR(MATCH(DONNEES_SOURCE!$B503,{"2. Très rarement (Moins d'une fois par mois)","3. Rarement (1 à 3 fois par mois)","4. Parfois (Environ une fois par semaine)","5. Régulièrement (Plusieurs fois par semaine)","6. Quotidiennement (Une fois par jour)","7. Très fréquemment (Plusieurs fois par jour)"},0)+1,""),"")</f>
        <v/>
      </c>
    </row>
    <row r="504" spans="16:21" x14ac:dyDescent="0.25">
      <c r="P504" t="str">
        <f>IF(DONNEES_SOURCE!$CA504=TRUE,DONNEES_SOURCE!$BV504,"")</f>
        <v/>
      </c>
      <c r="Q504" t="str">
        <f>IF(DONNEES_SOURCE!$CA504=TRUE,IFERROR(MATCH(DONNEES_SOURCE!$B504,{"2. Très rarement (Moins d'une fois par mois)","3. Rarement (1 à 3 fois par mois)","4. Parfois (Environ une fois par semaine)","5. Régulièrement (Plusieurs fois par semaine)","6. Quotidiennement (Une fois par jour)","7. Très fréquemment (Plusieurs fois par jour)"},0)+1,""),"")</f>
        <v/>
      </c>
      <c r="R504" t="str">
        <f>IF(DONNEES_SOURCE!$CA504=TRUE,DONNEES_SOURCE!$BW504,"")</f>
        <v/>
      </c>
      <c r="S504" t="str">
        <f>IF(DONNEES_SOURCE!$CA504=TRUE,DONNEES_SOURCE!$AU504,"")</f>
        <v/>
      </c>
      <c r="T504" t="str">
        <f>IF(DONNEES_SOURCE!$CA504=TRUE,DONNEES_SOURCE!$BW504,"")</f>
        <v/>
      </c>
      <c r="U504" t="str">
        <f>IF(DONNEES_SOURCE!$CA504=TRUE,IFERROR(MATCH(DONNEES_SOURCE!$B504,{"2. Très rarement (Moins d'une fois par mois)","3. Rarement (1 à 3 fois par mois)","4. Parfois (Environ une fois par semaine)","5. Régulièrement (Plusieurs fois par semaine)","6. Quotidiennement (Une fois par jour)","7. Très fréquemment (Plusieurs fois par jour)"},0)+1,""),"")</f>
        <v/>
      </c>
    </row>
    <row r="505" spans="16:21" x14ac:dyDescent="0.25">
      <c r="P505" t="str">
        <f>IF(DONNEES_SOURCE!$CA505=TRUE,DONNEES_SOURCE!$BV505,"")</f>
        <v/>
      </c>
      <c r="Q505" t="str">
        <f>IF(DONNEES_SOURCE!$CA505=TRUE,IFERROR(MATCH(DONNEES_SOURCE!$B505,{"2. Très rarement (Moins d'une fois par mois)","3. Rarement (1 à 3 fois par mois)","4. Parfois (Environ une fois par semaine)","5. Régulièrement (Plusieurs fois par semaine)","6. Quotidiennement (Une fois par jour)","7. Très fréquemment (Plusieurs fois par jour)"},0)+1,""),"")</f>
        <v/>
      </c>
      <c r="R505" t="str">
        <f>IF(DONNEES_SOURCE!$CA505=TRUE,DONNEES_SOURCE!$BW505,"")</f>
        <v/>
      </c>
      <c r="S505" t="str">
        <f>IF(DONNEES_SOURCE!$CA505=TRUE,DONNEES_SOURCE!$AU505,"")</f>
        <v/>
      </c>
      <c r="T505" t="str">
        <f>IF(DONNEES_SOURCE!$CA505=TRUE,DONNEES_SOURCE!$BW505,"")</f>
        <v/>
      </c>
      <c r="U505" t="str">
        <f>IF(DONNEES_SOURCE!$CA505=TRUE,IFERROR(MATCH(DONNEES_SOURCE!$B505,{"2. Très rarement (Moins d'une fois par mois)","3. Rarement (1 à 3 fois par mois)","4. Parfois (Environ une fois par semaine)","5. Régulièrement (Plusieurs fois par semaine)","6. Quotidiennement (Une fois par jour)","7. Très fréquemment (Plusieurs fois par jour)"},0)+1,""),"")</f>
        <v/>
      </c>
    </row>
    <row r="506" spans="16:21" x14ac:dyDescent="0.25">
      <c r="P506" t="str">
        <f>IF(DONNEES_SOURCE!$CA506=TRUE,DONNEES_SOURCE!$BV506,"")</f>
        <v/>
      </c>
      <c r="Q506" t="str">
        <f>IF(DONNEES_SOURCE!$CA506=TRUE,IFERROR(MATCH(DONNEES_SOURCE!$B506,{"2. Très rarement (Moins d'une fois par mois)","3. Rarement (1 à 3 fois par mois)","4. Parfois (Environ une fois par semaine)","5. Régulièrement (Plusieurs fois par semaine)","6. Quotidiennement (Une fois par jour)","7. Très fréquemment (Plusieurs fois par jour)"},0)+1,""),"")</f>
        <v/>
      </c>
      <c r="R506" t="str">
        <f>IF(DONNEES_SOURCE!$CA506=TRUE,DONNEES_SOURCE!$BW506,"")</f>
        <v/>
      </c>
      <c r="S506" t="str">
        <f>IF(DONNEES_SOURCE!$CA506=TRUE,DONNEES_SOURCE!$AU506,"")</f>
        <v/>
      </c>
      <c r="T506" t="str">
        <f>IF(DONNEES_SOURCE!$CA506=TRUE,DONNEES_SOURCE!$BW506,"")</f>
        <v/>
      </c>
      <c r="U506" t="str">
        <f>IF(DONNEES_SOURCE!$CA506=TRUE,IFERROR(MATCH(DONNEES_SOURCE!$B506,{"2. Très rarement (Moins d'une fois par mois)","3. Rarement (1 à 3 fois par mois)","4. Parfois (Environ une fois par semaine)","5. Régulièrement (Plusieurs fois par semaine)","6. Quotidiennement (Une fois par jour)","7. Très fréquemment (Plusieurs fois par jour)"},0)+1,""),"")</f>
        <v/>
      </c>
    </row>
    <row r="507" spans="16:21" x14ac:dyDescent="0.25">
      <c r="P507" t="str">
        <f>IF(DONNEES_SOURCE!$CA507=TRUE,DONNEES_SOURCE!$BV507,"")</f>
        <v/>
      </c>
      <c r="Q507" t="str">
        <f>IF(DONNEES_SOURCE!$CA507=TRUE,IFERROR(MATCH(DONNEES_SOURCE!$B507,{"2. Très rarement (Moins d'une fois par mois)","3. Rarement (1 à 3 fois par mois)","4. Parfois (Environ une fois par semaine)","5. Régulièrement (Plusieurs fois par semaine)","6. Quotidiennement (Une fois par jour)","7. Très fréquemment (Plusieurs fois par jour)"},0)+1,""),"")</f>
        <v/>
      </c>
      <c r="R507" t="str">
        <f>IF(DONNEES_SOURCE!$CA507=TRUE,DONNEES_SOURCE!$BW507,"")</f>
        <v/>
      </c>
      <c r="S507" t="str">
        <f>IF(DONNEES_SOURCE!$CA507=TRUE,DONNEES_SOURCE!$AU507,"")</f>
        <v/>
      </c>
      <c r="T507" t="str">
        <f>IF(DONNEES_SOURCE!$CA507=TRUE,DONNEES_SOURCE!$BW507,"")</f>
        <v/>
      </c>
      <c r="U507" t="str">
        <f>IF(DONNEES_SOURCE!$CA507=TRUE,IFERROR(MATCH(DONNEES_SOURCE!$B507,{"2. Très rarement (Moins d'une fois par mois)","3. Rarement (1 à 3 fois par mois)","4. Parfois (Environ une fois par semaine)","5. Régulièrement (Plusieurs fois par semaine)","6. Quotidiennement (Une fois par jour)","7. Très fréquemment (Plusieurs fois par jour)"},0)+1,""),"")</f>
        <v/>
      </c>
    </row>
    <row r="508" spans="16:21" x14ac:dyDescent="0.25">
      <c r="P508" t="str">
        <f>IF(DONNEES_SOURCE!$CA508=TRUE,DONNEES_SOURCE!$BV508,"")</f>
        <v/>
      </c>
      <c r="Q508" t="str">
        <f>IF(DONNEES_SOURCE!$CA508=TRUE,IFERROR(MATCH(DONNEES_SOURCE!$B508,{"2. Très rarement (Moins d'une fois par mois)","3. Rarement (1 à 3 fois par mois)","4. Parfois (Environ une fois par semaine)","5. Régulièrement (Plusieurs fois par semaine)","6. Quotidiennement (Une fois par jour)","7. Très fréquemment (Plusieurs fois par jour)"},0)+1,""),"")</f>
        <v/>
      </c>
      <c r="R508" t="str">
        <f>IF(DONNEES_SOURCE!$CA508=TRUE,DONNEES_SOURCE!$BW508,"")</f>
        <v/>
      </c>
      <c r="S508" t="str">
        <f>IF(DONNEES_SOURCE!$CA508=TRUE,DONNEES_SOURCE!$AU508,"")</f>
        <v/>
      </c>
      <c r="T508" t="str">
        <f>IF(DONNEES_SOURCE!$CA508=TRUE,DONNEES_SOURCE!$BW508,"")</f>
        <v/>
      </c>
      <c r="U508" t="str">
        <f>IF(DONNEES_SOURCE!$CA508=TRUE,IFERROR(MATCH(DONNEES_SOURCE!$B508,{"2. Très rarement (Moins d'une fois par mois)","3. Rarement (1 à 3 fois par mois)","4. Parfois (Environ une fois par semaine)","5. Régulièrement (Plusieurs fois par semaine)","6. Quotidiennement (Une fois par jour)","7. Très fréquemment (Plusieurs fois par jour)"},0)+1,""),"")</f>
        <v/>
      </c>
    </row>
    <row r="509" spans="16:21" x14ac:dyDescent="0.25">
      <c r="P509" t="str">
        <f>IF(DONNEES_SOURCE!$CA509=TRUE,DONNEES_SOURCE!$BV509,"")</f>
        <v/>
      </c>
      <c r="Q509" t="str">
        <f>IF(DONNEES_SOURCE!$CA509=TRUE,IFERROR(MATCH(DONNEES_SOURCE!$B509,{"2. Très rarement (Moins d'une fois par mois)","3. Rarement (1 à 3 fois par mois)","4. Parfois (Environ une fois par semaine)","5. Régulièrement (Plusieurs fois par semaine)","6. Quotidiennement (Une fois par jour)","7. Très fréquemment (Plusieurs fois par jour)"},0)+1,""),"")</f>
        <v/>
      </c>
      <c r="R509" t="str">
        <f>IF(DONNEES_SOURCE!$CA509=TRUE,DONNEES_SOURCE!$BW509,"")</f>
        <v/>
      </c>
      <c r="S509" t="str">
        <f>IF(DONNEES_SOURCE!$CA509=TRUE,DONNEES_SOURCE!$AU509,"")</f>
        <v/>
      </c>
      <c r="T509" t="str">
        <f>IF(DONNEES_SOURCE!$CA509=TRUE,DONNEES_SOURCE!$BW509,"")</f>
        <v/>
      </c>
      <c r="U509" t="str">
        <f>IF(DONNEES_SOURCE!$CA509=TRUE,IFERROR(MATCH(DONNEES_SOURCE!$B509,{"2. Très rarement (Moins d'une fois par mois)","3. Rarement (1 à 3 fois par mois)","4. Parfois (Environ une fois par semaine)","5. Régulièrement (Plusieurs fois par semaine)","6. Quotidiennement (Une fois par jour)","7. Très fréquemment (Plusieurs fois par jour)"},0)+1,""),"")</f>
        <v/>
      </c>
    </row>
    <row r="510" spans="16:21" x14ac:dyDescent="0.25">
      <c r="P510" t="str">
        <f>IF(DONNEES_SOURCE!$CA510=TRUE,DONNEES_SOURCE!$BV510,"")</f>
        <v/>
      </c>
      <c r="Q510" t="str">
        <f>IF(DONNEES_SOURCE!$CA510=TRUE,IFERROR(MATCH(DONNEES_SOURCE!$B510,{"2. Très rarement (Moins d'une fois par mois)","3. Rarement (1 à 3 fois par mois)","4. Parfois (Environ une fois par semaine)","5. Régulièrement (Plusieurs fois par semaine)","6. Quotidiennement (Une fois par jour)","7. Très fréquemment (Plusieurs fois par jour)"},0)+1,""),"")</f>
        <v/>
      </c>
      <c r="R510" t="str">
        <f>IF(DONNEES_SOURCE!$CA510=TRUE,DONNEES_SOURCE!$BW510,"")</f>
        <v/>
      </c>
      <c r="S510" t="str">
        <f>IF(DONNEES_SOURCE!$CA510=TRUE,DONNEES_SOURCE!$AU510,"")</f>
        <v/>
      </c>
      <c r="T510" t="str">
        <f>IF(DONNEES_SOURCE!$CA510=TRUE,DONNEES_SOURCE!$BW510,"")</f>
        <v/>
      </c>
      <c r="U510" t="str">
        <f>IF(DONNEES_SOURCE!$CA510=TRUE,IFERROR(MATCH(DONNEES_SOURCE!$B510,{"2. Très rarement (Moins d'une fois par mois)","3. Rarement (1 à 3 fois par mois)","4. Parfois (Environ une fois par semaine)","5. Régulièrement (Plusieurs fois par semaine)","6. Quotidiennement (Une fois par jour)","7. Très fréquemment (Plusieurs fois par jour)"},0)+1,""),"")</f>
        <v/>
      </c>
    </row>
    <row r="511" spans="16:21" x14ac:dyDescent="0.25">
      <c r="P511" t="str">
        <f>IF(DONNEES_SOURCE!$CA511=TRUE,DONNEES_SOURCE!$BV511,"")</f>
        <v/>
      </c>
      <c r="Q511" t="str">
        <f>IF(DONNEES_SOURCE!$CA511=TRUE,IFERROR(MATCH(DONNEES_SOURCE!$B511,{"2. Très rarement (Moins d'une fois par mois)","3. Rarement (1 à 3 fois par mois)","4. Parfois (Environ une fois par semaine)","5. Régulièrement (Plusieurs fois par semaine)","6. Quotidiennement (Une fois par jour)","7. Très fréquemment (Plusieurs fois par jour)"},0)+1,""),"")</f>
        <v/>
      </c>
      <c r="R511" t="str">
        <f>IF(DONNEES_SOURCE!$CA511=TRUE,DONNEES_SOURCE!$BW511,"")</f>
        <v/>
      </c>
      <c r="S511" t="str">
        <f>IF(DONNEES_SOURCE!$CA511=TRUE,DONNEES_SOURCE!$AU511,"")</f>
        <v/>
      </c>
      <c r="T511" t="str">
        <f>IF(DONNEES_SOURCE!$CA511=TRUE,DONNEES_SOURCE!$BW511,"")</f>
        <v/>
      </c>
      <c r="U511" t="str">
        <f>IF(DONNEES_SOURCE!$CA511=TRUE,IFERROR(MATCH(DONNEES_SOURCE!$B511,{"2. Très rarement (Moins d'une fois par mois)","3. Rarement (1 à 3 fois par mois)","4. Parfois (Environ une fois par semaine)","5. Régulièrement (Plusieurs fois par semaine)","6. Quotidiennement (Une fois par jour)","7. Très fréquemment (Plusieurs fois par jour)"},0)+1,""),"")</f>
        <v/>
      </c>
    </row>
    <row r="512" spans="16:21" x14ac:dyDescent="0.25">
      <c r="P512" t="str">
        <f>IF(DONNEES_SOURCE!$CA512=TRUE,DONNEES_SOURCE!$BV512,"")</f>
        <v/>
      </c>
      <c r="Q512" t="str">
        <f>IF(DONNEES_SOURCE!$CA512=TRUE,IFERROR(MATCH(DONNEES_SOURCE!$B512,{"2. Très rarement (Moins d'une fois par mois)","3. Rarement (1 à 3 fois par mois)","4. Parfois (Environ une fois par semaine)","5. Régulièrement (Plusieurs fois par semaine)","6. Quotidiennement (Une fois par jour)","7. Très fréquemment (Plusieurs fois par jour)"},0)+1,""),"")</f>
        <v/>
      </c>
      <c r="R512" t="str">
        <f>IF(DONNEES_SOURCE!$CA512=TRUE,DONNEES_SOURCE!$BW512,"")</f>
        <v/>
      </c>
      <c r="S512" t="str">
        <f>IF(DONNEES_SOURCE!$CA512=TRUE,DONNEES_SOURCE!$AU512,"")</f>
        <v/>
      </c>
      <c r="T512" t="str">
        <f>IF(DONNEES_SOURCE!$CA512=TRUE,DONNEES_SOURCE!$BW512,"")</f>
        <v/>
      </c>
      <c r="U512" t="str">
        <f>IF(DONNEES_SOURCE!$CA512=TRUE,IFERROR(MATCH(DONNEES_SOURCE!$B512,{"2. Très rarement (Moins d'une fois par mois)","3. Rarement (1 à 3 fois par mois)","4. Parfois (Environ une fois par semaine)","5. Régulièrement (Plusieurs fois par semaine)","6. Quotidiennement (Une fois par jour)","7. Très fréquemment (Plusieurs fois par jour)"},0)+1,""),"")</f>
        <v/>
      </c>
    </row>
    <row r="513" spans="16:21" x14ac:dyDescent="0.25">
      <c r="P513" t="str">
        <f>IF(DONNEES_SOURCE!$CA513=TRUE,DONNEES_SOURCE!$BV513,"")</f>
        <v/>
      </c>
      <c r="Q513" t="str">
        <f>IF(DONNEES_SOURCE!$CA513=TRUE,IFERROR(MATCH(DONNEES_SOURCE!$B513,{"2. Très rarement (Moins d'une fois par mois)","3. Rarement (1 à 3 fois par mois)","4. Parfois (Environ une fois par semaine)","5. Régulièrement (Plusieurs fois par semaine)","6. Quotidiennement (Une fois par jour)","7. Très fréquemment (Plusieurs fois par jour)"},0)+1,""),"")</f>
        <v/>
      </c>
      <c r="R513" t="str">
        <f>IF(DONNEES_SOURCE!$CA513=TRUE,DONNEES_SOURCE!$BW513,"")</f>
        <v/>
      </c>
      <c r="S513" t="str">
        <f>IF(DONNEES_SOURCE!$CA513=TRUE,DONNEES_SOURCE!$AU513,"")</f>
        <v/>
      </c>
      <c r="T513" t="str">
        <f>IF(DONNEES_SOURCE!$CA513=TRUE,DONNEES_SOURCE!$BW513,"")</f>
        <v/>
      </c>
      <c r="U513" t="str">
        <f>IF(DONNEES_SOURCE!$CA513=TRUE,IFERROR(MATCH(DONNEES_SOURCE!$B513,{"2. Très rarement (Moins d'une fois par mois)","3. Rarement (1 à 3 fois par mois)","4. Parfois (Environ une fois par semaine)","5. Régulièrement (Plusieurs fois par semaine)","6. Quotidiennement (Une fois par jour)","7. Très fréquemment (Plusieurs fois par jour)"},0)+1,""),"")</f>
        <v/>
      </c>
    </row>
    <row r="514" spans="16:21" x14ac:dyDescent="0.25">
      <c r="P514" t="str">
        <f>IF(DONNEES_SOURCE!$CA514=TRUE,DONNEES_SOURCE!$BV514,"")</f>
        <v/>
      </c>
      <c r="Q514" t="str">
        <f>IF(DONNEES_SOURCE!$CA514=TRUE,IFERROR(MATCH(DONNEES_SOURCE!$B514,{"2. Très rarement (Moins d'une fois par mois)","3. Rarement (1 à 3 fois par mois)","4. Parfois (Environ une fois par semaine)","5. Régulièrement (Plusieurs fois par semaine)","6. Quotidiennement (Une fois par jour)","7. Très fréquemment (Plusieurs fois par jour)"},0)+1,""),"")</f>
        <v/>
      </c>
      <c r="R514" t="str">
        <f>IF(DONNEES_SOURCE!$CA514=TRUE,DONNEES_SOURCE!$BW514,"")</f>
        <v/>
      </c>
      <c r="S514" t="str">
        <f>IF(DONNEES_SOURCE!$CA514=TRUE,DONNEES_SOURCE!$AU514,"")</f>
        <v/>
      </c>
      <c r="T514" t="str">
        <f>IF(DONNEES_SOURCE!$CA514=TRUE,DONNEES_SOURCE!$BW514,"")</f>
        <v/>
      </c>
      <c r="U514" t="str">
        <f>IF(DONNEES_SOURCE!$CA514=TRUE,IFERROR(MATCH(DONNEES_SOURCE!$B514,{"2. Très rarement (Moins d'une fois par mois)","3. Rarement (1 à 3 fois par mois)","4. Parfois (Environ une fois par semaine)","5. Régulièrement (Plusieurs fois par semaine)","6. Quotidiennement (Une fois par jour)","7. Très fréquemment (Plusieurs fois par jour)"},0)+1,""),"")</f>
        <v/>
      </c>
    </row>
    <row r="515" spans="16:21" x14ac:dyDescent="0.25">
      <c r="P515" t="str">
        <f>IF(DONNEES_SOURCE!$CA515=TRUE,DONNEES_SOURCE!$BV515,"")</f>
        <v/>
      </c>
      <c r="Q515" t="str">
        <f>IF(DONNEES_SOURCE!$CA515=TRUE,IFERROR(MATCH(DONNEES_SOURCE!$B515,{"2. Très rarement (Moins d'une fois par mois)","3. Rarement (1 à 3 fois par mois)","4. Parfois (Environ une fois par semaine)","5. Régulièrement (Plusieurs fois par semaine)","6. Quotidiennement (Une fois par jour)","7. Très fréquemment (Plusieurs fois par jour)"},0)+1,""),"")</f>
        <v/>
      </c>
      <c r="R515" t="str">
        <f>IF(DONNEES_SOURCE!$CA515=TRUE,DONNEES_SOURCE!$BW515,"")</f>
        <v/>
      </c>
      <c r="S515" t="str">
        <f>IF(DONNEES_SOURCE!$CA515=TRUE,DONNEES_SOURCE!$AU515,"")</f>
        <v/>
      </c>
      <c r="T515" t="str">
        <f>IF(DONNEES_SOURCE!$CA515=TRUE,DONNEES_SOURCE!$BW515,"")</f>
        <v/>
      </c>
      <c r="U515" t="str">
        <f>IF(DONNEES_SOURCE!$CA515=TRUE,IFERROR(MATCH(DONNEES_SOURCE!$B515,{"2. Très rarement (Moins d'une fois par mois)","3. Rarement (1 à 3 fois par mois)","4. Parfois (Environ une fois par semaine)","5. Régulièrement (Plusieurs fois par semaine)","6. Quotidiennement (Une fois par jour)","7. Très fréquemment (Plusieurs fois par jour)"},0)+1,""),"")</f>
        <v/>
      </c>
    </row>
    <row r="516" spans="16:21" x14ac:dyDescent="0.25">
      <c r="P516" t="str">
        <f>IF(DONNEES_SOURCE!$CA516=TRUE,DONNEES_SOURCE!$BV516,"")</f>
        <v/>
      </c>
      <c r="Q516" t="str">
        <f>IF(DONNEES_SOURCE!$CA516=TRUE,IFERROR(MATCH(DONNEES_SOURCE!$B516,{"2. Très rarement (Moins d'une fois par mois)","3. Rarement (1 à 3 fois par mois)","4. Parfois (Environ une fois par semaine)","5. Régulièrement (Plusieurs fois par semaine)","6. Quotidiennement (Une fois par jour)","7. Très fréquemment (Plusieurs fois par jour)"},0)+1,""),"")</f>
        <v/>
      </c>
      <c r="R516" t="str">
        <f>IF(DONNEES_SOURCE!$CA516=TRUE,DONNEES_SOURCE!$BW516,"")</f>
        <v/>
      </c>
      <c r="S516" t="str">
        <f>IF(DONNEES_SOURCE!$CA516=TRUE,DONNEES_SOURCE!$AU516,"")</f>
        <v/>
      </c>
      <c r="T516" t="str">
        <f>IF(DONNEES_SOURCE!$CA516=TRUE,DONNEES_SOURCE!$BW516,"")</f>
        <v/>
      </c>
      <c r="U516" t="str">
        <f>IF(DONNEES_SOURCE!$CA516=TRUE,IFERROR(MATCH(DONNEES_SOURCE!$B516,{"2. Très rarement (Moins d'une fois par mois)","3. Rarement (1 à 3 fois par mois)","4. Parfois (Environ une fois par semaine)","5. Régulièrement (Plusieurs fois par semaine)","6. Quotidiennement (Une fois par jour)","7. Très fréquemment (Plusieurs fois par jour)"},0)+1,""),"")</f>
        <v/>
      </c>
    </row>
    <row r="517" spans="16:21" x14ac:dyDescent="0.25">
      <c r="P517" t="str">
        <f>IF(DONNEES_SOURCE!$CA517=TRUE,DONNEES_SOURCE!$BV517,"")</f>
        <v/>
      </c>
      <c r="Q517" t="str">
        <f>IF(DONNEES_SOURCE!$CA517=TRUE,IFERROR(MATCH(DONNEES_SOURCE!$B517,{"2. Très rarement (Moins d'une fois par mois)","3. Rarement (1 à 3 fois par mois)","4. Parfois (Environ une fois par semaine)","5. Régulièrement (Plusieurs fois par semaine)","6. Quotidiennement (Une fois par jour)","7. Très fréquemment (Plusieurs fois par jour)"},0)+1,""),"")</f>
        <v/>
      </c>
      <c r="R517" t="str">
        <f>IF(DONNEES_SOURCE!$CA517=TRUE,DONNEES_SOURCE!$BW517,"")</f>
        <v/>
      </c>
      <c r="S517" t="str">
        <f>IF(DONNEES_SOURCE!$CA517=TRUE,DONNEES_SOURCE!$AU517,"")</f>
        <v/>
      </c>
      <c r="T517" t="str">
        <f>IF(DONNEES_SOURCE!$CA517=TRUE,DONNEES_SOURCE!$BW517,"")</f>
        <v/>
      </c>
      <c r="U517" t="str">
        <f>IF(DONNEES_SOURCE!$CA517=TRUE,IFERROR(MATCH(DONNEES_SOURCE!$B517,{"2. Très rarement (Moins d'une fois par mois)","3. Rarement (1 à 3 fois par mois)","4. Parfois (Environ une fois par semaine)","5. Régulièrement (Plusieurs fois par semaine)","6. Quotidiennement (Une fois par jour)","7. Très fréquemment (Plusieurs fois par jour)"},0)+1,""),"")</f>
        <v/>
      </c>
    </row>
    <row r="518" spans="16:21" x14ac:dyDescent="0.25">
      <c r="P518" t="str">
        <f>IF(DONNEES_SOURCE!$CA518=TRUE,DONNEES_SOURCE!$BV518,"")</f>
        <v/>
      </c>
      <c r="Q518" t="str">
        <f>IF(DONNEES_SOURCE!$CA518=TRUE,IFERROR(MATCH(DONNEES_SOURCE!$B518,{"2. Très rarement (Moins d'une fois par mois)","3. Rarement (1 à 3 fois par mois)","4. Parfois (Environ une fois par semaine)","5. Régulièrement (Plusieurs fois par semaine)","6. Quotidiennement (Une fois par jour)","7. Très fréquemment (Plusieurs fois par jour)"},0)+1,""),"")</f>
        <v/>
      </c>
      <c r="R518" t="str">
        <f>IF(DONNEES_SOURCE!$CA518=TRUE,DONNEES_SOURCE!$BW518,"")</f>
        <v/>
      </c>
      <c r="S518" t="str">
        <f>IF(DONNEES_SOURCE!$CA518=TRUE,DONNEES_SOURCE!$AU518,"")</f>
        <v/>
      </c>
      <c r="T518" t="str">
        <f>IF(DONNEES_SOURCE!$CA518=TRUE,DONNEES_SOURCE!$BW518,"")</f>
        <v/>
      </c>
      <c r="U518" t="str">
        <f>IF(DONNEES_SOURCE!$CA518=TRUE,IFERROR(MATCH(DONNEES_SOURCE!$B518,{"2. Très rarement (Moins d'une fois par mois)","3. Rarement (1 à 3 fois par mois)","4. Parfois (Environ une fois par semaine)","5. Régulièrement (Plusieurs fois par semaine)","6. Quotidiennement (Une fois par jour)","7. Très fréquemment (Plusieurs fois par jour)"},0)+1,""),"")</f>
        <v/>
      </c>
    </row>
    <row r="519" spans="16:21" x14ac:dyDescent="0.25">
      <c r="P519" t="str">
        <f>IF(DONNEES_SOURCE!$CA519=TRUE,DONNEES_SOURCE!$BV519,"")</f>
        <v/>
      </c>
      <c r="Q519" t="str">
        <f>IF(DONNEES_SOURCE!$CA519=TRUE,IFERROR(MATCH(DONNEES_SOURCE!$B519,{"2. Très rarement (Moins d'une fois par mois)","3. Rarement (1 à 3 fois par mois)","4. Parfois (Environ une fois par semaine)","5. Régulièrement (Plusieurs fois par semaine)","6. Quotidiennement (Une fois par jour)","7. Très fréquemment (Plusieurs fois par jour)"},0)+1,""),"")</f>
        <v/>
      </c>
      <c r="R519" t="str">
        <f>IF(DONNEES_SOURCE!$CA519=TRUE,DONNEES_SOURCE!$BW519,"")</f>
        <v/>
      </c>
      <c r="S519" t="str">
        <f>IF(DONNEES_SOURCE!$CA519=TRUE,DONNEES_SOURCE!$AU519,"")</f>
        <v/>
      </c>
      <c r="T519" t="str">
        <f>IF(DONNEES_SOURCE!$CA519=TRUE,DONNEES_SOURCE!$BW519,"")</f>
        <v/>
      </c>
      <c r="U519" t="str">
        <f>IF(DONNEES_SOURCE!$CA519=TRUE,IFERROR(MATCH(DONNEES_SOURCE!$B519,{"2. Très rarement (Moins d'une fois par mois)","3. Rarement (1 à 3 fois par mois)","4. Parfois (Environ une fois par semaine)","5. Régulièrement (Plusieurs fois par semaine)","6. Quotidiennement (Une fois par jour)","7. Très fréquemment (Plusieurs fois par jour)"},0)+1,""),"")</f>
        <v/>
      </c>
    </row>
    <row r="520" spans="16:21" x14ac:dyDescent="0.25">
      <c r="P520" t="str">
        <f>IF(DONNEES_SOURCE!$CA520=TRUE,DONNEES_SOURCE!$BV520,"")</f>
        <v/>
      </c>
      <c r="Q520" t="str">
        <f>IF(DONNEES_SOURCE!$CA520=TRUE,IFERROR(MATCH(DONNEES_SOURCE!$B520,{"2. Très rarement (Moins d'une fois par mois)","3. Rarement (1 à 3 fois par mois)","4. Parfois (Environ une fois par semaine)","5. Régulièrement (Plusieurs fois par semaine)","6. Quotidiennement (Une fois par jour)","7. Très fréquemment (Plusieurs fois par jour)"},0)+1,""),"")</f>
        <v/>
      </c>
      <c r="R520" t="str">
        <f>IF(DONNEES_SOURCE!$CA520=TRUE,DONNEES_SOURCE!$BW520,"")</f>
        <v/>
      </c>
      <c r="S520" t="str">
        <f>IF(DONNEES_SOURCE!$CA520=TRUE,DONNEES_SOURCE!$AU520,"")</f>
        <v/>
      </c>
      <c r="T520" t="str">
        <f>IF(DONNEES_SOURCE!$CA520=TRUE,DONNEES_SOURCE!$BW520,"")</f>
        <v/>
      </c>
      <c r="U520" t="str">
        <f>IF(DONNEES_SOURCE!$CA520=TRUE,IFERROR(MATCH(DONNEES_SOURCE!$B520,{"2. Très rarement (Moins d'une fois par mois)","3. Rarement (1 à 3 fois par mois)","4. Parfois (Environ une fois par semaine)","5. Régulièrement (Plusieurs fois par semaine)","6. Quotidiennement (Une fois par jour)","7. Très fréquemment (Plusieurs fois par jour)"},0)+1,""),"")</f>
        <v/>
      </c>
    </row>
    <row r="521" spans="16:21" x14ac:dyDescent="0.25">
      <c r="P521" t="str">
        <f>IF(DONNEES_SOURCE!$CA521=TRUE,DONNEES_SOURCE!$BV521,"")</f>
        <v/>
      </c>
      <c r="Q521" t="str">
        <f>IF(DONNEES_SOURCE!$CA521=TRUE,IFERROR(MATCH(DONNEES_SOURCE!$B521,{"2. Très rarement (Moins d'une fois par mois)","3. Rarement (1 à 3 fois par mois)","4. Parfois (Environ une fois par semaine)","5. Régulièrement (Plusieurs fois par semaine)","6. Quotidiennement (Une fois par jour)","7. Très fréquemment (Plusieurs fois par jour)"},0)+1,""),"")</f>
        <v/>
      </c>
      <c r="R521" t="str">
        <f>IF(DONNEES_SOURCE!$CA521=TRUE,DONNEES_SOURCE!$BW521,"")</f>
        <v/>
      </c>
      <c r="S521" t="str">
        <f>IF(DONNEES_SOURCE!$CA521=TRUE,DONNEES_SOURCE!$AU521,"")</f>
        <v/>
      </c>
      <c r="T521" t="str">
        <f>IF(DONNEES_SOURCE!$CA521=TRUE,DONNEES_SOURCE!$BW521,"")</f>
        <v/>
      </c>
      <c r="U521" t="str">
        <f>IF(DONNEES_SOURCE!$CA521=TRUE,IFERROR(MATCH(DONNEES_SOURCE!$B521,{"2. Très rarement (Moins d'une fois par mois)","3. Rarement (1 à 3 fois par mois)","4. Parfois (Environ une fois par semaine)","5. Régulièrement (Plusieurs fois par semaine)","6. Quotidiennement (Une fois par jour)","7. Très fréquemment (Plusieurs fois par jour)"},0)+1,""),"")</f>
        <v/>
      </c>
    </row>
    <row r="522" spans="16:21" x14ac:dyDescent="0.25">
      <c r="P522" t="str">
        <f>IF(DONNEES_SOURCE!$CA522=TRUE,DONNEES_SOURCE!$BV522,"")</f>
        <v/>
      </c>
      <c r="Q522" t="str">
        <f>IF(DONNEES_SOURCE!$CA522=TRUE,IFERROR(MATCH(DONNEES_SOURCE!$B522,{"2. Très rarement (Moins d'une fois par mois)","3. Rarement (1 à 3 fois par mois)","4. Parfois (Environ une fois par semaine)","5. Régulièrement (Plusieurs fois par semaine)","6. Quotidiennement (Une fois par jour)","7. Très fréquemment (Plusieurs fois par jour)"},0)+1,""),"")</f>
        <v/>
      </c>
      <c r="R522" t="str">
        <f>IF(DONNEES_SOURCE!$CA522=TRUE,DONNEES_SOURCE!$BW522,"")</f>
        <v/>
      </c>
      <c r="S522" t="str">
        <f>IF(DONNEES_SOURCE!$CA522=TRUE,DONNEES_SOURCE!$AU522,"")</f>
        <v/>
      </c>
      <c r="T522" t="str">
        <f>IF(DONNEES_SOURCE!$CA522=TRUE,DONNEES_SOURCE!$BW522,"")</f>
        <v/>
      </c>
      <c r="U522" t="str">
        <f>IF(DONNEES_SOURCE!$CA522=TRUE,IFERROR(MATCH(DONNEES_SOURCE!$B522,{"2. Très rarement (Moins d'une fois par mois)","3. Rarement (1 à 3 fois par mois)","4. Parfois (Environ une fois par semaine)","5. Régulièrement (Plusieurs fois par semaine)","6. Quotidiennement (Une fois par jour)","7. Très fréquemment (Plusieurs fois par jour)"},0)+1,""),"")</f>
        <v/>
      </c>
    </row>
    <row r="523" spans="16:21" x14ac:dyDescent="0.25">
      <c r="P523" t="str">
        <f>IF(DONNEES_SOURCE!$CA523=TRUE,DONNEES_SOURCE!$BV523,"")</f>
        <v/>
      </c>
      <c r="Q523" t="str">
        <f>IF(DONNEES_SOURCE!$CA523=TRUE,IFERROR(MATCH(DONNEES_SOURCE!$B523,{"2. Très rarement (Moins d'une fois par mois)","3. Rarement (1 à 3 fois par mois)","4. Parfois (Environ une fois par semaine)","5. Régulièrement (Plusieurs fois par semaine)","6. Quotidiennement (Une fois par jour)","7. Très fréquemment (Plusieurs fois par jour)"},0)+1,""),"")</f>
        <v/>
      </c>
      <c r="R523" t="str">
        <f>IF(DONNEES_SOURCE!$CA523=TRUE,DONNEES_SOURCE!$BW523,"")</f>
        <v/>
      </c>
      <c r="S523" t="str">
        <f>IF(DONNEES_SOURCE!$CA523=TRUE,DONNEES_SOURCE!$AU523,"")</f>
        <v/>
      </c>
      <c r="T523" t="str">
        <f>IF(DONNEES_SOURCE!$CA523=TRUE,DONNEES_SOURCE!$BW523,"")</f>
        <v/>
      </c>
      <c r="U523" t="str">
        <f>IF(DONNEES_SOURCE!$CA523=TRUE,IFERROR(MATCH(DONNEES_SOURCE!$B523,{"2. Très rarement (Moins d'une fois par mois)","3. Rarement (1 à 3 fois par mois)","4. Parfois (Environ une fois par semaine)","5. Régulièrement (Plusieurs fois par semaine)","6. Quotidiennement (Une fois par jour)","7. Très fréquemment (Plusieurs fois par jour)"},0)+1,""),"")</f>
        <v/>
      </c>
    </row>
    <row r="524" spans="16:21" x14ac:dyDescent="0.25">
      <c r="P524" t="str">
        <f>IF(DONNEES_SOURCE!$CA524=TRUE,DONNEES_SOURCE!$BV524,"")</f>
        <v/>
      </c>
      <c r="Q524" t="str">
        <f>IF(DONNEES_SOURCE!$CA524=TRUE,IFERROR(MATCH(DONNEES_SOURCE!$B524,{"2. Très rarement (Moins d'une fois par mois)","3. Rarement (1 à 3 fois par mois)","4. Parfois (Environ une fois par semaine)","5. Régulièrement (Plusieurs fois par semaine)","6. Quotidiennement (Une fois par jour)","7. Très fréquemment (Plusieurs fois par jour)"},0)+1,""),"")</f>
        <v/>
      </c>
      <c r="R524" t="str">
        <f>IF(DONNEES_SOURCE!$CA524=TRUE,DONNEES_SOURCE!$BW524,"")</f>
        <v/>
      </c>
      <c r="S524" t="str">
        <f>IF(DONNEES_SOURCE!$CA524=TRUE,DONNEES_SOURCE!$AU524,"")</f>
        <v/>
      </c>
      <c r="T524" t="str">
        <f>IF(DONNEES_SOURCE!$CA524=TRUE,DONNEES_SOURCE!$BW524,"")</f>
        <v/>
      </c>
      <c r="U524" t="str">
        <f>IF(DONNEES_SOURCE!$CA524=TRUE,IFERROR(MATCH(DONNEES_SOURCE!$B524,{"2. Très rarement (Moins d'une fois par mois)","3. Rarement (1 à 3 fois par mois)","4. Parfois (Environ une fois par semaine)","5. Régulièrement (Plusieurs fois par semaine)","6. Quotidiennement (Une fois par jour)","7. Très fréquemment (Plusieurs fois par jour)"},0)+1,""),"")</f>
        <v/>
      </c>
    </row>
    <row r="525" spans="16:21" x14ac:dyDescent="0.25">
      <c r="P525" t="str">
        <f>IF(DONNEES_SOURCE!$CA525=TRUE,DONNEES_SOURCE!$BV525,"")</f>
        <v/>
      </c>
      <c r="Q525" t="str">
        <f>IF(DONNEES_SOURCE!$CA525=TRUE,IFERROR(MATCH(DONNEES_SOURCE!$B525,{"2. Très rarement (Moins d'une fois par mois)","3. Rarement (1 à 3 fois par mois)","4. Parfois (Environ une fois par semaine)","5. Régulièrement (Plusieurs fois par semaine)","6. Quotidiennement (Une fois par jour)","7. Très fréquemment (Plusieurs fois par jour)"},0)+1,""),"")</f>
        <v/>
      </c>
      <c r="R525" t="str">
        <f>IF(DONNEES_SOURCE!$CA525=TRUE,DONNEES_SOURCE!$BW525,"")</f>
        <v/>
      </c>
      <c r="S525" t="str">
        <f>IF(DONNEES_SOURCE!$CA525=TRUE,DONNEES_SOURCE!$AU525,"")</f>
        <v/>
      </c>
      <c r="T525" t="str">
        <f>IF(DONNEES_SOURCE!$CA525=TRUE,DONNEES_SOURCE!$BW525,"")</f>
        <v/>
      </c>
      <c r="U525" t="str">
        <f>IF(DONNEES_SOURCE!$CA525=TRUE,IFERROR(MATCH(DONNEES_SOURCE!$B525,{"2. Très rarement (Moins d'une fois par mois)","3. Rarement (1 à 3 fois par mois)","4. Parfois (Environ une fois par semaine)","5. Régulièrement (Plusieurs fois par semaine)","6. Quotidiennement (Une fois par jour)","7. Très fréquemment (Plusieurs fois par jour)"},0)+1,""),"")</f>
        <v/>
      </c>
    </row>
    <row r="526" spans="16:21" x14ac:dyDescent="0.25">
      <c r="P526" t="str">
        <f>IF(DONNEES_SOURCE!$CA526=TRUE,DONNEES_SOURCE!$BV526,"")</f>
        <v/>
      </c>
      <c r="Q526" t="str">
        <f>IF(DONNEES_SOURCE!$CA526=TRUE,IFERROR(MATCH(DONNEES_SOURCE!$B526,{"2. Très rarement (Moins d'une fois par mois)","3. Rarement (1 à 3 fois par mois)","4. Parfois (Environ une fois par semaine)","5. Régulièrement (Plusieurs fois par semaine)","6. Quotidiennement (Une fois par jour)","7. Très fréquemment (Plusieurs fois par jour)"},0)+1,""),"")</f>
        <v/>
      </c>
      <c r="R526" t="str">
        <f>IF(DONNEES_SOURCE!$CA526=TRUE,DONNEES_SOURCE!$BW526,"")</f>
        <v/>
      </c>
      <c r="S526" t="str">
        <f>IF(DONNEES_SOURCE!$CA526=TRUE,DONNEES_SOURCE!$AU526,"")</f>
        <v/>
      </c>
      <c r="T526" t="str">
        <f>IF(DONNEES_SOURCE!$CA526=TRUE,DONNEES_SOURCE!$BW526,"")</f>
        <v/>
      </c>
      <c r="U526" t="str">
        <f>IF(DONNEES_SOURCE!$CA526=TRUE,IFERROR(MATCH(DONNEES_SOURCE!$B526,{"2. Très rarement (Moins d'une fois par mois)","3. Rarement (1 à 3 fois par mois)","4. Parfois (Environ une fois par semaine)","5. Régulièrement (Plusieurs fois par semaine)","6. Quotidiennement (Une fois par jour)","7. Très fréquemment (Plusieurs fois par jour)"},0)+1,""),"")</f>
        <v/>
      </c>
    </row>
    <row r="527" spans="16:21" x14ac:dyDescent="0.25">
      <c r="P527" t="str">
        <f>IF(DONNEES_SOURCE!$CA527=TRUE,DONNEES_SOURCE!$BV527,"")</f>
        <v/>
      </c>
      <c r="Q527" t="str">
        <f>IF(DONNEES_SOURCE!$CA527=TRUE,IFERROR(MATCH(DONNEES_SOURCE!$B527,{"2. Très rarement (Moins d'une fois par mois)","3. Rarement (1 à 3 fois par mois)","4. Parfois (Environ une fois par semaine)","5. Régulièrement (Plusieurs fois par semaine)","6. Quotidiennement (Une fois par jour)","7. Très fréquemment (Plusieurs fois par jour)"},0)+1,""),"")</f>
        <v/>
      </c>
      <c r="R527" t="str">
        <f>IF(DONNEES_SOURCE!$CA527=TRUE,DONNEES_SOURCE!$BW527,"")</f>
        <v/>
      </c>
      <c r="S527" t="str">
        <f>IF(DONNEES_SOURCE!$CA527=TRUE,DONNEES_SOURCE!$AU527,"")</f>
        <v/>
      </c>
      <c r="T527" t="str">
        <f>IF(DONNEES_SOURCE!$CA527=TRUE,DONNEES_SOURCE!$BW527,"")</f>
        <v/>
      </c>
      <c r="U527" t="str">
        <f>IF(DONNEES_SOURCE!$CA527=TRUE,IFERROR(MATCH(DONNEES_SOURCE!$B527,{"2. Très rarement (Moins d'une fois par mois)","3. Rarement (1 à 3 fois par mois)","4. Parfois (Environ une fois par semaine)","5. Régulièrement (Plusieurs fois par semaine)","6. Quotidiennement (Une fois par jour)","7. Très fréquemment (Plusieurs fois par jour)"},0)+1,""),"")</f>
        <v/>
      </c>
    </row>
    <row r="528" spans="16:21" x14ac:dyDescent="0.25">
      <c r="P528" t="str">
        <f>IF(DONNEES_SOURCE!$CA528=TRUE,DONNEES_SOURCE!$BV528,"")</f>
        <v/>
      </c>
      <c r="Q528" t="str">
        <f>IF(DONNEES_SOURCE!$CA528=TRUE,IFERROR(MATCH(DONNEES_SOURCE!$B528,{"2. Très rarement (Moins d'une fois par mois)","3. Rarement (1 à 3 fois par mois)","4. Parfois (Environ une fois par semaine)","5. Régulièrement (Plusieurs fois par semaine)","6. Quotidiennement (Une fois par jour)","7. Très fréquemment (Plusieurs fois par jour)"},0)+1,""),"")</f>
        <v/>
      </c>
      <c r="R528" t="str">
        <f>IF(DONNEES_SOURCE!$CA528=TRUE,DONNEES_SOURCE!$BW528,"")</f>
        <v/>
      </c>
      <c r="S528" t="str">
        <f>IF(DONNEES_SOURCE!$CA528=TRUE,DONNEES_SOURCE!$AU528,"")</f>
        <v/>
      </c>
      <c r="T528" t="str">
        <f>IF(DONNEES_SOURCE!$CA528=TRUE,DONNEES_SOURCE!$BW528,"")</f>
        <v/>
      </c>
      <c r="U528" t="str">
        <f>IF(DONNEES_SOURCE!$CA528=TRUE,IFERROR(MATCH(DONNEES_SOURCE!$B528,{"2. Très rarement (Moins d'une fois par mois)","3. Rarement (1 à 3 fois par mois)","4. Parfois (Environ une fois par semaine)","5. Régulièrement (Plusieurs fois par semaine)","6. Quotidiennement (Une fois par jour)","7. Très fréquemment (Plusieurs fois par jour)"},0)+1,""),"")</f>
        <v/>
      </c>
    </row>
    <row r="529" spans="16:21" x14ac:dyDescent="0.25">
      <c r="P529" t="str">
        <f>IF(DONNEES_SOURCE!$CA529=TRUE,DONNEES_SOURCE!$BV529,"")</f>
        <v/>
      </c>
      <c r="Q529" t="str">
        <f>IF(DONNEES_SOURCE!$CA529=TRUE,IFERROR(MATCH(DONNEES_SOURCE!$B529,{"2. Très rarement (Moins d'une fois par mois)","3. Rarement (1 à 3 fois par mois)","4. Parfois (Environ une fois par semaine)","5. Régulièrement (Plusieurs fois par semaine)","6. Quotidiennement (Une fois par jour)","7. Très fréquemment (Plusieurs fois par jour)"},0)+1,""),"")</f>
        <v/>
      </c>
      <c r="R529" t="str">
        <f>IF(DONNEES_SOURCE!$CA529=TRUE,DONNEES_SOURCE!$BW529,"")</f>
        <v/>
      </c>
      <c r="S529" t="str">
        <f>IF(DONNEES_SOURCE!$CA529=TRUE,DONNEES_SOURCE!$AU529,"")</f>
        <v/>
      </c>
      <c r="T529" t="str">
        <f>IF(DONNEES_SOURCE!$CA529=TRUE,DONNEES_SOURCE!$BW529,"")</f>
        <v/>
      </c>
      <c r="U529" t="str">
        <f>IF(DONNEES_SOURCE!$CA529=TRUE,IFERROR(MATCH(DONNEES_SOURCE!$B529,{"2. Très rarement (Moins d'une fois par mois)","3. Rarement (1 à 3 fois par mois)","4. Parfois (Environ une fois par semaine)","5. Régulièrement (Plusieurs fois par semaine)","6. Quotidiennement (Une fois par jour)","7. Très fréquemment (Plusieurs fois par jour)"},0)+1,""),"")</f>
        <v/>
      </c>
    </row>
    <row r="530" spans="16:21" x14ac:dyDescent="0.25">
      <c r="P530" t="str">
        <f>IF(DONNEES_SOURCE!$CA530=TRUE,DONNEES_SOURCE!$BV530,"")</f>
        <v/>
      </c>
      <c r="Q530" t="str">
        <f>IF(DONNEES_SOURCE!$CA530=TRUE,IFERROR(MATCH(DONNEES_SOURCE!$B530,{"2. Très rarement (Moins d'une fois par mois)","3. Rarement (1 à 3 fois par mois)","4. Parfois (Environ une fois par semaine)","5. Régulièrement (Plusieurs fois par semaine)","6. Quotidiennement (Une fois par jour)","7. Très fréquemment (Plusieurs fois par jour)"},0)+1,""),"")</f>
        <v/>
      </c>
      <c r="R530" t="str">
        <f>IF(DONNEES_SOURCE!$CA530=TRUE,DONNEES_SOURCE!$BW530,"")</f>
        <v/>
      </c>
      <c r="S530" t="str">
        <f>IF(DONNEES_SOURCE!$CA530=TRUE,DONNEES_SOURCE!$AU530,"")</f>
        <v/>
      </c>
      <c r="T530" t="str">
        <f>IF(DONNEES_SOURCE!$CA530=TRUE,DONNEES_SOURCE!$BW530,"")</f>
        <v/>
      </c>
      <c r="U530" t="str">
        <f>IF(DONNEES_SOURCE!$CA530=TRUE,IFERROR(MATCH(DONNEES_SOURCE!$B530,{"2. Très rarement (Moins d'une fois par mois)","3. Rarement (1 à 3 fois par mois)","4. Parfois (Environ une fois par semaine)","5. Régulièrement (Plusieurs fois par semaine)","6. Quotidiennement (Une fois par jour)","7. Très fréquemment (Plusieurs fois par jour)"},0)+1,""),"")</f>
        <v/>
      </c>
    </row>
    <row r="531" spans="16:21" x14ac:dyDescent="0.25">
      <c r="P531" t="str">
        <f>IF(DONNEES_SOURCE!$CA531=TRUE,DONNEES_SOURCE!$BV531,"")</f>
        <v/>
      </c>
      <c r="Q531" t="str">
        <f>IF(DONNEES_SOURCE!$CA531=TRUE,IFERROR(MATCH(DONNEES_SOURCE!$B531,{"2. Très rarement (Moins d'une fois par mois)","3. Rarement (1 à 3 fois par mois)","4. Parfois (Environ une fois par semaine)","5. Régulièrement (Plusieurs fois par semaine)","6. Quotidiennement (Une fois par jour)","7. Très fréquemment (Plusieurs fois par jour)"},0)+1,""),"")</f>
        <v/>
      </c>
      <c r="R531" t="str">
        <f>IF(DONNEES_SOURCE!$CA531=TRUE,DONNEES_SOURCE!$BW531,"")</f>
        <v/>
      </c>
      <c r="S531" t="str">
        <f>IF(DONNEES_SOURCE!$CA531=TRUE,DONNEES_SOURCE!$AU531,"")</f>
        <v/>
      </c>
      <c r="T531" t="str">
        <f>IF(DONNEES_SOURCE!$CA531=TRUE,DONNEES_SOURCE!$BW531,"")</f>
        <v/>
      </c>
      <c r="U531" t="str">
        <f>IF(DONNEES_SOURCE!$CA531=TRUE,IFERROR(MATCH(DONNEES_SOURCE!$B531,{"2. Très rarement (Moins d'une fois par mois)","3. Rarement (1 à 3 fois par mois)","4. Parfois (Environ une fois par semaine)","5. Régulièrement (Plusieurs fois par semaine)","6. Quotidiennement (Une fois par jour)","7. Très fréquemment (Plusieurs fois par jour)"},0)+1,""),"")</f>
        <v/>
      </c>
    </row>
    <row r="532" spans="16:21" x14ac:dyDescent="0.25">
      <c r="P532" t="str">
        <f>IF(DONNEES_SOURCE!$CA532=TRUE,DONNEES_SOURCE!$BV532,"")</f>
        <v/>
      </c>
      <c r="Q532" t="str">
        <f>IF(DONNEES_SOURCE!$CA532=TRUE,IFERROR(MATCH(DONNEES_SOURCE!$B532,{"2. Très rarement (Moins d'une fois par mois)","3. Rarement (1 à 3 fois par mois)","4. Parfois (Environ une fois par semaine)","5. Régulièrement (Plusieurs fois par semaine)","6. Quotidiennement (Une fois par jour)","7. Très fréquemment (Plusieurs fois par jour)"},0)+1,""),"")</f>
        <v/>
      </c>
      <c r="R532" t="str">
        <f>IF(DONNEES_SOURCE!$CA532=TRUE,DONNEES_SOURCE!$BW532,"")</f>
        <v/>
      </c>
      <c r="S532" t="str">
        <f>IF(DONNEES_SOURCE!$CA532=TRUE,DONNEES_SOURCE!$AU532,"")</f>
        <v/>
      </c>
      <c r="T532" t="str">
        <f>IF(DONNEES_SOURCE!$CA532=TRUE,DONNEES_SOURCE!$BW532,"")</f>
        <v/>
      </c>
      <c r="U532" t="str">
        <f>IF(DONNEES_SOURCE!$CA532=TRUE,IFERROR(MATCH(DONNEES_SOURCE!$B532,{"2. Très rarement (Moins d'une fois par mois)","3. Rarement (1 à 3 fois par mois)","4. Parfois (Environ une fois par semaine)","5. Régulièrement (Plusieurs fois par semaine)","6. Quotidiennement (Une fois par jour)","7. Très fréquemment (Plusieurs fois par jour)"},0)+1,""),"")</f>
        <v/>
      </c>
    </row>
    <row r="533" spans="16:21" x14ac:dyDescent="0.25">
      <c r="P533" t="str">
        <f>IF(DONNEES_SOURCE!$CA533=TRUE,DONNEES_SOURCE!$BV533,"")</f>
        <v/>
      </c>
      <c r="Q533" t="str">
        <f>IF(DONNEES_SOURCE!$CA533=TRUE,IFERROR(MATCH(DONNEES_SOURCE!$B533,{"2. Très rarement (Moins d'une fois par mois)","3. Rarement (1 à 3 fois par mois)","4. Parfois (Environ une fois par semaine)","5. Régulièrement (Plusieurs fois par semaine)","6. Quotidiennement (Une fois par jour)","7. Très fréquemment (Plusieurs fois par jour)"},0)+1,""),"")</f>
        <v/>
      </c>
      <c r="R533" t="str">
        <f>IF(DONNEES_SOURCE!$CA533=TRUE,DONNEES_SOURCE!$BW533,"")</f>
        <v/>
      </c>
      <c r="S533" t="str">
        <f>IF(DONNEES_SOURCE!$CA533=TRUE,DONNEES_SOURCE!$AU533,"")</f>
        <v/>
      </c>
      <c r="T533" t="str">
        <f>IF(DONNEES_SOURCE!$CA533=TRUE,DONNEES_SOURCE!$BW533,"")</f>
        <v/>
      </c>
      <c r="U533" t="str">
        <f>IF(DONNEES_SOURCE!$CA533=TRUE,IFERROR(MATCH(DONNEES_SOURCE!$B533,{"2. Très rarement (Moins d'une fois par mois)","3. Rarement (1 à 3 fois par mois)","4. Parfois (Environ une fois par semaine)","5. Régulièrement (Plusieurs fois par semaine)","6. Quotidiennement (Une fois par jour)","7. Très fréquemment (Plusieurs fois par jour)"},0)+1,""),"")</f>
        <v/>
      </c>
    </row>
    <row r="534" spans="16:21" x14ac:dyDescent="0.25">
      <c r="P534" t="str">
        <f>IF(DONNEES_SOURCE!$CA534=TRUE,DONNEES_SOURCE!$BV534,"")</f>
        <v/>
      </c>
      <c r="Q534" t="str">
        <f>IF(DONNEES_SOURCE!$CA534=TRUE,IFERROR(MATCH(DONNEES_SOURCE!$B534,{"2. Très rarement (Moins d'une fois par mois)","3. Rarement (1 à 3 fois par mois)","4. Parfois (Environ une fois par semaine)","5. Régulièrement (Plusieurs fois par semaine)","6. Quotidiennement (Une fois par jour)","7. Très fréquemment (Plusieurs fois par jour)"},0)+1,""),"")</f>
        <v/>
      </c>
      <c r="R534" t="str">
        <f>IF(DONNEES_SOURCE!$CA534=TRUE,DONNEES_SOURCE!$BW534,"")</f>
        <v/>
      </c>
      <c r="S534" t="str">
        <f>IF(DONNEES_SOURCE!$CA534=TRUE,DONNEES_SOURCE!$AU534,"")</f>
        <v/>
      </c>
      <c r="T534" t="str">
        <f>IF(DONNEES_SOURCE!$CA534=TRUE,DONNEES_SOURCE!$BW534,"")</f>
        <v/>
      </c>
      <c r="U534" t="str">
        <f>IF(DONNEES_SOURCE!$CA534=TRUE,IFERROR(MATCH(DONNEES_SOURCE!$B534,{"2. Très rarement (Moins d'une fois par mois)","3. Rarement (1 à 3 fois par mois)","4. Parfois (Environ une fois par semaine)","5. Régulièrement (Plusieurs fois par semaine)","6. Quotidiennement (Une fois par jour)","7. Très fréquemment (Plusieurs fois par jour)"},0)+1,""),"")</f>
        <v/>
      </c>
    </row>
    <row r="535" spans="16:21" x14ac:dyDescent="0.25">
      <c r="P535" t="str">
        <f>IF(DONNEES_SOURCE!$CA535=TRUE,DONNEES_SOURCE!$BV535,"")</f>
        <v/>
      </c>
      <c r="Q535" t="str">
        <f>IF(DONNEES_SOURCE!$CA535=TRUE,IFERROR(MATCH(DONNEES_SOURCE!$B535,{"2. Très rarement (Moins d'une fois par mois)","3. Rarement (1 à 3 fois par mois)","4. Parfois (Environ une fois par semaine)","5. Régulièrement (Plusieurs fois par semaine)","6. Quotidiennement (Une fois par jour)","7. Très fréquemment (Plusieurs fois par jour)"},0)+1,""),"")</f>
        <v/>
      </c>
      <c r="R535" t="str">
        <f>IF(DONNEES_SOURCE!$CA535=TRUE,DONNEES_SOURCE!$BW535,"")</f>
        <v/>
      </c>
      <c r="S535" t="str">
        <f>IF(DONNEES_SOURCE!$CA535=TRUE,DONNEES_SOURCE!$AU535,"")</f>
        <v/>
      </c>
      <c r="T535" t="str">
        <f>IF(DONNEES_SOURCE!$CA535=TRUE,DONNEES_SOURCE!$BW535,"")</f>
        <v/>
      </c>
      <c r="U535" t="str">
        <f>IF(DONNEES_SOURCE!$CA535=TRUE,IFERROR(MATCH(DONNEES_SOURCE!$B535,{"2. Très rarement (Moins d'une fois par mois)","3. Rarement (1 à 3 fois par mois)","4. Parfois (Environ une fois par semaine)","5. Régulièrement (Plusieurs fois par semaine)","6. Quotidiennement (Une fois par jour)","7. Très fréquemment (Plusieurs fois par jour)"},0)+1,""),"")</f>
        <v/>
      </c>
    </row>
    <row r="536" spans="16:21" x14ac:dyDescent="0.25">
      <c r="P536" t="str">
        <f>IF(DONNEES_SOURCE!$CA536=TRUE,DONNEES_SOURCE!$BV536,"")</f>
        <v/>
      </c>
      <c r="Q536" t="str">
        <f>IF(DONNEES_SOURCE!$CA536=TRUE,IFERROR(MATCH(DONNEES_SOURCE!$B536,{"2. Très rarement (Moins d'une fois par mois)","3. Rarement (1 à 3 fois par mois)","4. Parfois (Environ une fois par semaine)","5. Régulièrement (Plusieurs fois par semaine)","6. Quotidiennement (Une fois par jour)","7. Très fréquemment (Plusieurs fois par jour)"},0)+1,""),"")</f>
        <v/>
      </c>
      <c r="R536" t="str">
        <f>IF(DONNEES_SOURCE!$CA536=TRUE,DONNEES_SOURCE!$BW536,"")</f>
        <v/>
      </c>
      <c r="S536" t="str">
        <f>IF(DONNEES_SOURCE!$CA536=TRUE,DONNEES_SOURCE!$AU536,"")</f>
        <v/>
      </c>
      <c r="T536" t="str">
        <f>IF(DONNEES_SOURCE!$CA536=TRUE,DONNEES_SOURCE!$BW536,"")</f>
        <v/>
      </c>
      <c r="U536" t="str">
        <f>IF(DONNEES_SOURCE!$CA536=TRUE,IFERROR(MATCH(DONNEES_SOURCE!$B536,{"2. Très rarement (Moins d'une fois par mois)","3. Rarement (1 à 3 fois par mois)","4. Parfois (Environ une fois par semaine)","5. Régulièrement (Plusieurs fois par semaine)","6. Quotidiennement (Une fois par jour)","7. Très fréquemment (Plusieurs fois par jour)"},0)+1,""),"")</f>
        <v/>
      </c>
    </row>
    <row r="537" spans="16:21" x14ac:dyDescent="0.25">
      <c r="P537" t="str">
        <f>IF(DONNEES_SOURCE!$CA537=TRUE,DONNEES_SOURCE!$BV537,"")</f>
        <v/>
      </c>
      <c r="Q537" t="str">
        <f>IF(DONNEES_SOURCE!$CA537=TRUE,IFERROR(MATCH(DONNEES_SOURCE!$B537,{"2. Très rarement (Moins d'une fois par mois)","3. Rarement (1 à 3 fois par mois)","4. Parfois (Environ une fois par semaine)","5. Régulièrement (Plusieurs fois par semaine)","6. Quotidiennement (Une fois par jour)","7. Très fréquemment (Plusieurs fois par jour)"},0)+1,""),"")</f>
        <v/>
      </c>
      <c r="R537" t="str">
        <f>IF(DONNEES_SOURCE!$CA537=TRUE,DONNEES_SOURCE!$BW537,"")</f>
        <v/>
      </c>
      <c r="S537" t="str">
        <f>IF(DONNEES_SOURCE!$CA537=TRUE,DONNEES_SOURCE!$AU537,"")</f>
        <v/>
      </c>
      <c r="T537" t="str">
        <f>IF(DONNEES_SOURCE!$CA537=TRUE,DONNEES_SOURCE!$BW537,"")</f>
        <v/>
      </c>
      <c r="U537" t="str">
        <f>IF(DONNEES_SOURCE!$CA537=TRUE,IFERROR(MATCH(DONNEES_SOURCE!$B537,{"2. Très rarement (Moins d'une fois par mois)","3. Rarement (1 à 3 fois par mois)","4. Parfois (Environ une fois par semaine)","5. Régulièrement (Plusieurs fois par semaine)","6. Quotidiennement (Une fois par jour)","7. Très fréquemment (Plusieurs fois par jour)"},0)+1,""),"")</f>
        <v/>
      </c>
    </row>
    <row r="538" spans="16:21" x14ac:dyDescent="0.25">
      <c r="P538" t="str">
        <f>IF(DONNEES_SOURCE!$CA538=TRUE,DONNEES_SOURCE!$BV538,"")</f>
        <v/>
      </c>
      <c r="Q538" t="str">
        <f>IF(DONNEES_SOURCE!$CA538=TRUE,IFERROR(MATCH(DONNEES_SOURCE!$B538,{"2. Très rarement (Moins d'une fois par mois)","3. Rarement (1 à 3 fois par mois)","4. Parfois (Environ une fois par semaine)","5. Régulièrement (Plusieurs fois par semaine)","6. Quotidiennement (Une fois par jour)","7. Très fréquemment (Plusieurs fois par jour)"},0)+1,""),"")</f>
        <v/>
      </c>
      <c r="R538" t="str">
        <f>IF(DONNEES_SOURCE!$CA538=TRUE,DONNEES_SOURCE!$BW538,"")</f>
        <v/>
      </c>
      <c r="S538" t="str">
        <f>IF(DONNEES_SOURCE!$CA538=TRUE,DONNEES_SOURCE!$AU538,"")</f>
        <v/>
      </c>
      <c r="T538" t="str">
        <f>IF(DONNEES_SOURCE!$CA538=TRUE,DONNEES_SOURCE!$BW538,"")</f>
        <v/>
      </c>
      <c r="U538" t="str">
        <f>IF(DONNEES_SOURCE!$CA538=TRUE,IFERROR(MATCH(DONNEES_SOURCE!$B538,{"2. Très rarement (Moins d'une fois par mois)","3. Rarement (1 à 3 fois par mois)","4. Parfois (Environ une fois par semaine)","5. Régulièrement (Plusieurs fois par semaine)","6. Quotidiennement (Une fois par jour)","7. Très fréquemment (Plusieurs fois par jour)"},0)+1,""),"")</f>
        <v/>
      </c>
    </row>
    <row r="539" spans="16:21" x14ac:dyDescent="0.25">
      <c r="P539" t="str">
        <f>IF(DONNEES_SOURCE!$CA539=TRUE,DONNEES_SOURCE!$BV539,"")</f>
        <v/>
      </c>
      <c r="Q539" t="str">
        <f>IF(DONNEES_SOURCE!$CA539=TRUE,IFERROR(MATCH(DONNEES_SOURCE!$B539,{"2. Très rarement (Moins d'une fois par mois)","3. Rarement (1 à 3 fois par mois)","4. Parfois (Environ une fois par semaine)","5. Régulièrement (Plusieurs fois par semaine)","6. Quotidiennement (Une fois par jour)","7. Très fréquemment (Plusieurs fois par jour)"},0)+1,""),"")</f>
        <v/>
      </c>
      <c r="R539" t="str">
        <f>IF(DONNEES_SOURCE!$CA539=TRUE,DONNEES_SOURCE!$BW539,"")</f>
        <v/>
      </c>
      <c r="S539" t="str">
        <f>IF(DONNEES_SOURCE!$CA539=TRUE,DONNEES_SOURCE!$AU539,"")</f>
        <v/>
      </c>
      <c r="T539" t="str">
        <f>IF(DONNEES_SOURCE!$CA539=TRUE,DONNEES_SOURCE!$BW539,"")</f>
        <v/>
      </c>
      <c r="U539" t="str">
        <f>IF(DONNEES_SOURCE!$CA539=TRUE,IFERROR(MATCH(DONNEES_SOURCE!$B539,{"2. Très rarement (Moins d'une fois par mois)","3. Rarement (1 à 3 fois par mois)","4. Parfois (Environ une fois par semaine)","5. Régulièrement (Plusieurs fois par semaine)","6. Quotidiennement (Une fois par jour)","7. Très fréquemment (Plusieurs fois par jour)"},0)+1,""),"")</f>
        <v/>
      </c>
    </row>
    <row r="540" spans="16:21" x14ac:dyDescent="0.25">
      <c r="P540" t="str">
        <f>IF(DONNEES_SOURCE!$CA540=TRUE,DONNEES_SOURCE!$BV540,"")</f>
        <v/>
      </c>
      <c r="Q540" t="str">
        <f>IF(DONNEES_SOURCE!$CA540=TRUE,IFERROR(MATCH(DONNEES_SOURCE!$B540,{"2. Très rarement (Moins d'une fois par mois)","3. Rarement (1 à 3 fois par mois)","4. Parfois (Environ une fois par semaine)","5. Régulièrement (Plusieurs fois par semaine)","6. Quotidiennement (Une fois par jour)","7. Très fréquemment (Plusieurs fois par jour)"},0)+1,""),"")</f>
        <v/>
      </c>
      <c r="R540" t="str">
        <f>IF(DONNEES_SOURCE!$CA540=TRUE,DONNEES_SOURCE!$BW540,"")</f>
        <v/>
      </c>
      <c r="S540" t="str">
        <f>IF(DONNEES_SOURCE!$CA540=TRUE,DONNEES_SOURCE!$AU540,"")</f>
        <v/>
      </c>
      <c r="T540" t="str">
        <f>IF(DONNEES_SOURCE!$CA540=TRUE,DONNEES_SOURCE!$BW540,"")</f>
        <v/>
      </c>
      <c r="U540" t="str">
        <f>IF(DONNEES_SOURCE!$CA540=TRUE,IFERROR(MATCH(DONNEES_SOURCE!$B540,{"2. Très rarement (Moins d'une fois par mois)","3. Rarement (1 à 3 fois par mois)","4. Parfois (Environ une fois par semaine)","5. Régulièrement (Plusieurs fois par semaine)","6. Quotidiennement (Une fois par jour)","7. Très fréquemment (Plusieurs fois par jour)"},0)+1,""),"")</f>
        <v/>
      </c>
    </row>
    <row r="541" spans="16:21" x14ac:dyDescent="0.25">
      <c r="P541" t="str">
        <f>IF(DONNEES_SOURCE!$CA541=TRUE,DONNEES_SOURCE!$BV541,"")</f>
        <v/>
      </c>
      <c r="Q541" t="str">
        <f>IF(DONNEES_SOURCE!$CA541=TRUE,IFERROR(MATCH(DONNEES_SOURCE!$B541,{"2. Très rarement (Moins d'une fois par mois)","3. Rarement (1 à 3 fois par mois)","4. Parfois (Environ une fois par semaine)","5. Régulièrement (Plusieurs fois par semaine)","6. Quotidiennement (Une fois par jour)","7. Très fréquemment (Plusieurs fois par jour)"},0)+1,""),"")</f>
        <v/>
      </c>
      <c r="R541" t="str">
        <f>IF(DONNEES_SOURCE!$CA541=TRUE,DONNEES_SOURCE!$BW541,"")</f>
        <v/>
      </c>
      <c r="S541" t="str">
        <f>IF(DONNEES_SOURCE!$CA541=TRUE,DONNEES_SOURCE!$AU541,"")</f>
        <v/>
      </c>
      <c r="T541" t="str">
        <f>IF(DONNEES_SOURCE!$CA541=TRUE,DONNEES_SOURCE!$BW541,"")</f>
        <v/>
      </c>
      <c r="U541" t="str">
        <f>IF(DONNEES_SOURCE!$CA541=TRUE,IFERROR(MATCH(DONNEES_SOURCE!$B541,{"2. Très rarement (Moins d'une fois par mois)","3. Rarement (1 à 3 fois par mois)","4. Parfois (Environ une fois par semaine)","5. Régulièrement (Plusieurs fois par semaine)","6. Quotidiennement (Une fois par jour)","7. Très fréquemment (Plusieurs fois par jour)"},0)+1,""),"")</f>
        <v/>
      </c>
    </row>
    <row r="542" spans="16:21" x14ac:dyDescent="0.25">
      <c r="P542" t="str">
        <f>IF(DONNEES_SOURCE!$CA542=TRUE,DONNEES_SOURCE!$BV542,"")</f>
        <v/>
      </c>
      <c r="Q542" t="str">
        <f>IF(DONNEES_SOURCE!$CA542=TRUE,IFERROR(MATCH(DONNEES_SOURCE!$B542,{"2. Très rarement (Moins d'une fois par mois)","3. Rarement (1 à 3 fois par mois)","4. Parfois (Environ une fois par semaine)","5. Régulièrement (Plusieurs fois par semaine)","6. Quotidiennement (Une fois par jour)","7. Très fréquemment (Plusieurs fois par jour)"},0)+1,""),"")</f>
        <v/>
      </c>
      <c r="R542" t="str">
        <f>IF(DONNEES_SOURCE!$CA542=TRUE,DONNEES_SOURCE!$BW542,"")</f>
        <v/>
      </c>
      <c r="S542" t="str">
        <f>IF(DONNEES_SOURCE!$CA542=TRUE,DONNEES_SOURCE!$AU542,"")</f>
        <v/>
      </c>
      <c r="T542" t="str">
        <f>IF(DONNEES_SOURCE!$CA542=TRUE,DONNEES_SOURCE!$BW542,"")</f>
        <v/>
      </c>
      <c r="U542" t="str">
        <f>IF(DONNEES_SOURCE!$CA542=TRUE,IFERROR(MATCH(DONNEES_SOURCE!$B542,{"2. Très rarement (Moins d'une fois par mois)","3. Rarement (1 à 3 fois par mois)","4. Parfois (Environ une fois par semaine)","5. Régulièrement (Plusieurs fois par semaine)","6. Quotidiennement (Une fois par jour)","7. Très fréquemment (Plusieurs fois par jour)"},0)+1,""),"")</f>
        <v/>
      </c>
    </row>
    <row r="543" spans="16:21" x14ac:dyDescent="0.25">
      <c r="P543" t="str">
        <f>IF(DONNEES_SOURCE!$CA543=TRUE,DONNEES_SOURCE!$BV543,"")</f>
        <v/>
      </c>
      <c r="Q543" t="str">
        <f>IF(DONNEES_SOURCE!$CA543=TRUE,IFERROR(MATCH(DONNEES_SOURCE!$B543,{"2. Très rarement (Moins d'une fois par mois)","3. Rarement (1 à 3 fois par mois)","4. Parfois (Environ une fois par semaine)","5. Régulièrement (Plusieurs fois par semaine)","6. Quotidiennement (Une fois par jour)","7. Très fréquemment (Plusieurs fois par jour)"},0)+1,""),"")</f>
        <v/>
      </c>
      <c r="R543" t="str">
        <f>IF(DONNEES_SOURCE!$CA543=TRUE,DONNEES_SOURCE!$BW543,"")</f>
        <v/>
      </c>
      <c r="S543" t="str">
        <f>IF(DONNEES_SOURCE!$CA543=TRUE,DONNEES_SOURCE!$AU543,"")</f>
        <v/>
      </c>
      <c r="T543" t="str">
        <f>IF(DONNEES_SOURCE!$CA543=TRUE,DONNEES_SOURCE!$BW543,"")</f>
        <v/>
      </c>
      <c r="U543" t="str">
        <f>IF(DONNEES_SOURCE!$CA543=TRUE,IFERROR(MATCH(DONNEES_SOURCE!$B543,{"2. Très rarement (Moins d'une fois par mois)","3. Rarement (1 à 3 fois par mois)","4. Parfois (Environ une fois par semaine)","5. Régulièrement (Plusieurs fois par semaine)","6. Quotidiennement (Une fois par jour)","7. Très fréquemment (Plusieurs fois par jour)"},0)+1,""),"")</f>
        <v/>
      </c>
    </row>
    <row r="544" spans="16:21" x14ac:dyDescent="0.25">
      <c r="P544" t="str">
        <f>IF(DONNEES_SOURCE!$CA544=TRUE,DONNEES_SOURCE!$BV544,"")</f>
        <v/>
      </c>
      <c r="Q544" t="str">
        <f>IF(DONNEES_SOURCE!$CA544=TRUE,IFERROR(MATCH(DONNEES_SOURCE!$B544,{"2. Très rarement (Moins d'une fois par mois)","3. Rarement (1 à 3 fois par mois)","4. Parfois (Environ une fois par semaine)","5. Régulièrement (Plusieurs fois par semaine)","6. Quotidiennement (Une fois par jour)","7. Très fréquemment (Plusieurs fois par jour)"},0)+1,""),"")</f>
        <v/>
      </c>
      <c r="R544" t="str">
        <f>IF(DONNEES_SOURCE!$CA544=TRUE,DONNEES_SOURCE!$BW544,"")</f>
        <v/>
      </c>
      <c r="S544" t="str">
        <f>IF(DONNEES_SOURCE!$CA544=TRUE,DONNEES_SOURCE!$AU544,"")</f>
        <v/>
      </c>
      <c r="T544" t="str">
        <f>IF(DONNEES_SOURCE!$CA544=TRUE,DONNEES_SOURCE!$BW544,"")</f>
        <v/>
      </c>
      <c r="U544" t="str">
        <f>IF(DONNEES_SOURCE!$CA544=TRUE,IFERROR(MATCH(DONNEES_SOURCE!$B544,{"2. Très rarement (Moins d'une fois par mois)","3. Rarement (1 à 3 fois par mois)","4. Parfois (Environ une fois par semaine)","5. Régulièrement (Plusieurs fois par semaine)","6. Quotidiennement (Une fois par jour)","7. Très fréquemment (Plusieurs fois par jour)"},0)+1,""),"")</f>
        <v/>
      </c>
    </row>
    <row r="545" spans="16:21" x14ac:dyDescent="0.25">
      <c r="P545" t="str">
        <f>IF(DONNEES_SOURCE!$CA545=TRUE,DONNEES_SOURCE!$BV545,"")</f>
        <v/>
      </c>
      <c r="Q545" t="str">
        <f>IF(DONNEES_SOURCE!$CA545=TRUE,IFERROR(MATCH(DONNEES_SOURCE!$B545,{"2. Très rarement (Moins d'une fois par mois)","3. Rarement (1 à 3 fois par mois)","4. Parfois (Environ une fois par semaine)","5. Régulièrement (Plusieurs fois par semaine)","6. Quotidiennement (Une fois par jour)","7. Très fréquemment (Plusieurs fois par jour)"},0)+1,""),"")</f>
        <v/>
      </c>
      <c r="R545" t="str">
        <f>IF(DONNEES_SOURCE!$CA545=TRUE,DONNEES_SOURCE!$BW545,"")</f>
        <v/>
      </c>
      <c r="S545" t="str">
        <f>IF(DONNEES_SOURCE!$CA545=TRUE,DONNEES_SOURCE!$AU545,"")</f>
        <v/>
      </c>
      <c r="T545" t="str">
        <f>IF(DONNEES_SOURCE!$CA545=TRUE,DONNEES_SOURCE!$BW545,"")</f>
        <v/>
      </c>
      <c r="U545" t="str">
        <f>IF(DONNEES_SOURCE!$CA545=TRUE,IFERROR(MATCH(DONNEES_SOURCE!$B545,{"2. Très rarement (Moins d'une fois par mois)","3. Rarement (1 à 3 fois par mois)","4. Parfois (Environ une fois par semaine)","5. Régulièrement (Plusieurs fois par semaine)","6. Quotidiennement (Une fois par jour)","7. Très fréquemment (Plusieurs fois par jour)"},0)+1,""),"")</f>
        <v/>
      </c>
    </row>
    <row r="546" spans="16:21" x14ac:dyDescent="0.25">
      <c r="P546" t="str">
        <f>IF(DONNEES_SOURCE!$CA546=TRUE,DONNEES_SOURCE!$BV546,"")</f>
        <v/>
      </c>
      <c r="Q546" t="str">
        <f>IF(DONNEES_SOURCE!$CA546=TRUE,IFERROR(MATCH(DONNEES_SOURCE!$B546,{"2. Très rarement (Moins d'une fois par mois)","3. Rarement (1 à 3 fois par mois)","4. Parfois (Environ une fois par semaine)","5. Régulièrement (Plusieurs fois par semaine)","6. Quotidiennement (Une fois par jour)","7. Très fréquemment (Plusieurs fois par jour)"},0)+1,""),"")</f>
        <v/>
      </c>
      <c r="R546" t="str">
        <f>IF(DONNEES_SOURCE!$CA546=TRUE,DONNEES_SOURCE!$BW546,"")</f>
        <v/>
      </c>
      <c r="S546" t="str">
        <f>IF(DONNEES_SOURCE!$CA546=TRUE,DONNEES_SOURCE!$AU546,"")</f>
        <v/>
      </c>
      <c r="T546" t="str">
        <f>IF(DONNEES_SOURCE!$CA546=TRUE,DONNEES_SOURCE!$BW546,"")</f>
        <v/>
      </c>
      <c r="U546" t="str">
        <f>IF(DONNEES_SOURCE!$CA546=TRUE,IFERROR(MATCH(DONNEES_SOURCE!$B546,{"2. Très rarement (Moins d'une fois par mois)","3. Rarement (1 à 3 fois par mois)","4. Parfois (Environ une fois par semaine)","5. Régulièrement (Plusieurs fois par semaine)","6. Quotidiennement (Une fois par jour)","7. Très fréquemment (Plusieurs fois par jour)"},0)+1,""),"")</f>
        <v/>
      </c>
    </row>
    <row r="547" spans="16:21" x14ac:dyDescent="0.25">
      <c r="P547" t="str">
        <f>IF(DONNEES_SOURCE!$CA547=TRUE,DONNEES_SOURCE!$BV547,"")</f>
        <v/>
      </c>
      <c r="Q547" t="str">
        <f>IF(DONNEES_SOURCE!$CA547=TRUE,IFERROR(MATCH(DONNEES_SOURCE!$B547,{"2. Très rarement (Moins d'une fois par mois)","3. Rarement (1 à 3 fois par mois)","4. Parfois (Environ une fois par semaine)","5. Régulièrement (Plusieurs fois par semaine)","6. Quotidiennement (Une fois par jour)","7. Très fréquemment (Plusieurs fois par jour)"},0)+1,""),"")</f>
        <v/>
      </c>
      <c r="R547" t="str">
        <f>IF(DONNEES_SOURCE!$CA547=TRUE,DONNEES_SOURCE!$BW547,"")</f>
        <v/>
      </c>
      <c r="S547" t="str">
        <f>IF(DONNEES_SOURCE!$CA547=TRUE,DONNEES_SOURCE!$AU547,"")</f>
        <v/>
      </c>
      <c r="T547" t="str">
        <f>IF(DONNEES_SOURCE!$CA547=TRUE,DONNEES_SOURCE!$BW547,"")</f>
        <v/>
      </c>
      <c r="U547" t="str">
        <f>IF(DONNEES_SOURCE!$CA547=TRUE,IFERROR(MATCH(DONNEES_SOURCE!$B547,{"2. Très rarement (Moins d'une fois par mois)","3. Rarement (1 à 3 fois par mois)","4. Parfois (Environ une fois par semaine)","5. Régulièrement (Plusieurs fois par semaine)","6. Quotidiennement (Une fois par jour)","7. Très fréquemment (Plusieurs fois par jour)"},0)+1,""),"")</f>
        <v/>
      </c>
    </row>
    <row r="548" spans="16:21" x14ac:dyDescent="0.25">
      <c r="P548" t="str">
        <f>IF(DONNEES_SOURCE!$CA548=TRUE,DONNEES_SOURCE!$BV548,"")</f>
        <v/>
      </c>
      <c r="Q548" t="str">
        <f>IF(DONNEES_SOURCE!$CA548=TRUE,IFERROR(MATCH(DONNEES_SOURCE!$B548,{"2. Très rarement (Moins d'une fois par mois)","3. Rarement (1 à 3 fois par mois)","4. Parfois (Environ une fois par semaine)","5. Régulièrement (Plusieurs fois par semaine)","6. Quotidiennement (Une fois par jour)","7. Très fréquemment (Plusieurs fois par jour)"},0)+1,""),"")</f>
        <v/>
      </c>
      <c r="R548" t="str">
        <f>IF(DONNEES_SOURCE!$CA548=TRUE,DONNEES_SOURCE!$BW548,"")</f>
        <v/>
      </c>
      <c r="S548" t="str">
        <f>IF(DONNEES_SOURCE!$CA548=TRUE,DONNEES_SOURCE!$AU548,"")</f>
        <v/>
      </c>
      <c r="T548" t="str">
        <f>IF(DONNEES_SOURCE!$CA548=TRUE,DONNEES_SOURCE!$BW548,"")</f>
        <v/>
      </c>
      <c r="U548" t="str">
        <f>IF(DONNEES_SOURCE!$CA548=TRUE,IFERROR(MATCH(DONNEES_SOURCE!$B548,{"2. Très rarement (Moins d'une fois par mois)","3. Rarement (1 à 3 fois par mois)","4. Parfois (Environ une fois par semaine)","5. Régulièrement (Plusieurs fois par semaine)","6. Quotidiennement (Une fois par jour)","7. Très fréquemment (Plusieurs fois par jour)"},0)+1,""),"")</f>
        <v/>
      </c>
    </row>
    <row r="549" spans="16:21" x14ac:dyDescent="0.25">
      <c r="P549" t="str">
        <f>IF(DONNEES_SOURCE!$CA549=TRUE,DONNEES_SOURCE!$BV549,"")</f>
        <v/>
      </c>
      <c r="Q549" t="str">
        <f>IF(DONNEES_SOURCE!$CA549=TRUE,IFERROR(MATCH(DONNEES_SOURCE!$B549,{"2. Très rarement (Moins d'une fois par mois)","3. Rarement (1 à 3 fois par mois)","4. Parfois (Environ une fois par semaine)","5. Régulièrement (Plusieurs fois par semaine)","6. Quotidiennement (Une fois par jour)","7. Très fréquemment (Plusieurs fois par jour)"},0)+1,""),"")</f>
        <v/>
      </c>
      <c r="R549" t="str">
        <f>IF(DONNEES_SOURCE!$CA549=TRUE,DONNEES_SOURCE!$BW549,"")</f>
        <v/>
      </c>
      <c r="S549" t="str">
        <f>IF(DONNEES_SOURCE!$CA549=TRUE,DONNEES_SOURCE!$AU549,"")</f>
        <v/>
      </c>
      <c r="T549" t="str">
        <f>IF(DONNEES_SOURCE!$CA549=TRUE,DONNEES_SOURCE!$BW549,"")</f>
        <v/>
      </c>
      <c r="U549" t="str">
        <f>IF(DONNEES_SOURCE!$CA549=TRUE,IFERROR(MATCH(DONNEES_SOURCE!$B549,{"2. Très rarement (Moins d'une fois par mois)","3. Rarement (1 à 3 fois par mois)","4. Parfois (Environ une fois par semaine)","5. Régulièrement (Plusieurs fois par semaine)","6. Quotidiennement (Une fois par jour)","7. Très fréquemment (Plusieurs fois par jour)"},0)+1,""),"")</f>
        <v/>
      </c>
    </row>
    <row r="550" spans="16:21" x14ac:dyDescent="0.25">
      <c r="P550" t="str">
        <f>IF(DONNEES_SOURCE!$CA550=TRUE,DONNEES_SOURCE!$BV550,"")</f>
        <v/>
      </c>
      <c r="Q550" t="str">
        <f>IF(DONNEES_SOURCE!$CA550=TRUE,IFERROR(MATCH(DONNEES_SOURCE!$B550,{"2. Très rarement (Moins d'une fois par mois)","3. Rarement (1 à 3 fois par mois)","4. Parfois (Environ une fois par semaine)","5. Régulièrement (Plusieurs fois par semaine)","6. Quotidiennement (Une fois par jour)","7. Très fréquemment (Plusieurs fois par jour)"},0)+1,""),"")</f>
        <v/>
      </c>
      <c r="R550" t="str">
        <f>IF(DONNEES_SOURCE!$CA550=TRUE,DONNEES_SOURCE!$BW550,"")</f>
        <v/>
      </c>
      <c r="S550" t="str">
        <f>IF(DONNEES_SOURCE!$CA550=TRUE,DONNEES_SOURCE!$AU550,"")</f>
        <v/>
      </c>
      <c r="T550" t="str">
        <f>IF(DONNEES_SOURCE!$CA550=TRUE,DONNEES_SOURCE!$BW550,"")</f>
        <v/>
      </c>
      <c r="U550" t="str">
        <f>IF(DONNEES_SOURCE!$CA550=TRUE,IFERROR(MATCH(DONNEES_SOURCE!$B550,{"2. Très rarement (Moins d'une fois par mois)","3. Rarement (1 à 3 fois par mois)","4. Parfois (Environ une fois par semaine)","5. Régulièrement (Plusieurs fois par semaine)","6. Quotidiennement (Une fois par jour)","7. Très fréquemment (Plusieurs fois par jour)"},0)+1,""),"")</f>
        <v/>
      </c>
    </row>
    <row r="551" spans="16:21" x14ac:dyDescent="0.25">
      <c r="P551" t="str">
        <f>IF(DONNEES_SOURCE!$CA551=TRUE,DONNEES_SOURCE!$BV551,"")</f>
        <v/>
      </c>
      <c r="Q551" t="str">
        <f>IF(DONNEES_SOURCE!$CA551=TRUE,IFERROR(MATCH(DONNEES_SOURCE!$B551,{"2. Très rarement (Moins d'une fois par mois)","3. Rarement (1 à 3 fois par mois)","4. Parfois (Environ une fois par semaine)","5. Régulièrement (Plusieurs fois par semaine)","6. Quotidiennement (Une fois par jour)","7. Très fréquemment (Plusieurs fois par jour)"},0)+1,""),"")</f>
        <v/>
      </c>
      <c r="R551" t="str">
        <f>IF(DONNEES_SOURCE!$CA551=TRUE,DONNEES_SOURCE!$BW551,"")</f>
        <v/>
      </c>
      <c r="S551" t="str">
        <f>IF(DONNEES_SOURCE!$CA551=TRUE,DONNEES_SOURCE!$AU551,"")</f>
        <v/>
      </c>
      <c r="T551" t="str">
        <f>IF(DONNEES_SOURCE!$CA551=TRUE,DONNEES_SOURCE!$BW551,"")</f>
        <v/>
      </c>
      <c r="U551" t="str">
        <f>IF(DONNEES_SOURCE!$CA551=TRUE,IFERROR(MATCH(DONNEES_SOURCE!$B551,{"2. Très rarement (Moins d'une fois par mois)","3. Rarement (1 à 3 fois par mois)","4. Parfois (Environ une fois par semaine)","5. Régulièrement (Plusieurs fois par semaine)","6. Quotidiennement (Une fois par jour)","7. Très fréquemment (Plusieurs fois par jour)"},0)+1,""),"")</f>
        <v/>
      </c>
    </row>
    <row r="552" spans="16:21" x14ac:dyDescent="0.25">
      <c r="P552" t="str">
        <f>IF(DONNEES_SOURCE!$CA552=TRUE,DONNEES_SOURCE!$BV552,"")</f>
        <v/>
      </c>
      <c r="Q552" t="str">
        <f>IF(DONNEES_SOURCE!$CA552=TRUE,IFERROR(MATCH(DONNEES_SOURCE!$B552,{"2. Très rarement (Moins d'une fois par mois)","3. Rarement (1 à 3 fois par mois)","4. Parfois (Environ une fois par semaine)","5. Régulièrement (Plusieurs fois par semaine)","6. Quotidiennement (Une fois par jour)","7. Très fréquemment (Plusieurs fois par jour)"},0)+1,""),"")</f>
        <v/>
      </c>
      <c r="R552" t="str">
        <f>IF(DONNEES_SOURCE!$CA552=TRUE,DONNEES_SOURCE!$BW552,"")</f>
        <v/>
      </c>
      <c r="S552" t="str">
        <f>IF(DONNEES_SOURCE!$CA552=TRUE,DONNEES_SOURCE!$AU552,"")</f>
        <v/>
      </c>
      <c r="T552" t="str">
        <f>IF(DONNEES_SOURCE!$CA552=TRUE,DONNEES_SOURCE!$BW552,"")</f>
        <v/>
      </c>
      <c r="U552" t="str">
        <f>IF(DONNEES_SOURCE!$CA552=TRUE,IFERROR(MATCH(DONNEES_SOURCE!$B552,{"2. Très rarement (Moins d'une fois par mois)","3. Rarement (1 à 3 fois par mois)","4. Parfois (Environ une fois par semaine)","5. Régulièrement (Plusieurs fois par semaine)","6. Quotidiennement (Une fois par jour)","7. Très fréquemment (Plusieurs fois par jour)"},0)+1,""),"")</f>
        <v/>
      </c>
    </row>
    <row r="553" spans="16:21" x14ac:dyDescent="0.25">
      <c r="P553" t="str">
        <f>IF(DONNEES_SOURCE!$CA553=TRUE,DONNEES_SOURCE!$BV553,"")</f>
        <v/>
      </c>
      <c r="Q553" t="str">
        <f>IF(DONNEES_SOURCE!$CA553=TRUE,IFERROR(MATCH(DONNEES_SOURCE!$B553,{"2. Très rarement (Moins d'une fois par mois)","3. Rarement (1 à 3 fois par mois)","4. Parfois (Environ une fois par semaine)","5. Régulièrement (Plusieurs fois par semaine)","6. Quotidiennement (Une fois par jour)","7. Très fréquemment (Plusieurs fois par jour)"},0)+1,""),"")</f>
        <v/>
      </c>
      <c r="R553" t="str">
        <f>IF(DONNEES_SOURCE!$CA553=TRUE,DONNEES_SOURCE!$BW553,"")</f>
        <v/>
      </c>
      <c r="S553" t="str">
        <f>IF(DONNEES_SOURCE!$CA553=TRUE,DONNEES_SOURCE!$AU553,"")</f>
        <v/>
      </c>
      <c r="T553" t="str">
        <f>IF(DONNEES_SOURCE!$CA553=TRUE,DONNEES_SOURCE!$BW553,"")</f>
        <v/>
      </c>
      <c r="U553" t="str">
        <f>IF(DONNEES_SOURCE!$CA553=TRUE,IFERROR(MATCH(DONNEES_SOURCE!$B553,{"2. Très rarement (Moins d'une fois par mois)","3. Rarement (1 à 3 fois par mois)","4. Parfois (Environ une fois par semaine)","5. Régulièrement (Plusieurs fois par semaine)","6. Quotidiennement (Une fois par jour)","7. Très fréquemment (Plusieurs fois par jour)"},0)+1,""),"")</f>
        <v/>
      </c>
    </row>
    <row r="554" spans="16:21" x14ac:dyDescent="0.25">
      <c r="P554" t="str">
        <f>IF(DONNEES_SOURCE!$CA554=TRUE,DONNEES_SOURCE!$BV554,"")</f>
        <v/>
      </c>
      <c r="Q554" t="str">
        <f>IF(DONNEES_SOURCE!$CA554=TRUE,IFERROR(MATCH(DONNEES_SOURCE!$B554,{"2. Très rarement (Moins d'une fois par mois)","3. Rarement (1 à 3 fois par mois)","4. Parfois (Environ une fois par semaine)","5. Régulièrement (Plusieurs fois par semaine)","6. Quotidiennement (Une fois par jour)","7. Très fréquemment (Plusieurs fois par jour)"},0)+1,""),"")</f>
        <v/>
      </c>
      <c r="R554" t="str">
        <f>IF(DONNEES_SOURCE!$CA554=TRUE,DONNEES_SOURCE!$BW554,"")</f>
        <v/>
      </c>
      <c r="S554" t="str">
        <f>IF(DONNEES_SOURCE!$CA554=TRUE,DONNEES_SOURCE!$AU554,"")</f>
        <v/>
      </c>
      <c r="T554" t="str">
        <f>IF(DONNEES_SOURCE!$CA554=TRUE,DONNEES_SOURCE!$BW554,"")</f>
        <v/>
      </c>
      <c r="U554" t="str">
        <f>IF(DONNEES_SOURCE!$CA554=TRUE,IFERROR(MATCH(DONNEES_SOURCE!$B554,{"2. Très rarement (Moins d'une fois par mois)","3. Rarement (1 à 3 fois par mois)","4. Parfois (Environ une fois par semaine)","5. Régulièrement (Plusieurs fois par semaine)","6. Quotidiennement (Une fois par jour)","7. Très fréquemment (Plusieurs fois par jour)"},0)+1,""),"")</f>
        <v/>
      </c>
    </row>
    <row r="555" spans="16:21" x14ac:dyDescent="0.25">
      <c r="P555" t="str">
        <f>IF(DONNEES_SOURCE!$CA555=TRUE,DONNEES_SOURCE!$BV555,"")</f>
        <v/>
      </c>
      <c r="Q555" t="str">
        <f>IF(DONNEES_SOURCE!$CA555=TRUE,IFERROR(MATCH(DONNEES_SOURCE!$B555,{"2. Très rarement (Moins d'une fois par mois)","3. Rarement (1 à 3 fois par mois)","4. Parfois (Environ une fois par semaine)","5. Régulièrement (Plusieurs fois par semaine)","6. Quotidiennement (Une fois par jour)","7. Très fréquemment (Plusieurs fois par jour)"},0)+1,""),"")</f>
        <v/>
      </c>
      <c r="R555" t="str">
        <f>IF(DONNEES_SOURCE!$CA555=TRUE,DONNEES_SOURCE!$BW555,"")</f>
        <v/>
      </c>
      <c r="S555" t="str">
        <f>IF(DONNEES_SOURCE!$CA555=TRUE,DONNEES_SOURCE!$AU555,"")</f>
        <v/>
      </c>
      <c r="T555" t="str">
        <f>IF(DONNEES_SOURCE!$CA555=TRUE,DONNEES_SOURCE!$BW555,"")</f>
        <v/>
      </c>
      <c r="U555" t="str">
        <f>IF(DONNEES_SOURCE!$CA555=TRUE,IFERROR(MATCH(DONNEES_SOURCE!$B555,{"2. Très rarement (Moins d'une fois par mois)","3. Rarement (1 à 3 fois par mois)","4. Parfois (Environ une fois par semaine)","5. Régulièrement (Plusieurs fois par semaine)","6. Quotidiennement (Une fois par jour)","7. Très fréquemment (Plusieurs fois par jour)"},0)+1,""),"")</f>
        <v/>
      </c>
    </row>
    <row r="556" spans="16:21" x14ac:dyDescent="0.25">
      <c r="P556" t="str">
        <f>IF(DONNEES_SOURCE!$CA556=TRUE,DONNEES_SOURCE!$BV556,"")</f>
        <v/>
      </c>
      <c r="Q556" t="str">
        <f>IF(DONNEES_SOURCE!$CA556=TRUE,IFERROR(MATCH(DONNEES_SOURCE!$B556,{"2. Très rarement (Moins d'une fois par mois)","3. Rarement (1 à 3 fois par mois)","4. Parfois (Environ une fois par semaine)","5. Régulièrement (Plusieurs fois par semaine)","6. Quotidiennement (Une fois par jour)","7. Très fréquemment (Plusieurs fois par jour)"},0)+1,""),"")</f>
        <v/>
      </c>
      <c r="R556" t="str">
        <f>IF(DONNEES_SOURCE!$CA556=TRUE,DONNEES_SOURCE!$BW556,"")</f>
        <v/>
      </c>
      <c r="S556" t="str">
        <f>IF(DONNEES_SOURCE!$CA556=TRUE,DONNEES_SOURCE!$AU556,"")</f>
        <v/>
      </c>
      <c r="T556" t="str">
        <f>IF(DONNEES_SOURCE!$CA556=TRUE,DONNEES_SOURCE!$BW556,"")</f>
        <v/>
      </c>
      <c r="U556" t="str">
        <f>IF(DONNEES_SOURCE!$CA556=TRUE,IFERROR(MATCH(DONNEES_SOURCE!$B556,{"2. Très rarement (Moins d'une fois par mois)","3. Rarement (1 à 3 fois par mois)","4. Parfois (Environ une fois par semaine)","5. Régulièrement (Plusieurs fois par semaine)","6. Quotidiennement (Une fois par jour)","7. Très fréquemment (Plusieurs fois par jour)"},0)+1,""),"")</f>
        <v/>
      </c>
    </row>
    <row r="557" spans="16:21" x14ac:dyDescent="0.25">
      <c r="P557" t="str">
        <f>IF(DONNEES_SOURCE!$CA557=TRUE,DONNEES_SOURCE!$BV557,"")</f>
        <v/>
      </c>
      <c r="Q557" t="str">
        <f>IF(DONNEES_SOURCE!$CA557=TRUE,IFERROR(MATCH(DONNEES_SOURCE!$B557,{"2. Très rarement (Moins d'une fois par mois)","3. Rarement (1 à 3 fois par mois)","4. Parfois (Environ une fois par semaine)","5. Régulièrement (Plusieurs fois par semaine)","6. Quotidiennement (Une fois par jour)","7. Très fréquemment (Plusieurs fois par jour)"},0)+1,""),"")</f>
        <v/>
      </c>
      <c r="R557" t="str">
        <f>IF(DONNEES_SOURCE!$CA557=TRUE,DONNEES_SOURCE!$BW557,"")</f>
        <v/>
      </c>
      <c r="S557" t="str">
        <f>IF(DONNEES_SOURCE!$CA557=TRUE,DONNEES_SOURCE!$AU557,"")</f>
        <v/>
      </c>
      <c r="T557" t="str">
        <f>IF(DONNEES_SOURCE!$CA557=TRUE,DONNEES_SOURCE!$BW557,"")</f>
        <v/>
      </c>
      <c r="U557" t="str">
        <f>IF(DONNEES_SOURCE!$CA557=TRUE,IFERROR(MATCH(DONNEES_SOURCE!$B557,{"2. Très rarement (Moins d'une fois par mois)","3. Rarement (1 à 3 fois par mois)","4. Parfois (Environ une fois par semaine)","5. Régulièrement (Plusieurs fois par semaine)","6. Quotidiennement (Une fois par jour)","7. Très fréquemment (Plusieurs fois par jour)"},0)+1,""),"")</f>
        <v/>
      </c>
    </row>
    <row r="558" spans="16:21" x14ac:dyDescent="0.25">
      <c r="P558" t="str">
        <f>IF(DONNEES_SOURCE!$CA558=TRUE,DONNEES_SOURCE!$BV558,"")</f>
        <v/>
      </c>
      <c r="Q558" t="str">
        <f>IF(DONNEES_SOURCE!$CA558=TRUE,IFERROR(MATCH(DONNEES_SOURCE!$B558,{"2. Très rarement (Moins d'une fois par mois)","3. Rarement (1 à 3 fois par mois)","4. Parfois (Environ une fois par semaine)","5. Régulièrement (Plusieurs fois par semaine)","6. Quotidiennement (Une fois par jour)","7. Très fréquemment (Plusieurs fois par jour)"},0)+1,""),"")</f>
        <v/>
      </c>
      <c r="R558" t="str">
        <f>IF(DONNEES_SOURCE!$CA558=TRUE,DONNEES_SOURCE!$BW558,"")</f>
        <v/>
      </c>
      <c r="S558" t="str">
        <f>IF(DONNEES_SOURCE!$CA558=TRUE,DONNEES_SOURCE!$AU558,"")</f>
        <v/>
      </c>
      <c r="T558" t="str">
        <f>IF(DONNEES_SOURCE!$CA558=TRUE,DONNEES_SOURCE!$BW558,"")</f>
        <v/>
      </c>
      <c r="U558" t="str">
        <f>IF(DONNEES_SOURCE!$CA558=TRUE,IFERROR(MATCH(DONNEES_SOURCE!$B558,{"2. Très rarement (Moins d'une fois par mois)","3. Rarement (1 à 3 fois par mois)","4. Parfois (Environ une fois par semaine)","5. Régulièrement (Plusieurs fois par semaine)","6. Quotidiennement (Une fois par jour)","7. Très fréquemment (Plusieurs fois par jour)"},0)+1,""),"")</f>
        <v/>
      </c>
    </row>
    <row r="559" spans="16:21" x14ac:dyDescent="0.25">
      <c r="P559" t="str">
        <f>IF(DONNEES_SOURCE!$CA559=TRUE,DONNEES_SOURCE!$BV559,"")</f>
        <v/>
      </c>
      <c r="Q559" t="str">
        <f>IF(DONNEES_SOURCE!$CA559=TRUE,IFERROR(MATCH(DONNEES_SOURCE!$B559,{"2. Très rarement (Moins d'une fois par mois)","3. Rarement (1 à 3 fois par mois)","4. Parfois (Environ une fois par semaine)","5. Régulièrement (Plusieurs fois par semaine)","6. Quotidiennement (Une fois par jour)","7. Très fréquemment (Plusieurs fois par jour)"},0)+1,""),"")</f>
        <v/>
      </c>
      <c r="R559" t="str">
        <f>IF(DONNEES_SOURCE!$CA559=TRUE,DONNEES_SOURCE!$BW559,"")</f>
        <v/>
      </c>
      <c r="S559" t="str">
        <f>IF(DONNEES_SOURCE!$CA559=TRUE,DONNEES_SOURCE!$AU559,"")</f>
        <v/>
      </c>
      <c r="T559" t="str">
        <f>IF(DONNEES_SOURCE!$CA559=TRUE,DONNEES_SOURCE!$BW559,"")</f>
        <v/>
      </c>
      <c r="U559" t="str">
        <f>IF(DONNEES_SOURCE!$CA559=TRUE,IFERROR(MATCH(DONNEES_SOURCE!$B559,{"2. Très rarement (Moins d'une fois par mois)","3. Rarement (1 à 3 fois par mois)","4. Parfois (Environ une fois par semaine)","5. Régulièrement (Plusieurs fois par semaine)","6. Quotidiennement (Une fois par jour)","7. Très fréquemment (Plusieurs fois par jour)"},0)+1,""),"")</f>
        <v/>
      </c>
    </row>
    <row r="560" spans="16:21" x14ac:dyDescent="0.25">
      <c r="P560" t="str">
        <f>IF(DONNEES_SOURCE!$CA560=TRUE,DONNEES_SOURCE!$BV560,"")</f>
        <v/>
      </c>
      <c r="Q560" t="str">
        <f>IF(DONNEES_SOURCE!$CA560=TRUE,IFERROR(MATCH(DONNEES_SOURCE!$B560,{"2. Très rarement (Moins d'une fois par mois)","3. Rarement (1 à 3 fois par mois)","4. Parfois (Environ une fois par semaine)","5. Régulièrement (Plusieurs fois par semaine)","6. Quotidiennement (Une fois par jour)","7. Très fréquemment (Plusieurs fois par jour)"},0)+1,""),"")</f>
        <v/>
      </c>
      <c r="R560" t="str">
        <f>IF(DONNEES_SOURCE!$CA560=TRUE,DONNEES_SOURCE!$BW560,"")</f>
        <v/>
      </c>
      <c r="S560" t="str">
        <f>IF(DONNEES_SOURCE!$CA560=TRUE,DONNEES_SOURCE!$AU560,"")</f>
        <v/>
      </c>
      <c r="T560" t="str">
        <f>IF(DONNEES_SOURCE!$CA560=TRUE,DONNEES_SOURCE!$BW560,"")</f>
        <v/>
      </c>
      <c r="U560" t="str">
        <f>IF(DONNEES_SOURCE!$CA560=TRUE,IFERROR(MATCH(DONNEES_SOURCE!$B560,{"2. Très rarement (Moins d'une fois par mois)","3. Rarement (1 à 3 fois par mois)","4. Parfois (Environ une fois par semaine)","5. Régulièrement (Plusieurs fois par semaine)","6. Quotidiennement (Une fois par jour)","7. Très fréquemment (Plusieurs fois par jour)"},0)+1,""),"")</f>
        <v/>
      </c>
    </row>
    <row r="561" spans="16:21" x14ac:dyDescent="0.25">
      <c r="P561" t="str">
        <f>IF(DONNEES_SOURCE!$CA561=TRUE,DONNEES_SOURCE!$BV561,"")</f>
        <v/>
      </c>
      <c r="Q561" t="str">
        <f>IF(DONNEES_SOURCE!$CA561=TRUE,IFERROR(MATCH(DONNEES_SOURCE!$B561,{"2. Très rarement (Moins d'une fois par mois)","3. Rarement (1 à 3 fois par mois)","4. Parfois (Environ une fois par semaine)","5. Régulièrement (Plusieurs fois par semaine)","6. Quotidiennement (Une fois par jour)","7. Très fréquemment (Plusieurs fois par jour)"},0)+1,""),"")</f>
        <v/>
      </c>
      <c r="R561" t="str">
        <f>IF(DONNEES_SOURCE!$CA561=TRUE,DONNEES_SOURCE!$BW561,"")</f>
        <v/>
      </c>
      <c r="S561" t="str">
        <f>IF(DONNEES_SOURCE!$CA561=TRUE,DONNEES_SOURCE!$AU561,"")</f>
        <v/>
      </c>
      <c r="T561" t="str">
        <f>IF(DONNEES_SOURCE!$CA561=TRUE,DONNEES_SOURCE!$BW561,"")</f>
        <v/>
      </c>
      <c r="U561" t="str">
        <f>IF(DONNEES_SOURCE!$CA561=TRUE,IFERROR(MATCH(DONNEES_SOURCE!$B561,{"2. Très rarement (Moins d'une fois par mois)","3. Rarement (1 à 3 fois par mois)","4. Parfois (Environ une fois par semaine)","5. Régulièrement (Plusieurs fois par semaine)","6. Quotidiennement (Une fois par jour)","7. Très fréquemment (Plusieurs fois par jour)"},0)+1,""),"")</f>
        <v/>
      </c>
    </row>
    <row r="562" spans="16:21" x14ac:dyDescent="0.25">
      <c r="P562" t="str">
        <f>IF(DONNEES_SOURCE!$CA562=TRUE,DONNEES_SOURCE!$BV562,"")</f>
        <v/>
      </c>
      <c r="Q562" t="str">
        <f>IF(DONNEES_SOURCE!$CA562=TRUE,IFERROR(MATCH(DONNEES_SOURCE!$B562,{"2. Très rarement (Moins d'une fois par mois)","3. Rarement (1 à 3 fois par mois)","4. Parfois (Environ une fois par semaine)","5. Régulièrement (Plusieurs fois par semaine)","6. Quotidiennement (Une fois par jour)","7. Très fréquemment (Plusieurs fois par jour)"},0)+1,""),"")</f>
        <v/>
      </c>
      <c r="R562" t="str">
        <f>IF(DONNEES_SOURCE!$CA562=TRUE,DONNEES_SOURCE!$BW562,"")</f>
        <v/>
      </c>
      <c r="S562" t="str">
        <f>IF(DONNEES_SOURCE!$CA562=TRUE,DONNEES_SOURCE!$AU562,"")</f>
        <v/>
      </c>
      <c r="T562" t="str">
        <f>IF(DONNEES_SOURCE!$CA562=TRUE,DONNEES_SOURCE!$BW562,"")</f>
        <v/>
      </c>
      <c r="U562" t="str">
        <f>IF(DONNEES_SOURCE!$CA562=TRUE,IFERROR(MATCH(DONNEES_SOURCE!$B562,{"2. Très rarement (Moins d'une fois par mois)","3. Rarement (1 à 3 fois par mois)","4. Parfois (Environ une fois par semaine)","5. Régulièrement (Plusieurs fois par semaine)","6. Quotidiennement (Une fois par jour)","7. Très fréquemment (Plusieurs fois par jour)"},0)+1,""),"")</f>
        <v/>
      </c>
    </row>
    <row r="563" spans="16:21" x14ac:dyDescent="0.25">
      <c r="P563" t="str">
        <f>IF(DONNEES_SOURCE!$CA563=TRUE,DONNEES_SOURCE!$BV563,"")</f>
        <v/>
      </c>
      <c r="Q563" t="str">
        <f>IF(DONNEES_SOURCE!$CA563=TRUE,IFERROR(MATCH(DONNEES_SOURCE!$B563,{"2. Très rarement (Moins d'une fois par mois)","3. Rarement (1 à 3 fois par mois)","4. Parfois (Environ une fois par semaine)","5. Régulièrement (Plusieurs fois par semaine)","6. Quotidiennement (Une fois par jour)","7. Très fréquemment (Plusieurs fois par jour)"},0)+1,""),"")</f>
        <v/>
      </c>
      <c r="R563" t="str">
        <f>IF(DONNEES_SOURCE!$CA563=TRUE,DONNEES_SOURCE!$BW563,"")</f>
        <v/>
      </c>
      <c r="S563" t="str">
        <f>IF(DONNEES_SOURCE!$CA563=TRUE,DONNEES_SOURCE!$AU563,"")</f>
        <v/>
      </c>
      <c r="T563" t="str">
        <f>IF(DONNEES_SOURCE!$CA563=TRUE,DONNEES_SOURCE!$BW563,"")</f>
        <v/>
      </c>
      <c r="U563" t="str">
        <f>IF(DONNEES_SOURCE!$CA563=TRUE,IFERROR(MATCH(DONNEES_SOURCE!$B563,{"2. Très rarement (Moins d'une fois par mois)","3. Rarement (1 à 3 fois par mois)","4. Parfois (Environ une fois par semaine)","5. Régulièrement (Plusieurs fois par semaine)","6. Quotidiennement (Une fois par jour)","7. Très fréquemment (Plusieurs fois par jour)"},0)+1,""),"")</f>
        <v/>
      </c>
    </row>
    <row r="564" spans="16:21" x14ac:dyDescent="0.25">
      <c r="P564" t="str">
        <f>IF(DONNEES_SOURCE!$CA564=TRUE,DONNEES_SOURCE!$BV564,"")</f>
        <v/>
      </c>
      <c r="Q564" t="str">
        <f>IF(DONNEES_SOURCE!$CA564=TRUE,IFERROR(MATCH(DONNEES_SOURCE!$B564,{"2. Très rarement (Moins d'une fois par mois)","3. Rarement (1 à 3 fois par mois)","4. Parfois (Environ une fois par semaine)","5. Régulièrement (Plusieurs fois par semaine)","6. Quotidiennement (Une fois par jour)","7. Très fréquemment (Plusieurs fois par jour)"},0)+1,""),"")</f>
        <v/>
      </c>
      <c r="R564" t="str">
        <f>IF(DONNEES_SOURCE!$CA564=TRUE,DONNEES_SOURCE!$BW564,"")</f>
        <v/>
      </c>
      <c r="S564" t="str">
        <f>IF(DONNEES_SOURCE!$CA564=TRUE,DONNEES_SOURCE!$AU564,"")</f>
        <v/>
      </c>
      <c r="T564" t="str">
        <f>IF(DONNEES_SOURCE!$CA564=TRUE,DONNEES_SOURCE!$BW564,"")</f>
        <v/>
      </c>
      <c r="U564" t="str">
        <f>IF(DONNEES_SOURCE!$CA564=TRUE,IFERROR(MATCH(DONNEES_SOURCE!$B564,{"2. Très rarement (Moins d'une fois par mois)","3. Rarement (1 à 3 fois par mois)","4. Parfois (Environ une fois par semaine)","5. Régulièrement (Plusieurs fois par semaine)","6. Quotidiennement (Une fois par jour)","7. Très fréquemment (Plusieurs fois par jour)"},0)+1,""),"")</f>
        <v/>
      </c>
    </row>
    <row r="565" spans="16:21" x14ac:dyDescent="0.25">
      <c r="P565" t="str">
        <f>IF(DONNEES_SOURCE!$CA565=TRUE,DONNEES_SOURCE!$BV565,"")</f>
        <v/>
      </c>
      <c r="Q565" t="str">
        <f>IF(DONNEES_SOURCE!$CA565=TRUE,IFERROR(MATCH(DONNEES_SOURCE!$B565,{"2. Très rarement (Moins d'une fois par mois)","3. Rarement (1 à 3 fois par mois)","4. Parfois (Environ une fois par semaine)","5. Régulièrement (Plusieurs fois par semaine)","6. Quotidiennement (Une fois par jour)","7. Très fréquemment (Plusieurs fois par jour)"},0)+1,""),"")</f>
        <v/>
      </c>
      <c r="R565" t="str">
        <f>IF(DONNEES_SOURCE!$CA565=TRUE,DONNEES_SOURCE!$BW565,"")</f>
        <v/>
      </c>
      <c r="S565" t="str">
        <f>IF(DONNEES_SOURCE!$CA565=TRUE,DONNEES_SOURCE!$AU565,"")</f>
        <v/>
      </c>
      <c r="T565" t="str">
        <f>IF(DONNEES_SOURCE!$CA565=TRUE,DONNEES_SOURCE!$BW565,"")</f>
        <v/>
      </c>
      <c r="U565" t="str">
        <f>IF(DONNEES_SOURCE!$CA565=TRUE,IFERROR(MATCH(DONNEES_SOURCE!$B565,{"2. Très rarement (Moins d'une fois par mois)","3. Rarement (1 à 3 fois par mois)","4. Parfois (Environ une fois par semaine)","5. Régulièrement (Plusieurs fois par semaine)","6. Quotidiennement (Une fois par jour)","7. Très fréquemment (Plusieurs fois par jour)"},0)+1,""),"")</f>
        <v/>
      </c>
    </row>
    <row r="566" spans="16:21" x14ac:dyDescent="0.25">
      <c r="P566" t="str">
        <f>IF(DONNEES_SOURCE!$CA566=TRUE,DONNEES_SOURCE!$BV566,"")</f>
        <v/>
      </c>
      <c r="Q566" t="str">
        <f>IF(DONNEES_SOURCE!$CA566=TRUE,IFERROR(MATCH(DONNEES_SOURCE!$B566,{"2. Très rarement (Moins d'une fois par mois)","3. Rarement (1 à 3 fois par mois)","4. Parfois (Environ une fois par semaine)","5. Régulièrement (Plusieurs fois par semaine)","6. Quotidiennement (Une fois par jour)","7. Très fréquemment (Plusieurs fois par jour)"},0)+1,""),"")</f>
        <v/>
      </c>
      <c r="R566" t="str">
        <f>IF(DONNEES_SOURCE!$CA566=TRUE,DONNEES_SOURCE!$BW566,"")</f>
        <v/>
      </c>
      <c r="S566" t="str">
        <f>IF(DONNEES_SOURCE!$CA566=TRUE,DONNEES_SOURCE!$AU566,"")</f>
        <v/>
      </c>
      <c r="T566" t="str">
        <f>IF(DONNEES_SOURCE!$CA566=TRUE,DONNEES_SOURCE!$BW566,"")</f>
        <v/>
      </c>
      <c r="U566" t="str">
        <f>IF(DONNEES_SOURCE!$CA566=TRUE,IFERROR(MATCH(DONNEES_SOURCE!$B566,{"2. Très rarement (Moins d'une fois par mois)","3. Rarement (1 à 3 fois par mois)","4. Parfois (Environ une fois par semaine)","5. Régulièrement (Plusieurs fois par semaine)","6. Quotidiennement (Une fois par jour)","7. Très fréquemment (Plusieurs fois par jour)"},0)+1,""),"")</f>
        <v/>
      </c>
    </row>
    <row r="567" spans="16:21" x14ac:dyDescent="0.25">
      <c r="P567" t="str">
        <f>IF(DONNEES_SOURCE!$CA567=TRUE,DONNEES_SOURCE!$BV567,"")</f>
        <v/>
      </c>
      <c r="Q567" t="str">
        <f>IF(DONNEES_SOURCE!$CA567=TRUE,IFERROR(MATCH(DONNEES_SOURCE!$B567,{"2. Très rarement (Moins d'une fois par mois)","3. Rarement (1 à 3 fois par mois)","4. Parfois (Environ une fois par semaine)","5. Régulièrement (Plusieurs fois par semaine)","6. Quotidiennement (Une fois par jour)","7. Très fréquemment (Plusieurs fois par jour)"},0)+1,""),"")</f>
        <v/>
      </c>
      <c r="R567" t="str">
        <f>IF(DONNEES_SOURCE!$CA567=TRUE,DONNEES_SOURCE!$BW567,"")</f>
        <v/>
      </c>
      <c r="S567" t="str">
        <f>IF(DONNEES_SOURCE!$CA567=TRUE,DONNEES_SOURCE!$AU567,"")</f>
        <v/>
      </c>
      <c r="T567" t="str">
        <f>IF(DONNEES_SOURCE!$CA567=TRUE,DONNEES_SOURCE!$BW567,"")</f>
        <v/>
      </c>
      <c r="U567" t="str">
        <f>IF(DONNEES_SOURCE!$CA567=TRUE,IFERROR(MATCH(DONNEES_SOURCE!$B567,{"2. Très rarement (Moins d'une fois par mois)","3. Rarement (1 à 3 fois par mois)","4. Parfois (Environ une fois par semaine)","5. Régulièrement (Plusieurs fois par semaine)","6. Quotidiennement (Une fois par jour)","7. Très fréquemment (Plusieurs fois par jour)"},0)+1,""),"")</f>
        <v/>
      </c>
    </row>
    <row r="568" spans="16:21" x14ac:dyDescent="0.25">
      <c r="P568" t="str">
        <f>IF(DONNEES_SOURCE!$CA568=TRUE,DONNEES_SOURCE!$BV568,"")</f>
        <v/>
      </c>
      <c r="Q568" t="str">
        <f>IF(DONNEES_SOURCE!$CA568=TRUE,IFERROR(MATCH(DONNEES_SOURCE!$B568,{"2. Très rarement (Moins d'une fois par mois)","3. Rarement (1 à 3 fois par mois)","4. Parfois (Environ une fois par semaine)","5. Régulièrement (Plusieurs fois par semaine)","6. Quotidiennement (Une fois par jour)","7. Très fréquemment (Plusieurs fois par jour)"},0)+1,""),"")</f>
        <v/>
      </c>
      <c r="R568" t="str">
        <f>IF(DONNEES_SOURCE!$CA568=TRUE,DONNEES_SOURCE!$BW568,"")</f>
        <v/>
      </c>
      <c r="S568" t="str">
        <f>IF(DONNEES_SOURCE!$CA568=TRUE,DONNEES_SOURCE!$AU568,"")</f>
        <v/>
      </c>
      <c r="T568" t="str">
        <f>IF(DONNEES_SOURCE!$CA568=TRUE,DONNEES_SOURCE!$BW568,"")</f>
        <v/>
      </c>
      <c r="U568" t="str">
        <f>IF(DONNEES_SOURCE!$CA568=TRUE,IFERROR(MATCH(DONNEES_SOURCE!$B568,{"2. Très rarement (Moins d'une fois par mois)","3. Rarement (1 à 3 fois par mois)","4. Parfois (Environ une fois par semaine)","5. Régulièrement (Plusieurs fois par semaine)","6. Quotidiennement (Une fois par jour)","7. Très fréquemment (Plusieurs fois par jour)"},0)+1,""),"")</f>
        <v/>
      </c>
    </row>
    <row r="569" spans="16:21" x14ac:dyDescent="0.25">
      <c r="P569" t="str">
        <f>IF(DONNEES_SOURCE!$CA569=TRUE,DONNEES_SOURCE!$BV569,"")</f>
        <v/>
      </c>
      <c r="Q569" t="str">
        <f>IF(DONNEES_SOURCE!$CA569=TRUE,IFERROR(MATCH(DONNEES_SOURCE!$B569,{"2. Très rarement (Moins d'une fois par mois)","3. Rarement (1 à 3 fois par mois)","4. Parfois (Environ une fois par semaine)","5. Régulièrement (Plusieurs fois par semaine)","6. Quotidiennement (Une fois par jour)","7. Très fréquemment (Plusieurs fois par jour)"},0)+1,""),"")</f>
        <v/>
      </c>
      <c r="R569" t="str">
        <f>IF(DONNEES_SOURCE!$CA569=TRUE,DONNEES_SOURCE!$BW569,"")</f>
        <v/>
      </c>
      <c r="S569" t="str">
        <f>IF(DONNEES_SOURCE!$CA569=TRUE,DONNEES_SOURCE!$AU569,"")</f>
        <v/>
      </c>
      <c r="T569" t="str">
        <f>IF(DONNEES_SOURCE!$CA569=TRUE,DONNEES_SOURCE!$BW569,"")</f>
        <v/>
      </c>
      <c r="U569" t="str">
        <f>IF(DONNEES_SOURCE!$CA569=TRUE,IFERROR(MATCH(DONNEES_SOURCE!$B569,{"2. Très rarement (Moins d'une fois par mois)","3. Rarement (1 à 3 fois par mois)","4. Parfois (Environ une fois par semaine)","5. Régulièrement (Plusieurs fois par semaine)","6. Quotidiennement (Une fois par jour)","7. Très fréquemment (Plusieurs fois par jour)"},0)+1,""),"")</f>
        <v/>
      </c>
    </row>
    <row r="570" spans="16:21" x14ac:dyDescent="0.25">
      <c r="P570" t="str">
        <f>IF(DONNEES_SOURCE!$CA570=TRUE,DONNEES_SOURCE!$BV570,"")</f>
        <v/>
      </c>
      <c r="Q570" t="str">
        <f>IF(DONNEES_SOURCE!$CA570=TRUE,IFERROR(MATCH(DONNEES_SOURCE!$B570,{"2. Très rarement (Moins d'une fois par mois)","3. Rarement (1 à 3 fois par mois)","4. Parfois (Environ une fois par semaine)","5. Régulièrement (Plusieurs fois par semaine)","6. Quotidiennement (Une fois par jour)","7. Très fréquemment (Plusieurs fois par jour)"},0)+1,""),"")</f>
        <v/>
      </c>
      <c r="R570" t="str">
        <f>IF(DONNEES_SOURCE!$CA570=TRUE,DONNEES_SOURCE!$BW570,"")</f>
        <v/>
      </c>
      <c r="S570" t="str">
        <f>IF(DONNEES_SOURCE!$CA570=TRUE,DONNEES_SOURCE!$AU570,"")</f>
        <v/>
      </c>
      <c r="T570" t="str">
        <f>IF(DONNEES_SOURCE!$CA570=TRUE,DONNEES_SOURCE!$BW570,"")</f>
        <v/>
      </c>
      <c r="U570" t="str">
        <f>IF(DONNEES_SOURCE!$CA570=TRUE,IFERROR(MATCH(DONNEES_SOURCE!$B570,{"2. Très rarement (Moins d'une fois par mois)","3. Rarement (1 à 3 fois par mois)","4. Parfois (Environ une fois par semaine)","5. Régulièrement (Plusieurs fois par semaine)","6. Quotidiennement (Une fois par jour)","7. Très fréquemment (Plusieurs fois par jour)"},0)+1,""),"")</f>
        <v/>
      </c>
    </row>
    <row r="571" spans="16:21" x14ac:dyDescent="0.25">
      <c r="P571" t="str">
        <f>IF(DONNEES_SOURCE!$CA571=TRUE,DONNEES_SOURCE!$BV571,"")</f>
        <v/>
      </c>
      <c r="Q571" t="str">
        <f>IF(DONNEES_SOURCE!$CA571=TRUE,IFERROR(MATCH(DONNEES_SOURCE!$B571,{"2. Très rarement (Moins d'une fois par mois)","3. Rarement (1 à 3 fois par mois)","4. Parfois (Environ une fois par semaine)","5. Régulièrement (Plusieurs fois par semaine)","6. Quotidiennement (Une fois par jour)","7. Très fréquemment (Plusieurs fois par jour)"},0)+1,""),"")</f>
        <v/>
      </c>
      <c r="R571" t="str">
        <f>IF(DONNEES_SOURCE!$CA571=TRUE,DONNEES_SOURCE!$BW571,"")</f>
        <v/>
      </c>
      <c r="S571" t="str">
        <f>IF(DONNEES_SOURCE!$CA571=TRUE,DONNEES_SOURCE!$AU571,"")</f>
        <v/>
      </c>
      <c r="T571" t="str">
        <f>IF(DONNEES_SOURCE!$CA571=TRUE,DONNEES_SOURCE!$BW571,"")</f>
        <v/>
      </c>
      <c r="U571" t="str">
        <f>IF(DONNEES_SOURCE!$CA571=TRUE,IFERROR(MATCH(DONNEES_SOURCE!$B571,{"2. Très rarement (Moins d'une fois par mois)","3. Rarement (1 à 3 fois par mois)","4. Parfois (Environ une fois par semaine)","5. Régulièrement (Plusieurs fois par semaine)","6. Quotidiennement (Une fois par jour)","7. Très fréquemment (Plusieurs fois par jour)"},0)+1,""),"")</f>
        <v/>
      </c>
    </row>
    <row r="572" spans="16:21" x14ac:dyDescent="0.25">
      <c r="P572" t="str">
        <f>IF(DONNEES_SOURCE!$CA572=TRUE,DONNEES_SOURCE!$BV572,"")</f>
        <v/>
      </c>
      <c r="Q572" t="str">
        <f>IF(DONNEES_SOURCE!$CA572=TRUE,IFERROR(MATCH(DONNEES_SOURCE!$B572,{"2. Très rarement (Moins d'une fois par mois)","3. Rarement (1 à 3 fois par mois)","4. Parfois (Environ une fois par semaine)","5. Régulièrement (Plusieurs fois par semaine)","6. Quotidiennement (Une fois par jour)","7. Très fréquemment (Plusieurs fois par jour)"},0)+1,""),"")</f>
        <v/>
      </c>
      <c r="R572" t="str">
        <f>IF(DONNEES_SOURCE!$CA572=TRUE,DONNEES_SOURCE!$BW572,"")</f>
        <v/>
      </c>
      <c r="S572" t="str">
        <f>IF(DONNEES_SOURCE!$CA572=TRUE,DONNEES_SOURCE!$AU572,"")</f>
        <v/>
      </c>
      <c r="T572" t="str">
        <f>IF(DONNEES_SOURCE!$CA572=TRUE,DONNEES_SOURCE!$BW572,"")</f>
        <v/>
      </c>
      <c r="U572" t="str">
        <f>IF(DONNEES_SOURCE!$CA572=TRUE,IFERROR(MATCH(DONNEES_SOURCE!$B572,{"2. Très rarement (Moins d'une fois par mois)","3. Rarement (1 à 3 fois par mois)","4. Parfois (Environ une fois par semaine)","5. Régulièrement (Plusieurs fois par semaine)","6. Quotidiennement (Une fois par jour)","7. Très fréquemment (Plusieurs fois par jour)"},0)+1,""),"")</f>
        <v/>
      </c>
    </row>
    <row r="573" spans="16:21" x14ac:dyDescent="0.25">
      <c r="P573" t="str">
        <f>IF(DONNEES_SOURCE!$CA573=TRUE,DONNEES_SOURCE!$BV573,"")</f>
        <v/>
      </c>
      <c r="Q573" t="str">
        <f>IF(DONNEES_SOURCE!$CA573=TRUE,IFERROR(MATCH(DONNEES_SOURCE!$B573,{"2. Très rarement (Moins d'une fois par mois)","3. Rarement (1 à 3 fois par mois)","4. Parfois (Environ une fois par semaine)","5. Régulièrement (Plusieurs fois par semaine)","6. Quotidiennement (Une fois par jour)","7. Très fréquemment (Plusieurs fois par jour)"},0)+1,""),"")</f>
        <v/>
      </c>
      <c r="R573" t="str">
        <f>IF(DONNEES_SOURCE!$CA573=TRUE,DONNEES_SOURCE!$BW573,"")</f>
        <v/>
      </c>
      <c r="S573" t="str">
        <f>IF(DONNEES_SOURCE!$CA573=TRUE,DONNEES_SOURCE!$AU573,"")</f>
        <v/>
      </c>
      <c r="T573" t="str">
        <f>IF(DONNEES_SOURCE!$CA573=TRUE,DONNEES_SOURCE!$BW573,"")</f>
        <v/>
      </c>
      <c r="U573" t="str">
        <f>IF(DONNEES_SOURCE!$CA573=TRUE,IFERROR(MATCH(DONNEES_SOURCE!$B573,{"2. Très rarement (Moins d'une fois par mois)","3. Rarement (1 à 3 fois par mois)","4. Parfois (Environ une fois par semaine)","5. Régulièrement (Plusieurs fois par semaine)","6. Quotidiennement (Une fois par jour)","7. Très fréquemment (Plusieurs fois par jour)"},0)+1,""),"")</f>
        <v/>
      </c>
    </row>
    <row r="574" spans="16:21" x14ac:dyDescent="0.25">
      <c r="P574" t="str">
        <f>IF(DONNEES_SOURCE!$CA574=TRUE,DONNEES_SOURCE!$BV574,"")</f>
        <v/>
      </c>
      <c r="Q574" t="str">
        <f>IF(DONNEES_SOURCE!$CA574=TRUE,IFERROR(MATCH(DONNEES_SOURCE!$B574,{"2. Très rarement (Moins d'une fois par mois)","3. Rarement (1 à 3 fois par mois)","4. Parfois (Environ une fois par semaine)","5. Régulièrement (Plusieurs fois par semaine)","6. Quotidiennement (Une fois par jour)","7. Très fréquemment (Plusieurs fois par jour)"},0)+1,""),"")</f>
        <v/>
      </c>
      <c r="R574" t="str">
        <f>IF(DONNEES_SOURCE!$CA574=TRUE,DONNEES_SOURCE!$BW574,"")</f>
        <v/>
      </c>
      <c r="S574" t="str">
        <f>IF(DONNEES_SOURCE!$CA574=TRUE,DONNEES_SOURCE!$AU574,"")</f>
        <v/>
      </c>
      <c r="T574" t="str">
        <f>IF(DONNEES_SOURCE!$CA574=TRUE,DONNEES_SOURCE!$BW574,"")</f>
        <v/>
      </c>
      <c r="U574" t="str">
        <f>IF(DONNEES_SOURCE!$CA574=TRUE,IFERROR(MATCH(DONNEES_SOURCE!$B574,{"2. Très rarement (Moins d'une fois par mois)","3. Rarement (1 à 3 fois par mois)","4. Parfois (Environ une fois par semaine)","5. Régulièrement (Plusieurs fois par semaine)","6. Quotidiennement (Une fois par jour)","7. Très fréquemment (Plusieurs fois par jour)"},0)+1,""),"")</f>
        <v/>
      </c>
    </row>
    <row r="575" spans="16:21" x14ac:dyDescent="0.25">
      <c r="P575" t="str">
        <f>IF(DONNEES_SOURCE!$CA575=TRUE,DONNEES_SOURCE!$BV575,"")</f>
        <v/>
      </c>
      <c r="Q575" t="str">
        <f>IF(DONNEES_SOURCE!$CA575=TRUE,IFERROR(MATCH(DONNEES_SOURCE!$B575,{"2. Très rarement (Moins d'une fois par mois)","3. Rarement (1 à 3 fois par mois)","4. Parfois (Environ une fois par semaine)","5. Régulièrement (Plusieurs fois par semaine)","6. Quotidiennement (Une fois par jour)","7. Très fréquemment (Plusieurs fois par jour)"},0)+1,""),"")</f>
        <v/>
      </c>
      <c r="R575" t="str">
        <f>IF(DONNEES_SOURCE!$CA575=TRUE,DONNEES_SOURCE!$BW575,"")</f>
        <v/>
      </c>
      <c r="S575" t="str">
        <f>IF(DONNEES_SOURCE!$CA575=TRUE,DONNEES_SOURCE!$AU575,"")</f>
        <v/>
      </c>
      <c r="T575" t="str">
        <f>IF(DONNEES_SOURCE!$CA575=TRUE,DONNEES_SOURCE!$BW575,"")</f>
        <v/>
      </c>
      <c r="U575" t="str">
        <f>IF(DONNEES_SOURCE!$CA575=TRUE,IFERROR(MATCH(DONNEES_SOURCE!$B575,{"2. Très rarement (Moins d'une fois par mois)","3. Rarement (1 à 3 fois par mois)","4. Parfois (Environ une fois par semaine)","5. Régulièrement (Plusieurs fois par semaine)","6. Quotidiennement (Une fois par jour)","7. Très fréquemment (Plusieurs fois par jour)"},0)+1,""),"")</f>
        <v/>
      </c>
    </row>
    <row r="576" spans="16:21" x14ac:dyDescent="0.25">
      <c r="P576" t="str">
        <f>IF(DONNEES_SOURCE!$CA576=TRUE,DONNEES_SOURCE!$BV576,"")</f>
        <v/>
      </c>
      <c r="Q576" t="str">
        <f>IF(DONNEES_SOURCE!$CA576=TRUE,IFERROR(MATCH(DONNEES_SOURCE!$B576,{"2. Très rarement (Moins d'une fois par mois)","3. Rarement (1 à 3 fois par mois)","4. Parfois (Environ une fois par semaine)","5. Régulièrement (Plusieurs fois par semaine)","6. Quotidiennement (Une fois par jour)","7. Très fréquemment (Plusieurs fois par jour)"},0)+1,""),"")</f>
        <v/>
      </c>
      <c r="R576" t="str">
        <f>IF(DONNEES_SOURCE!$CA576=TRUE,DONNEES_SOURCE!$BW576,"")</f>
        <v/>
      </c>
      <c r="S576" t="str">
        <f>IF(DONNEES_SOURCE!$CA576=TRUE,DONNEES_SOURCE!$AU576,"")</f>
        <v/>
      </c>
      <c r="T576" t="str">
        <f>IF(DONNEES_SOURCE!$CA576=TRUE,DONNEES_SOURCE!$BW576,"")</f>
        <v/>
      </c>
      <c r="U576" t="str">
        <f>IF(DONNEES_SOURCE!$CA576=TRUE,IFERROR(MATCH(DONNEES_SOURCE!$B576,{"2. Très rarement (Moins d'une fois par mois)","3. Rarement (1 à 3 fois par mois)","4. Parfois (Environ une fois par semaine)","5. Régulièrement (Plusieurs fois par semaine)","6. Quotidiennement (Une fois par jour)","7. Très fréquemment (Plusieurs fois par jour)"},0)+1,""),"")</f>
        <v/>
      </c>
    </row>
    <row r="577" spans="16:21" x14ac:dyDescent="0.25">
      <c r="P577" t="str">
        <f>IF(DONNEES_SOURCE!$CA577=TRUE,DONNEES_SOURCE!$BV577,"")</f>
        <v/>
      </c>
      <c r="Q577" t="str">
        <f>IF(DONNEES_SOURCE!$CA577=TRUE,IFERROR(MATCH(DONNEES_SOURCE!$B577,{"2. Très rarement (Moins d'une fois par mois)","3. Rarement (1 à 3 fois par mois)","4. Parfois (Environ une fois par semaine)","5. Régulièrement (Plusieurs fois par semaine)","6. Quotidiennement (Une fois par jour)","7. Très fréquemment (Plusieurs fois par jour)"},0)+1,""),"")</f>
        <v/>
      </c>
      <c r="R577" t="str">
        <f>IF(DONNEES_SOURCE!$CA577=TRUE,DONNEES_SOURCE!$BW577,"")</f>
        <v/>
      </c>
      <c r="S577" t="str">
        <f>IF(DONNEES_SOURCE!$CA577=TRUE,DONNEES_SOURCE!$AU577,"")</f>
        <v/>
      </c>
      <c r="T577" t="str">
        <f>IF(DONNEES_SOURCE!$CA577=TRUE,DONNEES_SOURCE!$BW577,"")</f>
        <v/>
      </c>
      <c r="U577" t="str">
        <f>IF(DONNEES_SOURCE!$CA577=TRUE,IFERROR(MATCH(DONNEES_SOURCE!$B577,{"2. Très rarement (Moins d'une fois par mois)","3. Rarement (1 à 3 fois par mois)","4. Parfois (Environ une fois par semaine)","5. Régulièrement (Plusieurs fois par semaine)","6. Quotidiennement (Une fois par jour)","7. Très fréquemment (Plusieurs fois par jour)"},0)+1,""),"")</f>
        <v/>
      </c>
    </row>
    <row r="578" spans="16:21" x14ac:dyDescent="0.25">
      <c r="P578" t="str">
        <f>IF(DONNEES_SOURCE!$CA578=TRUE,DONNEES_SOURCE!$BV578,"")</f>
        <v/>
      </c>
      <c r="Q578" t="str">
        <f>IF(DONNEES_SOURCE!$CA578=TRUE,IFERROR(MATCH(DONNEES_SOURCE!$B578,{"2. Très rarement (Moins d'une fois par mois)","3. Rarement (1 à 3 fois par mois)","4. Parfois (Environ une fois par semaine)","5. Régulièrement (Plusieurs fois par semaine)","6. Quotidiennement (Une fois par jour)","7. Très fréquemment (Plusieurs fois par jour)"},0)+1,""),"")</f>
        <v/>
      </c>
      <c r="R578" t="str">
        <f>IF(DONNEES_SOURCE!$CA578=TRUE,DONNEES_SOURCE!$BW578,"")</f>
        <v/>
      </c>
      <c r="S578" t="str">
        <f>IF(DONNEES_SOURCE!$CA578=TRUE,DONNEES_SOURCE!$AU578,"")</f>
        <v/>
      </c>
      <c r="T578" t="str">
        <f>IF(DONNEES_SOURCE!$CA578=TRUE,DONNEES_SOURCE!$BW578,"")</f>
        <v/>
      </c>
      <c r="U578" t="str">
        <f>IF(DONNEES_SOURCE!$CA578=TRUE,IFERROR(MATCH(DONNEES_SOURCE!$B578,{"2. Très rarement (Moins d'une fois par mois)","3. Rarement (1 à 3 fois par mois)","4. Parfois (Environ une fois par semaine)","5. Régulièrement (Plusieurs fois par semaine)","6. Quotidiennement (Une fois par jour)","7. Très fréquemment (Plusieurs fois par jour)"},0)+1,""),"")</f>
        <v/>
      </c>
    </row>
    <row r="579" spans="16:21" x14ac:dyDescent="0.25">
      <c r="P579" t="str">
        <f>IF(DONNEES_SOURCE!$CA579=TRUE,DONNEES_SOURCE!$BV579,"")</f>
        <v/>
      </c>
      <c r="Q579" t="str">
        <f>IF(DONNEES_SOURCE!$CA579=TRUE,IFERROR(MATCH(DONNEES_SOURCE!$B579,{"2. Très rarement (Moins d'une fois par mois)","3. Rarement (1 à 3 fois par mois)","4. Parfois (Environ une fois par semaine)","5. Régulièrement (Plusieurs fois par semaine)","6. Quotidiennement (Une fois par jour)","7. Très fréquemment (Plusieurs fois par jour)"},0)+1,""),"")</f>
        <v/>
      </c>
      <c r="R579" t="str">
        <f>IF(DONNEES_SOURCE!$CA579=TRUE,DONNEES_SOURCE!$BW579,"")</f>
        <v/>
      </c>
      <c r="S579" t="str">
        <f>IF(DONNEES_SOURCE!$CA579=TRUE,DONNEES_SOURCE!$AU579,"")</f>
        <v/>
      </c>
      <c r="T579" t="str">
        <f>IF(DONNEES_SOURCE!$CA579=TRUE,DONNEES_SOURCE!$BW579,"")</f>
        <v/>
      </c>
      <c r="U579" t="str">
        <f>IF(DONNEES_SOURCE!$CA579=TRUE,IFERROR(MATCH(DONNEES_SOURCE!$B579,{"2. Très rarement (Moins d'une fois par mois)","3. Rarement (1 à 3 fois par mois)","4. Parfois (Environ une fois par semaine)","5. Régulièrement (Plusieurs fois par semaine)","6. Quotidiennement (Une fois par jour)","7. Très fréquemment (Plusieurs fois par jour)"},0)+1,""),"")</f>
        <v/>
      </c>
    </row>
    <row r="580" spans="16:21" x14ac:dyDescent="0.25">
      <c r="P580" t="str">
        <f>IF(DONNEES_SOURCE!$CA580=TRUE,DONNEES_SOURCE!$BV580,"")</f>
        <v/>
      </c>
      <c r="Q580" t="str">
        <f>IF(DONNEES_SOURCE!$CA580=TRUE,IFERROR(MATCH(DONNEES_SOURCE!$B580,{"2. Très rarement (Moins d'une fois par mois)","3. Rarement (1 à 3 fois par mois)","4. Parfois (Environ une fois par semaine)","5. Régulièrement (Plusieurs fois par semaine)","6. Quotidiennement (Une fois par jour)","7. Très fréquemment (Plusieurs fois par jour)"},0)+1,""),"")</f>
        <v/>
      </c>
      <c r="R580" t="str">
        <f>IF(DONNEES_SOURCE!$CA580=TRUE,DONNEES_SOURCE!$BW580,"")</f>
        <v/>
      </c>
      <c r="S580" t="str">
        <f>IF(DONNEES_SOURCE!$CA580=TRUE,DONNEES_SOURCE!$AU580,"")</f>
        <v/>
      </c>
      <c r="T580" t="str">
        <f>IF(DONNEES_SOURCE!$CA580=TRUE,DONNEES_SOURCE!$BW580,"")</f>
        <v/>
      </c>
      <c r="U580" t="str">
        <f>IF(DONNEES_SOURCE!$CA580=TRUE,IFERROR(MATCH(DONNEES_SOURCE!$B580,{"2. Très rarement (Moins d'une fois par mois)","3. Rarement (1 à 3 fois par mois)","4. Parfois (Environ une fois par semaine)","5. Régulièrement (Plusieurs fois par semaine)","6. Quotidiennement (Une fois par jour)","7. Très fréquemment (Plusieurs fois par jour)"},0)+1,""),"")</f>
        <v/>
      </c>
    </row>
    <row r="581" spans="16:21" x14ac:dyDescent="0.25">
      <c r="P581" t="str">
        <f>IF(DONNEES_SOURCE!$CA581=TRUE,DONNEES_SOURCE!$BV581,"")</f>
        <v/>
      </c>
      <c r="Q581" t="str">
        <f>IF(DONNEES_SOURCE!$CA581=TRUE,IFERROR(MATCH(DONNEES_SOURCE!$B581,{"2. Très rarement (Moins d'une fois par mois)","3. Rarement (1 à 3 fois par mois)","4. Parfois (Environ une fois par semaine)","5. Régulièrement (Plusieurs fois par semaine)","6. Quotidiennement (Une fois par jour)","7. Très fréquemment (Plusieurs fois par jour)"},0)+1,""),"")</f>
        <v/>
      </c>
      <c r="R581" t="str">
        <f>IF(DONNEES_SOURCE!$CA581=TRUE,DONNEES_SOURCE!$BW581,"")</f>
        <v/>
      </c>
      <c r="S581" t="str">
        <f>IF(DONNEES_SOURCE!$CA581=TRUE,DONNEES_SOURCE!$AU581,"")</f>
        <v/>
      </c>
      <c r="T581" t="str">
        <f>IF(DONNEES_SOURCE!$CA581=TRUE,DONNEES_SOURCE!$BW581,"")</f>
        <v/>
      </c>
      <c r="U581" t="str">
        <f>IF(DONNEES_SOURCE!$CA581=TRUE,IFERROR(MATCH(DONNEES_SOURCE!$B581,{"2. Très rarement (Moins d'une fois par mois)","3. Rarement (1 à 3 fois par mois)","4. Parfois (Environ une fois par semaine)","5. Régulièrement (Plusieurs fois par semaine)","6. Quotidiennement (Une fois par jour)","7. Très fréquemment (Plusieurs fois par jour)"},0)+1,""),"")</f>
        <v/>
      </c>
    </row>
    <row r="582" spans="16:21" x14ac:dyDescent="0.25">
      <c r="P582" t="str">
        <f>IF(DONNEES_SOURCE!$CA582=TRUE,DONNEES_SOURCE!$BV582,"")</f>
        <v/>
      </c>
      <c r="Q582" t="str">
        <f>IF(DONNEES_SOURCE!$CA582=TRUE,IFERROR(MATCH(DONNEES_SOURCE!$B582,{"2. Très rarement (Moins d'une fois par mois)","3. Rarement (1 à 3 fois par mois)","4. Parfois (Environ une fois par semaine)","5. Régulièrement (Plusieurs fois par semaine)","6. Quotidiennement (Une fois par jour)","7. Très fréquemment (Plusieurs fois par jour)"},0)+1,""),"")</f>
        <v/>
      </c>
      <c r="R582" t="str">
        <f>IF(DONNEES_SOURCE!$CA582=TRUE,DONNEES_SOURCE!$BW582,"")</f>
        <v/>
      </c>
      <c r="S582" t="str">
        <f>IF(DONNEES_SOURCE!$CA582=TRUE,DONNEES_SOURCE!$AU582,"")</f>
        <v/>
      </c>
      <c r="T582" t="str">
        <f>IF(DONNEES_SOURCE!$CA582=TRUE,DONNEES_SOURCE!$BW582,"")</f>
        <v/>
      </c>
      <c r="U582" t="str">
        <f>IF(DONNEES_SOURCE!$CA582=TRUE,IFERROR(MATCH(DONNEES_SOURCE!$B582,{"2. Très rarement (Moins d'une fois par mois)","3. Rarement (1 à 3 fois par mois)","4. Parfois (Environ une fois par semaine)","5. Régulièrement (Plusieurs fois par semaine)","6. Quotidiennement (Une fois par jour)","7. Très fréquemment (Plusieurs fois par jour)"},0)+1,""),"")</f>
        <v/>
      </c>
    </row>
    <row r="583" spans="16:21" x14ac:dyDescent="0.25">
      <c r="P583" t="str">
        <f>IF(DONNEES_SOURCE!$CA583=TRUE,DONNEES_SOURCE!$BV583,"")</f>
        <v/>
      </c>
      <c r="Q583" t="str">
        <f>IF(DONNEES_SOURCE!$CA583=TRUE,IFERROR(MATCH(DONNEES_SOURCE!$B583,{"2. Très rarement (Moins d'une fois par mois)","3. Rarement (1 à 3 fois par mois)","4. Parfois (Environ une fois par semaine)","5. Régulièrement (Plusieurs fois par semaine)","6. Quotidiennement (Une fois par jour)","7. Très fréquemment (Plusieurs fois par jour)"},0)+1,""),"")</f>
        <v/>
      </c>
      <c r="R583" t="str">
        <f>IF(DONNEES_SOURCE!$CA583=TRUE,DONNEES_SOURCE!$BW583,"")</f>
        <v/>
      </c>
      <c r="S583" t="str">
        <f>IF(DONNEES_SOURCE!$CA583=TRUE,DONNEES_SOURCE!$AU583,"")</f>
        <v/>
      </c>
      <c r="T583" t="str">
        <f>IF(DONNEES_SOURCE!$CA583=TRUE,DONNEES_SOURCE!$BW583,"")</f>
        <v/>
      </c>
      <c r="U583" t="str">
        <f>IF(DONNEES_SOURCE!$CA583=TRUE,IFERROR(MATCH(DONNEES_SOURCE!$B583,{"2. Très rarement (Moins d'une fois par mois)","3. Rarement (1 à 3 fois par mois)","4. Parfois (Environ une fois par semaine)","5. Régulièrement (Plusieurs fois par semaine)","6. Quotidiennement (Une fois par jour)","7. Très fréquemment (Plusieurs fois par jour)"},0)+1,""),"")</f>
        <v/>
      </c>
    </row>
    <row r="584" spans="16:21" x14ac:dyDescent="0.25">
      <c r="P584" t="str">
        <f>IF(DONNEES_SOURCE!$CA584=TRUE,DONNEES_SOURCE!$BV584,"")</f>
        <v/>
      </c>
      <c r="Q584" t="str">
        <f>IF(DONNEES_SOURCE!$CA584=TRUE,IFERROR(MATCH(DONNEES_SOURCE!$B584,{"2. Très rarement (Moins d'une fois par mois)","3. Rarement (1 à 3 fois par mois)","4. Parfois (Environ une fois par semaine)","5. Régulièrement (Plusieurs fois par semaine)","6. Quotidiennement (Une fois par jour)","7. Très fréquemment (Plusieurs fois par jour)"},0)+1,""),"")</f>
        <v/>
      </c>
      <c r="R584" t="str">
        <f>IF(DONNEES_SOURCE!$CA584=TRUE,DONNEES_SOURCE!$BW584,"")</f>
        <v/>
      </c>
      <c r="S584" t="str">
        <f>IF(DONNEES_SOURCE!$CA584=TRUE,DONNEES_SOURCE!$AU584,"")</f>
        <v/>
      </c>
      <c r="T584" t="str">
        <f>IF(DONNEES_SOURCE!$CA584=TRUE,DONNEES_SOURCE!$BW584,"")</f>
        <v/>
      </c>
      <c r="U584" t="str">
        <f>IF(DONNEES_SOURCE!$CA584=TRUE,IFERROR(MATCH(DONNEES_SOURCE!$B584,{"2. Très rarement (Moins d'une fois par mois)","3. Rarement (1 à 3 fois par mois)","4. Parfois (Environ une fois par semaine)","5. Régulièrement (Plusieurs fois par semaine)","6. Quotidiennement (Une fois par jour)","7. Très fréquemment (Plusieurs fois par jour)"},0)+1,""),"")</f>
        <v/>
      </c>
    </row>
    <row r="585" spans="16:21" x14ac:dyDescent="0.25">
      <c r="P585" t="str">
        <f>IF(DONNEES_SOURCE!$CA585=TRUE,DONNEES_SOURCE!$BV585,"")</f>
        <v/>
      </c>
      <c r="Q585" t="str">
        <f>IF(DONNEES_SOURCE!$CA585=TRUE,IFERROR(MATCH(DONNEES_SOURCE!$B585,{"2. Très rarement (Moins d'une fois par mois)","3. Rarement (1 à 3 fois par mois)","4. Parfois (Environ une fois par semaine)","5. Régulièrement (Plusieurs fois par semaine)","6. Quotidiennement (Une fois par jour)","7. Très fréquemment (Plusieurs fois par jour)"},0)+1,""),"")</f>
        <v/>
      </c>
      <c r="R585" t="str">
        <f>IF(DONNEES_SOURCE!$CA585=TRUE,DONNEES_SOURCE!$BW585,"")</f>
        <v/>
      </c>
      <c r="S585" t="str">
        <f>IF(DONNEES_SOURCE!$CA585=TRUE,DONNEES_SOURCE!$AU585,"")</f>
        <v/>
      </c>
      <c r="T585" t="str">
        <f>IF(DONNEES_SOURCE!$CA585=TRUE,DONNEES_SOURCE!$BW585,"")</f>
        <v/>
      </c>
      <c r="U585" t="str">
        <f>IF(DONNEES_SOURCE!$CA585=TRUE,IFERROR(MATCH(DONNEES_SOURCE!$B585,{"2. Très rarement (Moins d'une fois par mois)","3. Rarement (1 à 3 fois par mois)","4. Parfois (Environ une fois par semaine)","5. Régulièrement (Plusieurs fois par semaine)","6. Quotidiennement (Une fois par jour)","7. Très fréquemment (Plusieurs fois par jour)"},0)+1,""),"")</f>
        <v/>
      </c>
    </row>
    <row r="586" spans="16:21" x14ac:dyDescent="0.25">
      <c r="P586" t="str">
        <f>IF(DONNEES_SOURCE!$CA586=TRUE,DONNEES_SOURCE!$BV586,"")</f>
        <v/>
      </c>
      <c r="Q586" t="str">
        <f>IF(DONNEES_SOURCE!$CA586=TRUE,IFERROR(MATCH(DONNEES_SOURCE!$B586,{"2. Très rarement (Moins d'une fois par mois)","3. Rarement (1 à 3 fois par mois)","4. Parfois (Environ une fois par semaine)","5. Régulièrement (Plusieurs fois par semaine)","6. Quotidiennement (Une fois par jour)","7. Très fréquemment (Plusieurs fois par jour)"},0)+1,""),"")</f>
        <v/>
      </c>
      <c r="R586" t="str">
        <f>IF(DONNEES_SOURCE!$CA586=TRUE,DONNEES_SOURCE!$BW586,"")</f>
        <v/>
      </c>
      <c r="S586" t="str">
        <f>IF(DONNEES_SOURCE!$CA586=TRUE,DONNEES_SOURCE!$AU586,"")</f>
        <v/>
      </c>
      <c r="T586" t="str">
        <f>IF(DONNEES_SOURCE!$CA586=TRUE,DONNEES_SOURCE!$BW586,"")</f>
        <v/>
      </c>
      <c r="U586" t="str">
        <f>IF(DONNEES_SOURCE!$CA586=TRUE,IFERROR(MATCH(DONNEES_SOURCE!$B586,{"2. Très rarement (Moins d'une fois par mois)","3. Rarement (1 à 3 fois par mois)","4. Parfois (Environ une fois par semaine)","5. Régulièrement (Plusieurs fois par semaine)","6. Quotidiennement (Une fois par jour)","7. Très fréquemment (Plusieurs fois par jour)"},0)+1,""),"")</f>
        <v/>
      </c>
    </row>
    <row r="587" spans="16:21" x14ac:dyDescent="0.25">
      <c r="P587" t="str">
        <f>IF(DONNEES_SOURCE!$CA587=TRUE,DONNEES_SOURCE!$BV587,"")</f>
        <v/>
      </c>
      <c r="Q587" t="str">
        <f>IF(DONNEES_SOURCE!$CA587=TRUE,IFERROR(MATCH(DONNEES_SOURCE!$B587,{"2. Très rarement (Moins d'une fois par mois)","3. Rarement (1 à 3 fois par mois)","4. Parfois (Environ une fois par semaine)","5. Régulièrement (Plusieurs fois par semaine)","6. Quotidiennement (Une fois par jour)","7. Très fréquemment (Plusieurs fois par jour)"},0)+1,""),"")</f>
        <v/>
      </c>
      <c r="R587" t="str">
        <f>IF(DONNEES_SOURCE!$CA587=TRUE,DONNEES_SOURCE!$BW587,"")</f>
        <v/>
      </c>
      <c r="S587" t="str">
        <f>IF(DONNEES_SOURCE!$CA587=TRUE,DONNEES_SOURCE!$AU587,"")</f>
        <v/>
      </c>
      <c r="T587" t="str">
        <f>IF(DONNEES_SOURCE!$CA587=TRUE,DONNEES_SOURCE!$BW587,"")</f>
        <v/>
      </c>
      <c r="U587" t="str">
        <f>IF(DONNEES_SOURCE!$CA587=TRUE,IFERROR(MATCH(DONNEES_SOURCE!$B587,{"2. Très rarement (Moins d'une fois par mois)","3. Rarement (1 à 3 fois par mois)","4. Parfois (Environ une fois par semaine)","5. Régulièrement (Plusieurs fois par semaine)","6. Quotidiennement (Une fois par jour)","7. Très fréquemment (Plusieurs fois par jour)"},0)+1,""),"")</f>
        <v/>
      </c>
    </row>
    <row r="588" spans="16:21" x14ac:dyDescent="0.25">
      <c r="P588" t="str">
        <f>IF(DONNEES_SOURCE!$CA588=TRUE,DONNEES_SOURCE!$BV588,"")</f>
        <v/>
      </c>
      <c r="Q588" t="str">
        <f>IF(DONNEES_SOURCE!$CA588=TRUE,IFERROR(MATCH(DONNEES_SOURCE!$B588,{"2. Très rarement (Moins d'une fois par mois)","3. Rarement (1 à 3 fois par mois)","4. Parfois (Environ une fois par semaine)","5. Régulièrement (Plusieurs fois par semaine)","6. Quotidiennement (Une fois par jour)","7. Très fréquemment (Plusieurs fois par jour)"},0)+1,""),"")</f>
        <v/>
      </c>
      <c r="R588" t="str">
        <f>IF(DONNEES_SOURCE!$CA588=TRUE,DONNEES_SOURCE!$BW588,"")</f>
        <v/>
      </c>
      <c r="S588" t="str">
        <f>IF(DONNEES_SOURCE!$CA588=TRUE,DONNEES_SOURCE!$AU588,"")</f>
        <v/>
      </c>
      <c r="T588" t="str">
        <f>IF(DONNEES_SOURCE!$CA588=TRUE,DONNEES_SOURCE!$BW588,"")</f>
        <v/>
      </c>
      <c r="U588" t="str">
        <f>IF(DONNEES_SOURCE!$CA588=TRUE,IFERROR(MATCH(DONNEES_SOURCE!$B588,{"2. Très rarement (Moins d'une fois par mois)","3. Rarement (1 à 3 fois par mois)","4. Parfois (Environ une fois par semaine)","5. Régulièrement (Plusieurs fois par semaine)","6. Quotidiennement (Une fois par jour)","7. Très fréquemment (Plusieurs fois par jour)"},0)+1,""),"")</f>
        <v/>
      </c>
    </row>
    <row r="589" spans="16:21" x14ac:dyDescent="0.25">
      <c r="P589" t="str">
        <f>IF(DONNEES_SOURCE!$CA589=TRUE,DONNEES_SOURCE!$BV589,"")</f>
        <v/>
      </c>
      <c r="Q589" t="str">
        <f>IF(DONNEES_SOURCE!$CA589=TRUE,IFERROR(MATCH(DONNEES_SOURCE!$B589,{"2. Très rarement (Moins d'une fois par mois)","3. Rarement (1 à 3 fois par mois)","4. Parfois (Environ une fois par semaine)","5. Régulièrement (Plusieurs fois par semaine)","6. Quotidiennement (Une fois par jour)","7. Très fréquemment (Plusieurs fois par jour)"},0)+1,""),"")</f>
        <v/>
      </c>
      <c r="R589" t="str">
        <f>IF(DONNEES_SOURCE!$CA589=TRUE,DONNEES_SOURCE!$BW589,"")</f>
        <v/>
      </c>
      <c r="S589" t="str">
        <f>IF(DONNEES_SOURCE!$CA589=TRUE,DONNEES_SOURCE!$AU589,"")</f>
        <v/>
      </c>
      <c r="T589" t="str">
        <f>IF(DONNEES_SOURCE!$CA589=TRUE,DONNEES_SOURCE!$BW589,"")</f>
        <v/>
      </c>
      <c r="U589" t="str">
        <f>IF(DONNEES_SOURCE!$CA589=TRUE,IFERROR(MATCH(DONNEES_SOURCE!$B589,{"2. Très rarement (Moins d'une fois par mois)","3. Rarement (1 à 3 fois par mois)","4. Parfois (Environ une fois par semaine)","5. Régulièrement (Plusieurs fois par semaine)","6. Quotidiennement (Une fois par jour)","7. Très fréquemment (Plusieurs fois par jour)"},0)+1,""),"")</f>
        <v/>
      </c>
    </row>
    <row r="590" spans="16:21" x14ac:dyDescent="0.25">
      <c r="P590" t="str">
        <f>IF(DONNEES_SOURCE!$CA590=TRUE,DONNEES_SOURCE!$BV590,"")</f>
        <v/>
      </c>
      <c r="Q590" t="str">
        <f>IF(DONNEES_SOURCE!$CA590=TRUE,IFERROR(MATCH(DONNEES_SOURCE!$B590,{"2. Très rarement (Moins d'une fois par mois)","3. Rarement (1 à 3 fois par mois)","4. Parfois (Environ une fois par semaine)","5. Régulièrement (Plusieurs fois par semaine)","6. Quotidiennement (Une fois par jour)","7. Très fréquemment (Plusieurs fois par jour)"},0)+1,""),"")</f>
        <v/>
      </c>
      <c r="R590" t="str">
        <f>IF(DONNEES_SOURCE!$CA590=TRUE,DONNEES_SOURCE!$BW590,"")</f>
        <v/>
      </c>
      <c r="S590" t="str">
        <f>IF(DONNEES_SOURCE!$CA590=TRUE,DONNEES_SOURCE!$AU590,"")</f>
        <v/>
      </c>
      <c r="T590" t="str">
        <f>IF(DONNEES_SOURCE!$CA590=TRUE,DONNEES_SOURCE!$BW590,"")</f>
        <v/>
      </c>
      <c r="U590" t="str">
        <f>IF(DONNEES_SOURCE!$CA590=TRUE,IFERROR(MATCH(DONNEES_SOURCE!$B590,{"2. Très rarement (Moins d'une fois par mois)","3. Rarement (1 à 3 fois par mois)","4. Parfois (Environ une fois par semaine)","5. Régulièrement (Plusieurs fois par semaine)","6. Quotidiennement (Une fois par jour)","7. Très fréquemment (Plusieurs fois par jour)"},0)+1,""),"")</f>
        <v/>
      </c>
    </row>
    <row r="591" spans="16:21" x14ac:dyDescent="0.25">
      <c r="P591" t="str">
        <f>IF(DONNEES_SOURCE!$CA591=TRUE,DONNEES_SOURCE!$BV591,"")</f>
        <v/>
      </c>
      <c r="Q591" t="str">
        <f>IF(DONNEES_SOURCE!$CA591=TRUE,IFERROR(MATCH(DONNEES_SOURCE!$B591,{"2. Très rarement (Moins d'une fois par mois)","3. Rarement (1 à 3 fois par mois)","4. Parfois (Environ une fois par semaine)","5. Régulièrement (Plusieurs fois par semaine)","6. Quotidiennement (Une fois par jour)","7. Très fréquemment (Plusieurs fois par jour)"},0)+1,""),"")</f>
        <v/>
      </c>
      <c r="R591" t="str">
        <f>IF(DONNEES_SOURCE!$CA591=TRUE,DONNEES_SOURCE!$BW591,"")</f>
        <v/>
      </c>
      <c r="S591" t="str">
        <f>IF(DONNEES_SOURCE!$CA591=TRUE,DONNEES_SOURCE!$AU591,"")</f>
        <v/>
      </c>
      <c r="T591" t="str">
        <f>IF(DONNEES_SOURCE!$CA591=TRUE,DONNEES_SOURCE!$BW591,"")</f>
        <v/>
      </c>
      <c r="U591" t="str">
        <f>IF(DONNEES_SOURCE!$CA591=TRUE,IFERROR(MATCH(DONNEES_SOURCE!$B591,{"2. Très rarement (Moins d'une fois par mois)","3. Rarement (1 à 3 fois par mois)","4. Parfois (Environ une fois par semaine)","5. Régulièrement (Plusieurs fois par semaine)","6. Quotidiennement (Une fois par jour)","7. Très fréquemment (Plusieurs fois par jour)"},0)+1,""),"")</f>
        <v/>
      </c>
    </row>
    <row r="592" spans="16:21" x14ac:dyDescent="0.25">
      <c r="P592" t="str">
        <f>IF(DONNEES_SOURCE!$CA592=TRUE,DONNEES_SOURCE!$BV592,"")</f>
        <v/>
      </c>
      <c r="Q592" t="str">
        <f>IF(DONNEES_SOURCE!$CA592=TRUE,IFERROR(MATCH(DONNEES_SOURCE!$B592,{"2. Très rarement (Moins d'une fois par mois)","3. Rarement (1 à 3 fois par mois)","4. Parfois (Environ une fois par semaine)","5. Régulièrement (Plusieurs fois par semaine)","6. Quotidiennement (Une fois par jour)","7. Très fréquemment (Plusieurs fois par jour)"},0)+1,""),"")</f>
        <v/>
      </c>
      <c r="R592" t="str">
        <f>IF(DONNEES_SOURCE!$CA592=TRUE,DONNEES_SOURCE!$BW592,"")</f>
        <v/>
      </c>
      <c r="S592" t="str">
        <f>IF(DONNEES_SOURCE!$CA592=TRUE,DONNEES_SOURCE!$AU592,"")</f>
        <v/>
      </c>
      <c r="T592" t="str">
        <f>IF(DONNEES_SOURCE!$CA592=TRUE,DONNEES_SOURCE!$BW592,"")</f>
        <v/>
      </c>
      <c r="U592" t="str">
        <f>IF(DONNEES_SOURCE!$CA592=TRUE,IFERROR(MATCH(DONNEES_SOURCE!$B592,{"2. Très rarement (Moins d'une fois par mois)","3. Rarement (1 à 3 fois par mois)","4. Parfois (Environ une fois par semaine)","5. Régulièrement (Plusieurs fois par semaine)","6. Quotidiennement (Une fois par jour)","7. Très fréquemment (Plusieurs fois par jour)"},0)+1,""),"")</f>
        <v/>
      </c>
    </row>
    <row r="593" spans="16:21" x14ac:dyDescent="0.25">
      <c r="P593" t="str">
        <f>IF(DONNEES_SOURCE!$CA593=TRUE,DONNEES_SOURCE!$BV593,"")</f>
        <v/>
      </c>
      <c r="Q593" t="str">
        <f>IF(DONNEES_SOURCE!$CA593=TRUE,IFERROR(MATCH(DONNEES_SOURCE!$B593,{"2. Très rarement (Moins d'une fois par mois)","3. Rarement (1 à 3 fois par mois)","4. Parfois (Environ une fois par semaine)","5. Régulièrement (Plusieurs fois par semaine)","6. Quotidiennement (Une fois par jour)","7. Très fréquemment (Plusieurs fois par jour)"},0)+1,""),"")</f>
        <v/>
      </c>
      <c r="R593" t="str">
        <f>IF(DONNEES_SOURCE!$CA593=TRUE,DONNEES_SOURCE!$BW593,"")</f>
        <v/>
      </c>
      <c r="S593" t="str">
        <f>IF(DONNEES_SOURCE!$CA593=TRUE,DONNEES_SOURCE!$AU593,"")</f>
        <v/>
      </c>
      <c r="T593" t="str">
        <f>IF(DONNEES_SOURCE!$CA593=TRUE,DONNEES_SOURCE!$BW593,"")</f>
        <v/>
      </c>
      <c r="U593" t="str">
        <f>IF(DONNEES_SOURCE!$CA593=TRUE,IFERROR(MATCH(DONNEES_SOURCE!$B593,{"2. Très rarement (Moins d'une fois par mois)","3. Rarement (1 à 3 fois par mois)","4. Parfois (Environ une fois par semaine)","5. Régulièrement (Plusieurs fois par semaine)","6. Quotidiennement (Une fois par jour)","7. Très fréquemment (Plusieurs fois par jour)"},0)+1,""),"")</f>
        <v/>
      </c>
    </row>
    <row r="594" spans="16:21" x14ac:dyDescent="0.25">
      <c r="P594" t="str">
        <f>IF(DONNEES_SOURCE!$CA594=TRUE,DONNEES_SOURCE!$BV594,"")</f>
        <v/>
      </c>
      <c r="Q594" t="str">
        <f>IF(DONNEES_SOURCE!$CA594=TRUE,IFERROR(MATCH(DONNEES_SOURCE!$B594,{"2. Très rarement (Moins d'une fois par mois)","3. Rarement (1 à 3 fois par mois)","4. Parfois (Environ une fois par semaine)","5. Régulièrement (Plusieurs fois par semaine)","6. Quotidiennement (Une fois par jour)","7. Très fréquemment (Plusieurs fois par jour)"},0)+1,""),"")</f>
        <v/>
      </c>
      <c r="R594" t="str">
        <f>IF(DONNEES_SOURCE!$CA594=TRUE,DONNEES_SOURCE!$BW594,"")</f>
        <v/>
      </c>
      <c r="S594" t="str">
        <f>IF(DONNEES_SOURCE!$CA594=TRUE,DONNEES_SOURCE!$AU594,"")</f>
        <v/>
      </c>
      <c r="T594" t="str">
        <f>IF(DONNEES_SOURCE!$CA594=TRUE,DONNEES_SOURCE!$BW594,"")</f>
        <v/>
      </c>
      <c r="U594" t="str">
        <f>IF(DONNEES_SOURCE!$CA594=TRUE,IFERROR(MATCH(DONNEES_SOURCE!$B594,{"2. Très rarement (Moins d'une fois par mois)","3. Rarement (1 à 3 fois par mois)","4. Parfois (Environ une fois par semaine)","5. Régulièrement (Plusieurs fois par semaine)","6. Quotidiennement (Une fois par jour)","7. Très fréquemment (Plusieurs fois par jour)"},0)+1,""),"")</f>
        <v/>
      </c>
    </row>
    <row r="595" spans="16:21" x14ac:dyDescent="0.25">
      <c r="P595" t="str">
        <f>IF(DONNEES_SOURCE!$CA595=TRUE,DONNEES_SOURCE!$BV595,"")</f>
        <v/>
      </c>
      <c r="Q595" t="str">
        <f>IF(DONNEES_SOURCE!$CA595=TRUE,IFERROR(MATCH(DONNEES_SOURCE!$B595,{"2. Très rarement (Moins d'une fois par mois)","3. Rarement (1 à 3 fois par mois)","4. Parfois (Environ une fois par semaine)","5. Régulièrement (Plusieurs fois par semaine)","6. Quotidiennement (Une fois par jour)","7. Très fréquemment (Plusieurs fois par jour)"},0)+1,""),"")</f>
        <v/>
      </c>
      <c r="R595" t="str">
        <f>IF(DONNEES_SOURCE!$CA595=TRUE,DONNEES_SOURCE!$BW595,"")</f>
        <v/>
      </c>
      <c r="S595" t="str">
        <f>IF(DONNEES_SOURCE!$CA595=TRUE,DONNEES_SOURCE!$AU595,"")</f>
        <v/>
      </c>
      <c r="T595" t="str">
        <f>IF(DONNEES_SOURCE!$CA595=TRUE,DONNEES_SOURCE!$BW595,"")</f>
        <v/>
      </c>
      <c r="U595" t="str">
        <f>IF(DONNEES_SOURCE!$CA595=TRUE,IFERROR(MATCH(DONNEES_SOURCE!$B595,{"2. Très rarement (Moins d'une fois par mois)","3. Rarement (1 à 3 fois par mois)","4. Parfois (Environ une fois par semaine)","5. Régulièrement (Plusieurs fois par semaine)","6. Quotidiennement (Une fois par jour)","7. Très fréquemment (Plusieurs fois par jour)"},0)+1,""),"")</f>
        <v/>
      </c>
    </row>
    <row r="596" spans="16:21" x14ac:dyDescent="0.25">
      <c r="P596" t="str">
        <f>IF(DONNEES_SOURCE!$CA596=TRUE,DONNEES_SOURCE!$BV596,"")</f>
        <v/>
      </c>
      <c r="Q596" t="str">
        <f>IF(DONNEES_SOURCE!$CA596=TRUE,IFERROR(MATCH(DONNEES_SOURCE!$B596,{"2. Très rarement (Moins d'une fois par mois)","3. Rarement (1 à 3 fois par mois)","4. Parfois (Environ une fois par semaine)","5. Régulièrement (Plusieurs fois par semaine)","6. Quotidiennement (Une fois par jour)","7. Très fréquemment (Plusieurs fois par jour)"},0)+1,""),"")</f>
        <v/>
      </c>
      <c r="R596" t="str">
        <f>IF(DONNEES_SOURCE!$CA596=TRUE,DONNEES_SOURCE!$BW596,"")</f>
        <v/>
      </c>
      <c r="S596" t="str">
        <f>IF(DONNEES_SOURCE!$CA596=TRUE,DONNEES_SOURCE!$AU596,"")</f>
        <v/>
      </c>
      <c r="T596" t="str">
        <f>IF(DONNEES_SOURCE!$CA596=TRUE,DONNEES_SOURCE!$BW596,"")</f>
        <v/>
      </c>
      <c r="U596" t="str">
        <f>IF(DONNEES_SOURCE!$CA596=TRUE,IFERROR(MATCH(DONNEES_SOURCE!$B596,{"2. Très rarement (Moins d'une fois par mois)","3. Rarement (1 à 3 fois par mois)","4. Parfois (Environ une fois par semaine)","5. Régulièrement (Plusieurs fois par semaine)","6. Quotidiennement (Une fois par jour)","7. Très fréquemment (Plusieurs fois par jour)"},0)+1,""),"")</f>
        <v/>
      </c>
    </row>
    <row r="597" spans="16:21" x14ac:dyDescent="0.25">
      <c r="P597" t="str">
        <f>IF(DONNEES_SOURCE!$CA597=TRUE,DONNEES_SOURCE!$BV597,"")</f>
        <v/>
      </c>
      <c r="Q597" t="str">
        <f>IF(DONNEES_SOURCE!$CA597=TRUE,IFERROR(MATCH(DONNEES_SOURCE!$B597,{"2. Très rarement (Moins d'une fois par mois)","3. Rarement (1 à 3 fois par mois)","4. Parfois (Environ une fois par semaine)","5. Régulièrement (Plusieurs fois par semaine)","6. Quotidiennement (Une fois par jour)","7. Très fréquemment (Plusieurs fois par jour)"},0)+1,""),"")</f>
        <v/>
      </c>
      <c r="R597" t="str">
        <f>IF(DONNEES_SOURCE!$CA597=TRUE,DONNEES_SOURCE!$BW597,"")</f>
        <v/>
      </c>
      <c r="S597" t="str">
        <f>IF(DONNEES_SOURCE!$CA597=TRUE,DONNEES_SOURCE!$AU597,"")</f>
        <v/>
      </c>
      <c r="T597" t="str">
        <f>IF(DONNEES_SOURCE!$CA597=TRUE,DONNEES_SOURCE!$BW597,"")</f>
        <v/>
      </c>
      <c r="U597" t="str">
        <f>IF(DONNEES_SOURCE!$CA597=TRUE,IFERROR(MATCH(DONNEES_SOURCE!$B597,{"2. Très rarement (Moins d'une fois par mois)","3. Rarement (1 à 3 fois par mois)","4. Parfois (Environ une fois par semaine)","5. Régulièrement (Plusieurs fois par semaine)","6. Quotidiennement (Une fois par jour)","7. Très fréquemment (Plusieurs fois par jour)"},0)+1,""),"")</f>
        <v/>
      </c>
    </row>
    <row r="598" spans="16:21" x14ac:dyDescent="0.25">
      <c r="P598" t="str">
        <f>IF(DONNEES_SOURCE!$CA598=TRUE,DONNEES_SOURCE!$BV598,"")</f>
        <v/>
      </c>
      <c r="Q598" t="str">
        <f>IF(DONNEES_SOURCE!$CA598=TRUE,IFERROR(MATCH(DONNEES_SOURCE!$B598,{"2. Très rarement (Moins d'une fois par mois)","3. Rarement (1 à 3 fois par mois)","4. Parfois (Environ une fois par semaine)","5. Régulièrement (Plusieurs fois par semaine)","6. Quotidiennement (Une fois par jour)","7. Très fréquemment (Plusieurs fois par jour)"},0)+1,""),"")</f>
        <v/>
      </c>
      <c r="R598" t="str">
        <f>IF(DONNEES_SOURCE!$CA598=TRUE,DONNEES_SOURCE!$BW598,"")</f>
        <v/>
      </c>
      <c r="S598" t="str">
        <f>IF(DONNEES_SOURCE!$CA598=TRUE,DONNEES_SOURCE!$AU598,"")</f>
        <v/>
      </c>
      <c r="T598" t="str">
        <f>IF(DONNEES_SOURCE!$CA598=TRUE,DONNEES_SOURCE!$BW598,"")</f>
        <v/>
      </c>
      <c r="U598" t="str">
        <f>IF(DONNEES_SOURCE!$CA598=TRUE,IFERROR(MATCH(DONNEES_SOURCE!$B598,{"2. Très rarement (Moins d'une fois par mois)","3. Rarement (1 à 3 fois par mois)","4. Parfois (Environ une fois par semaine)","5. Régulièrement (Plusieurs fois par semaine)","6. Quotidiennement (Une fois par jour)","7. Très fréquemment (Plusieurs fois par jour)"},0)+1,""),"")</f>
        <v/>
      </c>
    </row>
    <row r="599" spans="16:21" x14ac:dyDescent="0.25">
      <c r="P599" t="str">
        <f>IF(DONNEES_SOURCE!$CA599=TRUE,DONNEES_SOURCE!$BV599,"")</f>
        <v/>
      </c>
      <c r="Q599" t="str">
        <f>IF(DONNEES_SOURCE!$CA599=TRUE,IFERROR(MATCH(DONNEES_SOURCE!$B599,{"2. Très rarement (Moins d'une fois par mois)","3. Rarement (1 à 3 fois par mois)","4. Parfois (Environ une fois par semaine)","5. Régulièrement (Plusieurs fois par semaine)","6. Quotidiennement (Une fois par jour)","7. Très fréquemment (Plusieurs fois par jour)"},0)+1,""),"")</f>
        <v/>
      </c>
      <c r="R599" t="str">
        <f>IF(DONNEES_SOURCE!$CA599=TRUE,DONNEES_SOURCE!$BW599,"")</f>
        <v/>
      </c>
      <c r="S599" t="str">
        <f>IF(DONNEES_SOURCE!$CA599=TRUE,DONNEES_SOURCE!$AU599,"")</f>
        <v/>
      </c>
      <c r="T599" t="str">
        <f>IF(DONNEES_SOURCE!$CA599=TRUE,DONNEES_SOURCE!$BW599,"")</f>
        <v/>
      </c>
      <c r="U599" t="str">
        <f>IF(DONNEES_SOURCE!$CA599=TRUE,IFERROR(MATCH(DONNEES_SOURCE!$B599,{"2. Très rarement (Moins d'une fois par mois)","3. Rarement (1 à 3 fois par mois)","4. Parfois (Environ une fois par semaine)","5. Régulièrement (Plusieurs fois par semaine)","6. Quotidiennement (Une fois par jour)","7. Très fréquemment (Plusieurs fois par jour)"},0)+1,""),"")</f>
        <v/>
      </c>
    </row>
    <row r="600" spans="16:21" x14ac:dyDescent="0.25">
      <c r="P600" t="str">
        <f>IF(DONNEES_SOURCE!$CA600=TRUE,DONNEES_SOURCE!$BV600,"")</f>
        <v/>
      </c>
      <c r="Q600" t="str">
        <f>IF(DONNEES_SOURCE!$CA600=TRUE,IFERROR(MATCH(DONNEES_SOURCE!$B600,{"2. Très rarement (Moins d'une fois par mois)","3. Rarement (1 à 3 fois par mois)","4. Parfois (Environ une fois par semaine)","5. Régulièrement (Plusieurs fois par semaine)","6. Quotidiennement (Une fois par jour)","7. Très fréquemment (Plusieurs fois par jour)"},0)+1,""),"")</f>
        <v/>
      </c>
      <c r="R600" t="str">
        <f>IF(DONNEES_SOURCE!$CA600=TRUE,DONNEES_SOURCE!$BW600,"")</f>
        <v/>
      </c>
      <c r="S600" t="str">
        <f>IF(DONNEES_SOURCE!$CA600=TRUE,DONNEES_SOURCE!$AU600,"")</f>
        <v/>
      </c>
      <c r="T600" t="str">
        <f>IF(DONNEES_SOURCE!$CA600=TRUE,DONNEES_SOURCE!$BW600,"")</f>
        <v/>
      </c>
      <c r="U600" t="str">
        <f>IF(DONNEES_SOURCE!$CA600=TRUE,IFERROR(MATCH(DONNEES_SOURCE!$B600,{"2. Très rarement (Moins d'une fois par mois)","3. Rarement (1 à 3 fois par mois)","4. Parfois (Environ une fois par semaine)","5. Régulièrement (Plusieurs fois par semaine)","6. Quotidiennement (Une fois par jour)","7. Très fréquemment (Plusieurs fois par jour)"},0)+1,""),"")</f>
        <v/>
      </c>
    </row>
    <row r="601" spans="16:21" x14ac:dyDescent="0.25">
      <c r="P601" t="str">
        <f>IF(DONNEES_SOURCE!$CA601=TRUE,DONNEES_SOURCE!$BV601,"")</f>
        <v/>
      </c>
      <c r="Q601" t="str">
        <f>IF(DONNEES_SOURCE!$CA601=TRUE,IFERROR(MATCH(DONNEES_SOURCE!$B601,{"2. Très rarement (Moins d'une fois par mois)","3. Rarement (1 à 3 fois par mois)","4. Parfois (Environ une fois par semaine)","5. Régulièrement (Plusieurs fois par semaine)","6. Quotidiennement (Une fois par jour)","7. Très fréquemment (Plusieurs fois par jour)"},0)+1,""),"")</f>
        <v/>
      </c>
      <c r="R601" t="str">
        <f>IF(DONNEES_SOURCE!$CA601=TRUE,DONNEES_SOURCE!$BW601,"")</f>
        <v/>
      </c>
      <c r="S601" t="str">
        <f>IF(DONNEES_SOURCE!$CA601=TRUE,DONNEES_SOURCE!$AU601,"")</f>
        <v/>
      </c>
      <c r="T601" t="str">
        <f>IF(DONNEES_SOURCE!$CA601=TRUE,DONNEES_SOURCE!$BW601,"")</f>
        <v/>
      </c>
      <c r="U601" t="str">
        <f>IF(DONNEES_SOURCE!$CA601=TRUE,IFERROR(MATCH(DONNEES_SOURCE!$B601,{"2. Très rarement (Moins d'une fois par mois)","3. Rarement (1 à 3 fois par mois)","4. Parfois (Environ une fois par semaine)","5. Régulièrement (Plusieurs fois par semaine)","6. Quotidiennement (Une fois par jour)","7. Très fréquemment (Plusieurs fois par jour)"},0)+1,""),"")</f>
        <v/>
      </c>
    </row>
    <row r="602" spans="16:21" x14ac:dyDescent="0.25">
      <c r="P602" t="str">
        <f>IF(DONNEES_SOURCE!$CA602=TRUE,DONNEES_SOURCE!$BV602,"")</f>
        <v/>
      </c>
      <c r="Q602" t="str">
        <f>IF(DONNEES_SOURCE!$CA602=TRUE,IFERROR(MATCH(DONNEES_SOURCE!$B602,{"2. Très rarement (Moins d'une fois par mois)","3. Rarement (1 à 3 fois par mois)","4. Parfois (Environ une fois par semaine)","5. Régulièrement (Plusieurs fois par semaine)","6. Quotidiennement (Une fois par jour)","7. Très fréquemment (Plusieurs fois par jour)"},0)+1,""),"")</f>
        <v/>
      </c>
      <c r="R602" t="str">
        <f>IF(DONNEES_SOURCE!$CA602=TRUE,DONNEES_SOURCE!$BW602,"")</f>
        <v/>
      </c>
      <c r="S602" t="str">
        <f>IF(DONNEES_SOURCE!$CA602=TRUE,DONNEES_SOURCE!$AU602,"")</f>
        <v/>
      </c>
      <c r="T602" t="str">
        <f>IF(DONNEES_SOURCE!$CA602=TRUE,DONNEES_SOURCE!$BW602,"")</f>
        <v/>
      </c>
      <c r="U602" t="str">
        <f>IF(DONNEES_SOURCE!$CA602=TRUE,IFERROR(MATCH(DONNEES_SOURCE!$B602,{"2. Très rarement (Moins d'une fois par mois)","3. Rarement (1 à 3 fois par mois)","4. Parfois (Environ une fois par semaine)","5. Régulièrement (Plusieurs fois par semaine)","6. Quotidiennement (Une fois par jour)","7. Très fréquemment (Plusieurs fois par jour)"},0)+1,""),"")</f>
        <v/>
      </c>
    </row>
    <row r="603" spans="16:21" x14ac:dyDescent="0.25">
      <c r="P603" t="str">
        <f>IF(DONNEES_SOURCE!$CA603=TRUE,DONNEES_SOURCE!$BV603,"")</f>
        <v/>
      </c>
      <c r="Q603" t="str">
        <f>IF(DONNEES_SOURCE!$CA603=TRUE,IFERROR(MATCH(DONNEES_SOURCE!$B603,{"2. Très rarement (Moins d'une fois par mois)","3. Rarement (1 à 3 fois par mois)","4. Parfois (Environ une fois par semaine)","5. Régulièrement (Plusieurs fois par semaine)","6. Quotidiennement (Une fois par jour)","7. Très fréquemment (Plusieurs fois par jour)"},0)+1,""),"")</f>
        <v/>
      </c>
      <c r="R603" t="str">
        <f>IF(DONNEES_SOURCE!$CA603=TRUE,DONNEES_SOURCE!$BW603,"")</f>
        <v/>
      </c>
      <c r="S603" t="str">
        <f>IF(DONNEES_SOURCE!$CA603=TRUE,DONNEES_SOURCE!$AU603,"")</f>
        <v/>
      </c>
      <c r="T603" t="str">
        <f>IF(DONNEES_SOURCE!$CA603=TRUE,DONNEES_SOURCE!$BW603,"")</f>
        <v/>
      </c>
      <c r="U603" t="str">
        <f>IF(DONNEES_SOURCE!$CA603=TRUE,IFERROR(MATCH(DONNEES_SOURCE!$B603,{"2. Très rarement (Moins d'une fois par mois)","3. Rarement (1 à 3 fois par mois)","4. Parfois (Environ une fois par semaine)","5. Régulièrement (Plusieurs fois par semaine)","6. Quotidiennement (Une fois par jour)","7. Très fréquemment (Plusieurs fois par jour)"},0)+1,""),"")</f>
        <v/>
      </c>
    </row>
    <row r="604" spans="16:21" x14ac:dyDescent="0.25">
      <c r="P604" t="str">
        <f>IF(DONNEES_SOURCE!$CA604=TRUE,DONNEES_SOURCE!$BV604,"")</f>
        <v/>
      </c>
      <c r="Q604" t="str">
        <f>IF(DONNEES_SOURCE!$CA604=TRUE,IFERROR(MATCH(DONNEES_SOURCE!$B604,{"2. Très rarement (Moins d'une fois par mois)","3. Rarement (1 à 3 fois par mois)","4. Parfois (Environ une fois par semaine)","5. Régulièrement (Plusieurs fois par semaine)","6. Quotidiennement (Une fois par jour)","7. Très fréquemment (Plusieurs fois par jour)"},0)+1,""),"")</f>
        <v/>
      </c>
      <c r="R604" t="str">
        <f>IF(DONNEES_SOURCE!$CA604=TRUE,DONNEES_SOURCE!$BW604,"")</f>
        <v/>
      </c>
      <c r="S604" t="str">
        <f>IF(DONNEES_SOURCE!$CA604=TRUE,DONNEES_SOURCE!$AU604,"")</f>
        <v/>
      </c>
      <c r="T604" t="str">
        <f>IF(DONNEES_SOURCE!$CA604=TRUE,DONNEES_SOURCE!$BW604,"")</f>
        <v/>
      </c>
      <c r="U604" t="str">
        <f>IF(DONNEES_SOURCE!$CA604=TRUE,IFERROR(MATCH(DONNEES_SOURCE!$B604,{"2. Très rarement (Moins d'une fois par mois)","3. Rarement (1 à 3 fois par mois)","4. Parfois (Environ une fois par semaine)","5. Régulièrement (Plusieurs fois par semaine)","6. Quotidiennement (Une fois par jour)","7. Très fréquemment (Plusieurs fois par jour)"},0)+1,""),"")</f>
        <v/>
      </c>
    </row>
    <row r="605" spans="16:21" x14ac:dyDescent="0.25">
      <c r="P605" t="str">
        <f>IF(DONNEES_SOURCE!$CA605=TRUE,DONNEES_SOURCE!$BV605,"")</f>
        <v/>
      </c>
      <c r="Q605" t="str">
        <f>IF(DONNEES_SOURCE!$CA605=TRUE,IFERROR(MATCH(DONNEES_SOURCE!$B605,{"2. Très rarement (Moins d'une fois par mois)","3. Rarement (1 à 3 fois par mois)","4. Parfois (Environ une fois par semaine)","5. Régulièrement (Plusieurs fois par semaine)","6. Quotidiennement (Une fois par jour)","7. Très fréquemment (Plusieurs fois par jour)"},0)+1,""),"")</f>
        <v/>
      </c>
      <c r="R605" t="str">
        <f>IF(DONNEES_SOURCE!$CA605=TRUE,DONNEES_SOURCE!$BW605,"")</f>
        <v/>
      </c>
      <c r="S605" t="str">
        <f>IF(DONNEES_SOURCE!$CA605=TRUE,DONNEES_SOURCE!$AU605,"")</f>
        <v/>
      </c>
      <c r="T605" t="str">
        <f>IF(DONNEES_SOURCE!$CA605=TRUE,DONNEES_SOURCE!$BW605,"")</f>
        <v/>
      </c>
      <c r="U605" t="str">
        <f>IF(DONNEES_SOURCE!$CA605=TRUE,IFERROR(MATCH(DONNEES_SOURCE!$B605,{"2. Très rarement (Moins d'une fois par mois)","3. Rarement (1 à 3 fois par mois)","4. Parfois (Environ une fois par semaine)","5. Régulièrement (Plusieurs fois par semaine)","6. Quotidiennement (Une fois par jour)","7. Très fréquemment (Plusieurs fois par jour)"},0)+1,""),"")</f>
        <v/>
      </c>
    </row>
    <row r="606" spans="16:21" x14ac:dyDescent="0.25">
      <c r="P606" t="str">
        <f>IF(DONNEES_SOURCE!$CA606=TRUE,DONNEES_SOURCE!$BV606,"")</f>
        <v/>
      </c>
      <c r="Q606" t="str">
        <f>IF(DONNEES_SOURCE!$CA606=TRUE,IFERROR(MATCH(DONNEES_SOURCE!$B606,{"2. Très rarement (Moins d'une fois par mois)","3. Rarement (1 à 3 fois par mois)","4. Parfois (Environ une fois par semaine)","5. Régulièrement (Plusieurs fois par semaine)","6. Quotidiennement (Une fois par jour)","7. Très fréquemment (Plusieurs fois par jour)"},0)+1,""),"")</f>
        <v/>
      </c>
      <c r="R606" t="str">
        <f>IF(DONNEES_SOURCE!$CA606=TRUE,DONNEES_SOURCE!$BW606,"")</f>
        <v/>
      </c>
      <c r="S606" t="str">
        <f>IF(DONNEES_SOURCE!$CA606=TRUE,DONNEES_SOURCE!$AU606,"")</f>
        <v/>
      </c>
      <c r="T606" t="str">
        <f>IF(DONNEES_SOURCE!$CA606=TRUE,DONNEES_SOURCE!$BW606,"")</f>
        <v/>
      </c>
      <c r="U606" t="str">
        <f>IF(DONNEES_SOURCE!$CA606=TRUE,IFERROR(MATCH(DONNEES_SOURCE!$B606,{"2. Très rarement (Moins d'une fois par mois)","3. Rarement (1 à 3 fois par mois)","4. Parfois (Environ une fois par semaine)","5. Régulièrement (Plusieurs fois par semaine)","6. Quotidiennement (Une fois par jour)","7. Très fréquemment (Plusieurs fois par jour)"},0)+1,""),"")</f>
        <v/>
      </c>
    </row>
    <row r="607" spans="16:21" x14ac:dyDescent="0.25">
      <c r="P607" t="str">
        <f>IF(DONNEES_SOURCE!$CA607=TRUE,DONNEES_SOURCE!$BV607,"")</f>
        <v/>
      </c>
      <c r="Q607" t="str">
        <f>IF(DONNEES_SOURCE!$CA607=TRUE,IFERROR(MATCH(DONNEES_SOURCE!$B607,{"2. Très rarement (Moins d'une fois par mois)","3. Rarement (1 à 3 fois par mois)","4. Parfois (Environ une fois par semaine)","5. Régulièrement (Plusieurs fois par semaine)","6. Quotidiennement (Une fois par jour)","7. Très fréquemment (Plusieurs fois par jour)"},0)+1,""),"")</f>
        <v/>
      </c>
      <c r="R607" t="str">
        <f>IF(DONNEES_SOURCE!$CA607=TRUE,DONNEES_SOURCE!$BW607,"")</f>
        <v/>
      </c>
      <c r="S607" t="str">
        <f>IF(DONNEES_SOURCE!$CA607=TRUE,DONNEES_SOURCE!$AU607,"")</f>
        <v/>
      </c>
      <c r="T607" t="str">
        <f>IF(DONNEES_SOURCE!$CA607=TRUE,DONNEES_SOURCE!$BW607,"")</f>
        <v/>
      </c>
      <c r="U607" t="str">
        <f>IF(DONNEES_SOURCE!$CA607=TRUE,IFERROR(MATCH(DONNEES_SOURCE!$B607,{"2. Très rarement (Moins d'une fois par mois)","3. Rarement (1 à 3 fois par mois)","4. Parfois (Environ une fois par semaine)","5. Régulièrement (Plusieurs fois par semaine)","6. Quotidiennement (Une fois par jour)","7. Très fréquemment (Plusieurs fois par jour)"},0)+1,""),"")</f>
        <v/>
      </c>
    </row>
    <row r="608" spans="16:21" x14ac:dyDescent="0.25">
      <c r="P608" t="str">
        <f>IF(DONNEES_SOURCE!$CA608=TRUE,DONNEES_SOURCE!$BV608,"")</f>
        <v/>
      </c>
      <c r="Q608" t="str">
        <f>IF(DONNEES_SOURCE!$CA608=TRUE,IFERROR(MATCH(DONNEES_SOURCE!$B608,{"2. Très rarement (Moins d'une fois par mois)","3. Rarement (1 à 3 fois par mois)","4. Parfois (Environ une fois par semaine)","5. Régulièrement (Plusieurs fois par semaine)","6. Quotidiennement (Une fois par jour)","7. Très fréquemment (Plusieurs fois par jour)"},0)+1,""),"")</f>
        <v/>
      </c>
      <c r="R608" t="str">
        <f>IF(DONNEES_SOURCE!$CA608=TRUE,DONNEES_SOURCE!$BW608,"")</f>
        <v/>
      </c>
      <c r="S608" t="str">
        <f>IF(DONNEES_SOURCE!$CA608=TRUE,DONNEES_SOURCE!$AU608,"")</f>
        <v/>
      </c>
      <c r="T608" t="str">
        <f>IF(DONNEES_SOURCE!$CA608=TRUE,DONNEES_SOURCE!$BW608,"")</f>
        <v/>
      </c>
      <c r="U608" t="str">
        <f>IF(DONNEES_SOURCE!$CA608=TRUE,IFERROR(MATCH(DONNEES_SOURCE!$B608,{"2. Très rarement (Moins d'une fois par mois)","3. Rarement (1 à 3 fois par mois)","4. Parfois (Environ une fois par semaine)","5. Régulièrement (Plusieurs fois par semaine)","6. Quotidiennement (Une fois par jour)","7. Très fréquemment (Plusieurs fois par jour)"},0)+1,""),"")</f>
        <v/>
      </c>
    </row>
    <row r="609" spans="16:21" x14ac:dyDescent="0.25">
      <c r="P609" t="str">
        <f>IF(DONNEES_SOURCE!$CA609=TRUE,DONNEES_SOURCE!$BV609,"")</f>
        <v/>
      </c>
      <c r="Q609" t="str">
        <f>IF(DONNEES_SOURCE!$CA609=TRUE,IFERROR(MATCH(DONNEES_SOURCE!$B609,{"2. Très rarement (Moins d'une fois par mois)","3. Rarement (1 à 3 fois par mois)","4. Parfois (Environ une fois par semaine)","5. Régulièrement (Plusieurs fois par semaine)","6. Quotidiennement (Une fois par jour)","7. Très fréquemment (Plusieurs fois par jour)"},0)+1,""),"")</f>
        <v/>
      </c>
      <c r="R609" t="str">
        <f>IF(DONNEES_SOURCE!$CA609=TRUE,DONNEES_SOURCE!$BW609,"")</f>
        <v/>
      </c>
      <c r="S609" t="str">
        <f>IF(DONNEES_SOURCE!$CA609=TRUE,DONNEES_SOURCE!$AU609,"")</f>
        <v/>
      </c>
      <c r="T609" t="str">
        <f>IF(DONNEES_SOURCE!$CA609=TRUE,DONNEES_SOURCE!$BW609,"")</f>
        <v/>
      </c>
      <c r="U609" t="str">
        <f>IF(DONNEES_SOURCE!$CA609=TRUE,IFERROR(MATCH(DONNEES_SOURCE!$B609,{"2. Très rarement (Moins d'une fois par mois)","3. Rarement (1 à 3 fois par mois)","4. Parfois (Environ une fois par semaine)","5. Régulièrement (Plusieurs fois par semaine)","6. Quotidiennement (Une fois par jour)","7. Très fréquemment (Plusieurs fois par jour)"},0)+1,""),"")</f>
        <v/>
      </c>
    </row>
    <row r="610" spans="16:21" x14ac:dyDescent="0.25">
      <c r="P610" t="str">
        <f>IF(DONNEES_SOURCE!$CA610=TRUE,DONNEES_SOURCE!$BV610,"")</f>
        <v/>
      </c>
      <c r="Q610" t="str">
        <f>IF(DONNEES_SOURCE!$CA610=TRUE,IFERROR(MATCH(DONNEES_SOURCE!$B610,{"2. Très rarement (Moins d'une fois par mois)","3. Rarement (1 à 3 fois par mois)","4. Parfois (Environ une fois par semaine)","5. Régulièrement (Plusieurs fois par semaine)","6. Quotidiennement (Une fois par jour)","7. Très fréquemment (Plusieurs fois par jour)"},0)+1,""),"")</f>
        <v/>
      </c>
      <c r="R610" t="str">
        <f>IF(DONNEES_SOURCE!$CA610=TRUE,DONNEES_SOURCE!$BW610,"")</f>
        <v/>
      </c>
      <c r="S610" t="str">
        <f>IF(DONNEES_SOURCE!$CA610=TRUE,DONNEES_SOURCE!$AU610,"")</f>
        <v/>
      </c>
      <c r="T610" t="str">
        <f>IF(DONNEES_SOURCE!$CA610=TRUE,DONNEES_SOURCE!$BW610,"")</f>
        <v/>
      </c>
      <c r="U610" t="str">
        <f>IF(DONNEES_SOURCE!$CA610=TRUE,IFERROR(MATCH(DONNEES_SOURCE!$B610,{"2. Très rarement (Moins d'une fois par mois)","3. Rarement (1 à 3 fois par mois)","4. Parfois (Environ une fois par semaine)","5. Régulièrement (Plusieurs fois par semaine)","6. Quotidiennement (Une fois par jour)","7. Très fréquemment (Plusieurs fois par jour)"},0)+1,""),"")</f>
        <v/>
      </c>
    </row>
    <row r="611" spans="16:21" x14ac:dyDescent="0.25">
      <c r="P611" t="str">
        <f>IF(DONNEES_SOURCE!$CA611=TRUE,DONNEES_SOURCE!$BV611,"")</f>
        <v/>
      </c>
      <c r="Q611" t="str">
        <f>IF(DONNEES_SOURCE!$CA611=TRUE,IFERROR(MATCH(DONNEES_SOURCE!$B611,{"2. Très rarement (Moins d'une fois par mois)","3. Rarement (1 à 3 fois par mois)","4. Parfois (Environ une fois par semaine)","5. Régulièrement (Plusieurs fois par semaine)","6. Quotidiennement (Une fois par jour)","7. Très fréquemment (Plusieurs fois par jour)"},0)+1,""),"")</f>
        <v/>
      </c>
      <c r="R611" t="str">
        <f>IF(DONNEES_SOURCE!$CA611=TRUE,DONNEES_SOURCE!$BW611,"")</f>
        <v/>
      </c>
      <c r="S611" t="str">
        <f>IF(DONNEES_SOURCE!$CA611=TRUE,DONNEES_SOURCE!$AU611,"")</f>
        <v/>
      </c>
      <c r="T611" t="str">
        <f>IF(DONNEES_SOURCE!$CA611=TRUE,DONNEES_SOURCE!$BW611,"")</f>
        <v/>
      </c>
      <c r="U611" t="str">
        <f>IF(DONNEES_SOURCE!$CA611=TRUE,IFERROR(MATCH(DONNEES_SOURCE!$B611,{"2. Très rarement (Moins d'une fois par mois)","3. Rarement (1 à 3 fois par mois)","4. Parfois (Environ une fois par semaine)","5. Régulièrement (Plusieurs fois par semaine)","6. Quotidiennement (Une fois par jour)","7. Très fréquemment (Plusieurs fois par jour)"},0)+1,""),"")</f>
        <v/>
      </c>
    </row>
    <row r="612" spans="16:21" x14ac:dyDescent="0.25">
      <c r="P612" t="str">
        <f>IF(DONNEES_SOURCE!$CA612=TRUE,DONNEES_SOURCE!$BV612,"")</f>
        <v/>
      </c>
      <c r="Q612" t="str">
        <f>IF(DONNEES_SOURCE!$CA612=TRUE,IFERROR(MATCH(DONNEES_SOURCE!$B612,{"2. Très rarement (Moins d'une fois par mois)","3. Rarement (1 à 3 fois par mois)","4. Parfois (Environ une fois par semaine)","5. Régulièrement (Plusieurs fois par semaine)","6. Quotidiennement (Une fois par jour)","7. Très fréquemment (Plusieurs fois par jour)"},0)+1,""),"")</f>
        <v/>
      </c>
      <c r="R612" t="str">
        <f>IF(DONNEES_SOURCE!$CA612=TRUE,DONNEES_SOURCE!$BW612,"")</f>
        <v/>
      </c>
      <c r="S612" t="str">
        <f>IF(DONNEES_SOURCE!$CA612=TRUE,DONNEES_SOURCE!$AU612,"")</f>
        <v/>
      </c>
      <c r="T612" t="str">
        <f>IF(DONNEES_SOURCE!$CA612=TRUE,DONNEES_SOURCE!$BW612,"")</f>
        <v/>
      </c>
      <c r="U612" t="str">
        <f>IF(DONNEES_SOURCE!$CA612=TRUE,IFERROR(MATCH(DONNEES_SOURCE!$B612,{"2. Très rarement (Moins d'une fois par mois)","3. Rarement (1 à 3 fois par mois)","4. Parfois (Environ une fois par semaine)","5. Régulièrement (Plusieurs fois par semaine)","6. Quotidiennement (Une fois par jour)","7. Très fréquemment (Plusieurs fois par jour)"},0)+1,""),"")</f>
        <v/>
      </c>
    </row>
    <row r="613" spans="16:21" x14ac:dyDescent="0.25">
      <c r="P613" t="str">
        <f>IF(DONNEES_SOURCE!$CA613=TRUE,DONNEES_SOURCE!$BV613,"")</f>
        <v/>
      </c>
      <c r="Q613" t="str">
        <f>IF(DONNEES_SOURCE!$CA613=TRUE,IFERROR(MATCH(DONNEES_SOURCE!$B613,{"2. Très rarement (Moins d'une fois par mois)","3. Rarement (1 à 3 fois par mois)","4. Parfois (Environ une fois par semaine)","5. Régulièrement (Plusieurs fois par semaine)","6. Quotidiennement (Une fois par jour)","7. Très fréquemment (Plusieurs fois par jour)"},0)+1,""),"")</f>
        <v/>
      </c>
      <c r="R613" t="str">
        <f>IF(DONNEES_SOURCE!$CA613=TRUE,DONNEES_SOURCE!$BW613,"")</f>
        <v/>
      </c>
      <c r="S613" t="str">
        <f>IF(DONNEES_SOURCE!$CA613=TRUE,DONNEES_SOURCE!$AU613,"")</f>
        <v/>
      </c>
      <c r="T613" t="str">
        <f>IF(DONNEES_SOURCE!$CA613=TRUE,DONNEES_SOURCE!$BW613,"")</f>
        <v/>
      </c>
      <c r="U613" t="str">
        <f>IF(DONNEES_SOURCE!$CA613=TRUE,IFERROR(MATCH(DONNEES_SOURCE!$B613,{"2. Très rarement (Moins d'une fois par mois)","3. Rarement (1 à 3 fois par mois)","4. Parfois (Environ une fois par semaine)","5. Régulièrement (Plusieurs fois par semaine)","6. Quotidiennement (Une fois par jour)","7. Très fréquemment (Plusieurs fois par jour)"},0)+1,""),"")</f>
        <v/>
      </c>
    </row>
    <row r="614" spans="16:21" x14ac:dyDescent="0.25">
      <c r="P614" t="str">
        <f>IF(DONNEES_SOURCE!$CA614=TRUE,DONNEES_SOURCE!$BV614,"")</f>
        <v/>
      </c>
      <c r="Q614" t="str">
        <f>IF(DONNEES_SOURCE!$CA614=TRUE,IFERROR(MATCH(DONNEES_SOURCE!$B614,{"2. Très rarement (Moins d'une fois par mois)","3. Rarement (1 à 3 fois par mois)","4. Parfois (Environ une fois par semaine)","5. Régulièrement (Plusieurs fois par semaine)","6. Quotidiennement (Une fois par jour)","7. Très fréquemment (Plusieurs fois par jour)"},0)+1,""),"")</f>
        <v/>
      </c>
      <c r="R614" t="str">
        <f>IF(DONNEES_SOURCE!$CA614=TRUE,DONNEES_SOURCE!$BW614,"")</f>
        <v/>
      </c>
      <c r="S614" t="str">
        <f>IF(DONNEES_SOURCE!$CA614=TRUE,DONNEES_SOURCE!$AU614,"")</f>
        <v/>
      </c>
      <c r="T614" t="str">
        <f>IF(DONNEES_SOURCE!$CA614=TRUE,DONNEES_SOURCE!$BW614,"")</f>
        <v/>
      </c>
      <c r="U614" t="str">
        <f>IF(DONNEES_SOURCE!$CA614=TRUE,IFERROR(MATCH(DONNEES_SOURCE!$B614,{"2. Très rarement (Moins d'une fois par mois)","3. Rarement (1 à 3 fois par mois)","4. Parfois (Environ une fois par semaine)","5. Régulièrement (Plusieurs fois par semaine)","6. Quotidiennement (Une fois par jour)","7. Très fréquemment (Plusieurs fois par jour)"},0)+1,""),"")</f>
        <v/>
      </c>
    </row>
    <row r="615" spans="16:21" x14ac:dyDescent="0.25">
      <c r="P615" t="str">
        <f>IF(DONNEES_SOURCE!$CA615=TRUE,DONNEES_SOURCE!$BV615,"")</f>
        <v/>
      </c>
      <c r="Q615" t="str">
        <f>IF(DONNEES_SOURCE!$CA615=TRUE,IFERROR(MATCH(DONNEES_SOURCE!$B615,{"2. Très rarement (Moins d'une fois par mois)","3. Rarement (1 à 3 fois par mois)","4. Parfois (Environ une fois par semaine)","5. Régulièrement (Plusieurs fois par semaine)","6. Quotidiennement (Une fois par jour)","7. Très fréquemment (Plusieurs fois par jour)"},0)+1,""),"")</f>
        <v/>
      </c>
      <c r="R615" t="str">
        <f>IF(DONNEES_SOURCE!$CA615=TRUE,DONNEES_SOURCE!$BW615,"")</f>
        <v/>
      </c>
      <c r="S615" t="str">
        <f>IF(DONNEES_SOURCE!$CA615=TRUE,DONNEES_SOURCE!$AU615,"")</f>
        <v/>
      </c>
      <c r="T615" t="str">
        <f>IF(DONNEES_SOURCE!$CA615=TRUE,DONNEES_SOURCE!$BW615,"")</f>
        <v/>
      </c>
      <c r="U615" t="str">
        <f>IF(DONNEES_SOURCE!$CA615=TRUE,IFERROR(MATCH(DONNEES_SOURCE!$B615,{"2. Très rarement (Moins d'une fois par mois)","3. Rarement (1 à 3 fois par mois)","4. Parfois (Environ une fois par semaine)","5. Régulièrement (Plusieurs fois par semaine)","6. Quotidiennement (Une fois par jour)","7. Très fréquemment (Plusieurs fois par jour)"},0)+1,""),"")</f>
        <v/>
      </c>
    </row>
    <row r="616" spans="16:21" x14ac:dyDescent="0.25">
      <c r="P616" t="str">
        <f>IF(DONNEES_SOURCE!$CA616=TRUE,DONNEES_SOURCE!$BV616,"")</f>
        <v/>
      </c>
      <c r="Q616" t="str">
        <f>IF(DONNEES_SOURCE!$CA616=TRUE,IFERROR(MATCH(DONNEES_SOURCE!$B616,{"2. Très rarement (Moins d'une fois par mois)","3. Rarement (1 à 3 fois par mois)","4. Parfois (Environ une fois par semaine)","5. Régulièrement (Plusieurs fois par semaine)","6. Quotidiennement (Une fois par jour)","7. Très fréquemment (Plusieurs fois par jour)"},0)+1,""),"")</f>
        <v/>
      </c>
      <c r="R616" t="str">
        <f>IF(DONNEES_SOURCE!$CA616=TRUE,DONNEES_SOURCE!$BW616,"")</f>
        <v/>
      </c>
      <c r="S616" t="str">
        <f>IF(DONNEES_SOURCE!$CA616=TRUE,DONNEES_SOURCE!$AU616,"")</f>
        <v/>
      </c>
      <c r="T616" t="str">
        <f>IF(DONNEES_SOURCE!$CA616=TRUE,DONNEES_SOURCE!$BW616,"")</f>
        <v/>
      </c>
      <c r="U616" t="str">
        <f>IF(DONNEES_SOURCE!$CA616=TRUE,IFERROR(MATCH(DONNEES_SOURCE!$B616,{"2. Très rarement (Moins d'une fois par mois)","3. Rarement (1 à 3 fois par mois)","4. Parfois (Environ une fois par semaine)","5. Régulièrement (Plusieurs fois par semaine)","6. Quotidiennement (Une fois par jour)","7. Très fréquemment (Plusieurs fois par jour)"},0)+1,""),"")</f>
        <v/>
      </c>
    </row>
    <row r="617" spans="16:21" x14ac:dyDescent="0.25">
      <c r="P617" t="str">
        <f>IF(DONNEES_SOURCE!$CA617=TRUE,DONNEES_SOURCE!$BV617,"")</f>
        <v/>
      </c>
      <c r="Q617" t="str">
        <f>IF(DONNEES_SOURCE!$CA617=TRUE,IFERROR(MATCH(DONNEES_SOURCE!$B617,{"2. Très rarement (Moins d'une fois par mois)","3. Rarement (1 à 3 fois par mois)","4. Parfois (Environ une fois par semaine)","5. Régulièrement (Plusieurs fois par semaine)","6. Quotidiennement (Une fois par jour)","7. Très fréquemment (Plusieurs fois par jour)"},0)+1,""),"")</f>
        <v/>
      </c>
      <c r="R617" t="str">
        <f>IF(DONNEES_SOURCE!$CA617=TRUE,DONNEES_SOURCE!$BW617,"")</f>
        <v/>
      </c>
      <c r="S617" t="str">
        <f>IF(DONNEES_SOURCE!$CA617=TRUE,DONNEES_SOURCE!$AU617,"")</f>
        <v/>
      </c>
      <c r="T617" t="str">
        <f>IF(DONNEES_SOURCE!$CA617=TRUE,DONNEES_SOURCE!$BW617,"")</f>
        <v/>
      </c>
      <c r="U617" t="str">
        <f>IF(DONNEES_SOURCE!$CA617=TRUE,IFERROR(MATCH(DONNEES_SOURCE!$B617,{"2. Très rarement (Moins d'une fois par mois)","3. Rarement (1 à 3 fois par mois)","4. Parfois (Environ une fois par semaine)","5. Régulièrement (Plusieurs fois par semaine)","6. Quotidiennement (Une fois par jour)","7. Très fréquemment (Plusieurs fois par jour)"},0)+1,""),"")</f>
        <v/>
      </c>
    </row>
    <row r="618" spans="16:21" x14ac:dyDescent="0.25">
      <c r="P618" t="str">
        <f>IF(DONNEES_SOURCE!$CA618=TRUE,DONNEES_SOURCE!$BV618,"")</f>
        <v/>
      </c>
      <c r="Q618" t="str">
        <f>IF(DONNEES_SOURCE!$CA618=TRUE,IFERROR(MATCH(DONNEES_SOURCE!$B618,{"2. Très rarement (Moins d'une fois par mois)","3. Rarement (1 à 3 fois par mois)","4. Parfois (Environ une fois par semaine)","5. Régulièrement (Plusieurs fois par semaine)","6. Quotidiennement (Une fois par jour)","7. Très fréquemment (Plusieurs fois par jour)"},0)+1,""),"")</f>
        <v/>
      </c>
      <c r="R618" t="str">
        <f>IF(DONNEES_SOURCE!$CA618=TRUE,DONNEES_SOURCE!$BW618,"")</f>
        <v/>
      </c>
      <c r="S618" t="str">
        <f>IF(DONNEES_SOURCE!$CA618=TRUE,DONNEES_SOURCE!$AU618,"")</f>
        <v/>
      </c>
      <c r="T618" t="str">
        <f>IF(DONNEES_SOURCE!$CA618=TRUE,DONNEES_SOURCE!$BW618,"")</f>
        <v/>
      </c>
      <c r="U618" t="str">
        <f>IF(DONNEES_SOURCE!$CA618=TRUE,IFERROR(MATCH(DONNEES_SOURCE!$B618,{"2. Très rarement (Moins d'une fois par mois)","3. Rarement (1 à 3 fois par mois)","4. Parfois (Environ une fois par semaine)","5. Régulièrement (Plusieurs fois par semaine)","6. Quotidiennement (Une fois par jour)","7. Très fréquemment (Plusieurs fois par jour)"},0)+1,""),"")</f>
        <v/>
      </c>
    </row>
    <row r="619" spans="16:21" x14ac:dyDescent="0.25">
      <c r="P619" t="str">
        <f>IF(DONNEES_SOURCE!$CA619=TRUE,DONNEES_SOURCE!$BV619,"")</f>
        <v/>
      </c>
      <c r="Q619" t="str">
        <f>IF(DONNEES_SOURCE!$CA619=TRUE,IFERROR(MATCH(DONNEES_SOURCE!$B619,{"2. Très rarement (Moins d'une fois par mois)","3. Rarement (1 à 3 fois par mois)","4. Parfois (Environ une fois par semaine)","5. Régulièrement (Plusieurs fois par semaine)","6. Quotidiennement (Une fois par jour)","7. Très fréquemment (Plusieurs fois par jour)"},0)+1,""),"")</f>
        <v/>
      </c>
      <c r="R619" t="str">
        <f>IF(DONNEES_SOURCE!$CA619=TRUE,DONNEES_SOURCE!$BW619,"")</f>
        <v/>
      </c>
      <c r="S619" t="str">
        <f>IF(DONNEES_SOURCE!$CA619=TRUE,DONNEES_SOURCE!$AU619,"")</f>
        <v/>
      </c>
      <c r="T619" t="str">
        <f>IF(DONNEES_SOURCE!$CA619=TRUE,DONNEES_SOURCE!$BW619,"")</f>
        <v/>
      </c>
      <c r="U619" t="str">
        <f>IF(DONNEES_SOURCE!$CA619=TRUE,IFERROR(MATCH(DONNEES_SOURCE!$B619,{"2. Très rarement (Moins d'une fois par mois)","3. Rarement (1 à 3 fois par mois)","4. Parfois (Environ une fois par semaine)","5. Régulièrement (Plusieurs fois par semaine)","6. Quotidiennement (Une fois par jour)","7. Très fréquemment (Plusieurs fois par jour)"},0)+1,""),"")</f>
        <v/>
      </c>
    </row>
    <row r="620" spans="16:21" x14ac:dyDescent="0.25">
      <c r="P620" t="str">
        <f>IF(DONNEES_SOURCE!$CA620=TRUE,DONNEES_SOURCE!$BV620,"")</f>
        <v/>
      </c>
      <c r="Q620" t="str">
        <f>IF(DONNEES_SOURCE!$CA620=TRUE,IFERROR(MATCH(DONNEES_SOURCE!$B620,{"2. Très rarement (Moins d'une fois par mois)","3. Rarement (1 à 3 fois par mois)","4. Parfois (Environ une fois par semaine)","5. Régulièrement (Plusieurs fois par semaine)","6. Quotidiennement (Une fois par jour)","7. Très fréquemment (Plusieurs fois par jour)"},0)+1,""),"")</f>
        <v/>
      </c>
      <c r="R620" t="str">
        <f>IF(DONNEES_SOURCE!$CA620=TRUE,DONNEES_SOURCE!$BW620,"")</f>
        <v/>
      </c>
      <c r="S620" t="str">
        <f>IF(DONNEES_SOURCE!$CA620=TRUE,DONNEES_SOURCE!$AU620,"")</f>
        <v/>
      </c>
      <c r="T620" t="str">
        <f>IF(DONNEES_SOURCE!$CA620=TRUE,DONNEES_SOURCE!$BW620,"")</f>
        <v/>
      </c>
      <c r="U620" t="str">
        <f>IF(DONNEES_SOURCE!$CA620=TRUE,IFERROR(MATCH(DONNEES_SOURCE!$B620,{"2. Très rarement (Moins d'une fois par mois)","3. Rarement (1 à 3 fois par mois)","4. Parfois (Environ une fois par semaine)","5. Régulièrement (Plusieurs fois par semaine)","6. Quotidiennement (Une fois par jour)","7. Très fréquemment (Plusieurs fois par jour)"},0)+1,""),"")</f>
        <v/>
      </c>
    </row>
    <row r="621" spans="16:21" x14ac:dyDescent="0.25">
      <c r="P621" t="str">
        <f>IF(DONNEES_SOURCE!$CA621=TRUE,DONNEES_SOURCE!$BV621,"")</f>
        <v/>
      </c>
      <c r="Q621" t="str">
        <f>IF(DONNEES_SOURCE!$CA621=TRUE,IFERROR(MATCH(DONNEES_SOURCE!$B621,{"2. Très rarement (Moins d'une fois par mois)","3. Rarement (1 à 3 fois par mois)","4. Parfois (Environ une fois par semaine)","5. Régulièrement (Plusieurs fois par semaine)","6. Quotidiennement (Une fois par jour)","7. Très fréquemment (Plusieurs fois par jour)"},0)+1,""),"")</f>
        <v/>
      </c>
      <c r="R621" t="str">
        <f>IF(DONNEES_SOURCE!$CA621=TRUE,DONNEES_SOURCE!$BW621,"")</f>
        <v/>
      </c>
      <c r="S621" t="str">
        <f>IF(DONNEES_SOURCE!$CA621=TRUE,DONNEES_SOURCE!$AU621,"")</f>
        <v/>
      </c>
      <c r="T621" t="str">
        <f>IF(DONNEES_SOURCE!$CA621=TRUE,DONNEES_SOURCE!$BW621,"")</f>
        <v/>
      </c>
      <c r="U621" t="str">
        <f>IF(DONNEES_SOURCE!$CA621=TRUE,IFERROR(MATCH(DONNEES_SOURCE!$B621,{"2. Très rarement (Moins d'une fois par mois)","3. Rarement (1 à 3 fois par mois)","4. Parfois (Environ une fois par semaine)","5. Régulièrement (Plusieurs fois par semaine)","6. Quotidiennement (Une fois par jour)","7. Très fréquemment (Plusieurs fois par jour)"},0)+1,""),"")</f>
        <v/>
      </c>
    </row>
    <row r="622" spans="16:21" x14ac:dyDescent="0.25">
      <c r="P622" t="str">
        <f>IF(DONNEES_SOURCE!$CA622=TRUE,DONNEES_SOURCE!$BV622,"")</f>
        <v/>
      </c>
      <c r="Q622" t="str">
        <f>IF(DONNEES_SOURCE!$CA622=TRUE,IFERROR(MATCH(DONNEES_SOURCE!$B622,{"2. Très rarement (Moins d'une fois par mois)","3. Rarement (1 à 3 fois par mois)","4. Parfois (Environ une fois par semaine)","5. Régulièrement (Plusieurs fois par semaine)","6. Quotidiennement (Une fois par jour)","7. Très fréquemment (Plusieurs fois par jour)"},0)+1,""),"")</f>
        <v/>
      </c>
      <c r="R622" t="str">
        <f>IF(DONNEES_SOURCE!$CA622=TRUE,DONNEES_SOURCE!$BW622,"")</f>
        <v/>
      </c>
      <c r="S622" t="str">
        <f>IF(DONNEES_SOURCE!$CA622=TRUE,DONNEES_SOURCE!$AU622,"")</f>
        <v/>
      </c>
      <c r="T622" t="str">
        <f>IF(DONNEES_SOURCE!$CA622=TRUE,DONNEES_SOURCE!$BW622,"")</f>
        <v/>
      </c>
      <c r="U622" t="str">
        <f>IF(DONNEES_SOURCE!$CA622=TRUE,IFERROR(MATCH(DONNEES_SOURCE!$B622,{"2. Très rarement (Moins d'une fois par mois)","3. Rarement (1 à 3 fois par mois)","4. Parfois (Environ une fois par semaine)","5. Régulièrement (Plusieurs fois par semaine)","6. Quotidiennement (Une fois par jour)","7. Très fréquemment (Plusieurs fois par jour)"},0)+1,""),"")</f>
        <v/>
      </c>
    </row>
    <row r="623" spans="16:21" x14ac:dyDescent="0.25">
      <c r="P623" t="str">
        <f>IF(DONNEES_SOURCE!$CA623=TRUE,DONNEES_SOURCE!$BV623,"")</f>
        <v/>
      </c>
      <c r="Q623" t="str">
        <f>IF(DONNEES_SOURCE!$CA623=TRUE,IFERROR(MATCH(DONNEES_SOURCE!$B623,{"2. Très rarement (Moins d'une fois par mois)","3. Rarement (1 à 3 fois par mois)","4. Parfois (Environ une fois par semaine)","5. Régulièrement (Plusieurs fois par semaine)","6. Quotidiennement (Une fois par jour)","7. Très fréquemment (Plusieurs fois par jour)"},0)+1,""),"")</f>
        <v/>
      </c>
      <c r="R623" t="str">
        <f>IF(DONNEES_SOURCE!$CA623=TRUE,DONNEES_SOURCE!$BW623,"")</f>
        <v/>
      </c>
      <c r="S623" t="str">
        <f>IF(DONNEES_SOURCE!$CA623=TRUE,DONNEES_SOURCE!$AU623,"")</f>
        <v/>
      </c>
      <c r="T623" t="str">
        <f>IF(DONNEES_SOURCE!$CA623=TRUE,DONNEES_SOURCE!$BW623,"")</f>
        <v/>
      </c>
      <c r="U623" t="str">
        <f>IF(DONNEES_SOURCE!$CA623=TRUE,IFERROR(MATCH(DONNEES_SOURCE!$B623,{"2. Très rarement (Moins d'une fois par mois)","3. Rarement (1 à 3 fois par mois)","4. Parfois (Environ une fois par semaine)","5. Régulièrement (Plusieurs fois par semaine)","6. Quotidiennement (Une fois par jour)","7. Très fréquemment (Plusieurs fois par jour)"},0)+1,""),"")</f>
        <v/>
      </c>
    </row>
    <row r="624" spans="16:21" x14ac:dyDescent="0.25">
      <c r="P624" t="str">
        <f>IF(DONNEES_SOURCE!$CA624=TRUE,DONNEES_SOURCE!$BV624,"")</f>
        <v/>
      </c>
      <c r="Q624" t="str">
        <f>IF(DONNEES_SOURCE!$CA624=TRUE,IFERROR(MATCH(DONNEES_SOURCE!$B624,{"2. Très rarement (Moins d'une fois par mois)","3. Rarement (1 à 3 fois par mois)","4. Parfois (Environ une fois par semaine)","5. Régulièrement (Plusieurs fois par semaine)","6. Quotidiennement (Une fois par jour)","7. Très fréquemment (Plusieurs fois par jour)"},0)+1,""),"")</f>
        <v/>
      </c>
      <c r="R624" t="str">
        <f>IF(DONNEES_SOURCE!$CA624=TRUE,DONNEES_SOURCE!$BW624,"")</f>
        <v/>
      </c>
      <c r="S624" t="str">
        <f>IF(DONNEES_SOURCE!$CA624=TRUE,DONNEES_SOURCE!$AU624,"")</f>
        <v/>
      </c>
      <c r="T624" t="str">
        <f>IF(DONNEES_SOURCE!$CA624=TRUE,DONNEES_SOURCE!$BW624,"")</f>
        <v/>
      </c>
      <c r="U624" t="str">
        <f>IF(DONNEES_SOURCE!$CA624=TRUE,IFERROR(MATCH(DONNEES_SOURCE!$B624,{"2. Très rarement (Moins d'une fois par mois)","3. Rarement (1 à 3 fois par mois)","4. Parfois (Environ une fois par semaine)","5. Régulièrement (Plusieurs fois par semaine)","6. Quotidiennement (Une fois par jour)","7. Très fréquemment (Plusieurs fois par jour)"},0)+1,""),"")</f>
        <v/>
      </c>
    </row>
    <row r="625" spans="16:21" x14ac:dyDescent="0.25">
      <c r="P625" t="str">
        <f>IF(DONNEES_SOURCE!$CA625=TRUE,DONNEES_SOURCE!$BV625,"")</f>
        <v/>
      </c>
      <c r="Q625" t="str">
        <f>IF(DONNEES_SOURCE!$CA625=TRUE,IFERROR(MATCH(DONNEES_SOURCE!$B625,{"2. Très rarement (Moins d'une fois par mois)","3. Rarement (1 à 3 fois par mois)","4. Parfois (Environ une fois par semaine)","5. Régulièrement (Plusieurs fois par semaine)","6. Quotidiennement (Une fois par jour)","7. Très fréquemment (Plusieurs fois par jour)"},0)+1,""),"")</f>
        <v/>
      </c>
      <c r="R625" t="str">
        <f>IF(DONNEES_SOURCE!$CA625=TRUE,DONNEES_SOURCE!$BW625,"")</f>
        <v/>
      </c>
      <c r="S625" t="str">
        <f>IF(DONNEES_SOURCE!$CA625=TRUE,DONNEES_SOURCE!$AU625,"")</f>
        <v/>
      </c>
      <c r="T625" t="str">
        <f>IF(DONNEES_SOURCE!$CA625=TRUE,DONNEES_SOURCE!$BW625,"")</f>
        <v/>
      </c>
      <c r="U625" t="str">
        <f>IF(DONNEES_SOURCE!$CA625=TRUE,IFERROR(MATCH(DONNEES_SOURCE!$B625,{"2. Très rarement (Moins d'une fois par mois)","3. Rarement (1 à 3 fois par mois)","4. Parfois (Environ une fois par semaine)","5. Régulièrement (Plusieurs fois par semaine)","6. Quotidiennement (Une fois par jour)","7. Très fréquemment (Plusieurs fois par jour)"},0)+1,""),"")</f>
        <v/>
      </c>
    </row>
    <row r="626" spans="16:21" x14ac:dyDescent="0.25">
      <c r="P626" t="str">
        <f>IF(DONNEES_SOURCE!$CA626=TRUE,DONNEES_SOURCE!$BV626,"")</f>
        <v/>
      </c>
      <c r="Q626" t="str">
        <f>IF(DONNEES_SOURCE!$CA626=TRUE,IFERROR(MATCH(DONNEES_SOURCE!$B626,{"2. Très rarement (Moins d'une fois par mois)","3. Rarement (1 à 3 fois par mois)","4. Parfois (Environ une fois par semaine)","5. Régulièrement (Plusieurs fois par semaine)","6. Quotidiennement (Une fois par jour)","7. Très fréquemment (Plusieurs fois par jour)"},0)+1,""),"")</f>
        <v/>
      </c>
      <c r="R626" t="str">
        <f>IF(DONNEES_SOURCE!$CA626=TRUE,DONNEES_SOURCE!$BW626,"")</f>
        <v/>
      </c>
      <c r="S626" t="str">
        <f>IF(DONNEES_SOURCE!$CA626=TRUE,DONNEES_SOURCE!$AU626,"")</f>
        <v/>
      </c>
      <c r="T626" t="str">
        <f>IF(DONNEES_SOURCE!$CA626=TRUE,DONNEES_SOURCE!$BW626,"")</f>
        <v/>
      </c>
      <c r="U626" t="str">
        <f>IF(DONNEES_SOURCE!$CA626=TRUE,IFERROR(MATCH(DONNEES_SOURCE!$B626,{"2. Très rarement (Moins d'une fois par mois)","3. Rarement (1 à 3 fois par mois)","4. Parfois (Environ une fois par semaine)","5. Régulièrement (Plusieurs fois par semaine)","6. Quotidiennement (Une fois par jour)","7. Très fréquemment (Plusieurs fois par jour)"},0)+1,""),"")</f>
        <v/>
      </c>
    </row>
    <row r="627" spans="16:21" x14ac:dyDescent="0.25">
      <c r="P627" t="str">
        <f>IF(DONNEES_SOURCE!$CA627=TRUE,DONNEES_SOURCE!$BV627,"")</f>
        <v/>
      </c>
      <c r="Q627" t="str">
        <f>IF(DONNEES_SOURCE!$CA627=TRUE,IFERROR(MATCH(DONNEES_SOURCE!$B627,{"2. Très rarement (Moins d'une fois par mois)","3. Rarement (1 à 3 fois par mois)","4. Parfois (Environ une fois par semaine)","5. Régulièrement (Plusieurs fois par semaine)","6. Quotidiennement (Une fois par jour)","7. Très fréquemment (Plusieurs fois par jour)"},0)+1,""),"")</f>
        <v/>
      </c>
      <c r="R627" t="str">
        <f>IF(DONNEES_SOURCE!$CA627=TRUE,DONNEES_SOURCE!$BW627,"")</f>
        <v/>
      </c>
      <c r="S627" t="str">
        <f>IF(DONNEES_SOURCE!$CA627=TRUE,DONNEES_SOURCE!$AU627,"")</f>
        <v/>
      </c>
      <c r="T627" t="str">
        <f>IF(DONNEES_SOURCE!$CA627=TRUE,DONNEES_SOURCE!$BW627,"")</f>
        <v/>
      </c>
      <c r="U627" t="str">
        <f>IF(DONNEES_SOURCE!$CA627=TRUE,IFERROR(MATCH(DONNEES_SOURCE!$B627,{"2. Très rarement (Moins d'une fois par mois)","3. Rarement (1 à 3 fois par mois)","4. Parfois (Environ une fois par semaine)","5. Régulièrement (Plusieurs fois par semaine)","6. Quotidiennement (Une fois par jour)","7. Très fréquemment (Plusieurs fois par jour)"},0)+1,""),"")</f>
        <v/>
      </c>
    </row>
    <row r="628" spans="16:21" x14ac:dyDescent="0.25">
      <c r="P628" t="str">
        <f>IF(DONNEES_SOURCE!$CA628=TRUE,DONNEES_SOURCE!$BV628,"")</f>
        <v/>
      </c>
      <c r="Q628" t="str">
        <f>IF(DONNEES_SOURCE!$CA628=TRUE,IFERROR(MATCH(DONNEES_SOURCE!$B628,{"2. Très rarement (Moins d'une fois par mois)","3. Rarement (1 à 3 fois par mois)","4. Parfois (Environ une fois par semaine)","5. Régulièrement (Plusieurs fois par semaine)","6. Quotidiennement (Une fois par jour)","7. Très fréquemment (Plusieurs fois par jour)"},0)+1,""),"")</f>
        <v/>
      </c>
      <c r="R628" t="str">
        <f>IF(DONNEES_SOURCE!$CA628=TRUE,DONNEES_SOURCE!$BW628,"")</f>
        <v/>
      </c>
      <c r="S628" t="str">
        <f>IF(DONNEES_SOURCE!$CA628=TRUE,DONNEES_SOURCE!$AU628,"")</f>
        <v/>
      </c>
      <c r="T628" t="str">
        <f>IF(DONNEES_SOURCE!$CA628=TRUE,DONNEES_SOURCE!$BW628,"")</f>
        <v/>
      </c>
      <c r="U628" t="str">
        <f>IF(DONNEES_SOURCE!$CA628=TRUE,IFERROR(MATCH(DONNEES_SOURCE!$B628,{"2. Très rarement (Moins d'une fois par mois)","3. Rarement (1 à 3 fois par mois)","4. Parfois (Environ une fois par semaine)","5. Régulièrement (Plusieurs fois par semaine)","6. Quotidiennement (Une fois par jour)","7. Très fréquemment (Plusieurs fois par jour)"},0)+1,""),"")</f>
        <v/>
      </c>
    </row>
    <row r="629" spans="16:21" x14ac:dyDescent="0.25">
      <c r="P629" t="str">
        <f>IF(DONNEES_SOURCE!$CA629=TRUE,DONNEES_SOURCE!$BV629,"")</f>
        <v/>
      </c>
      <c r="Q629" t="str">
        <f>IF(DONNEES_SOURCE!$CA629=TRUE,IFERROR(MATCH(DONNEES_SOURCE!$B629,{"2. Très rarement (Moins d'une fois par mois)","3. Rarement (1 à 3 fois par mois)","4. Parfois (Environ une fois par semaine)","5. Régulièrement (Plusieurs fois par semaine)","6. Quotidiennement (Une fois par jour)","7. Très fréquemment (Plusieurs fois par jour)"},0)+1,""),"")</f>
        <v/>
      </c>
      <c r="R629" t="str">
        <f>IF(DONNEES_SOURCE!$CA629=TRUE,DONNEES_SOURCE!$BW629,"")</f>
        <v/>
      </c>
      <c r="S629" t="str">
        <f>IF(DONNEES_SOURCE!$CA629=TRUE,DONNEES_SOURCE!$AU629,"")</f>
        <v/>
      </c>
      <c r="T629" t="str">
        <f>IF(DONNEES_SOURCE!$CA629=TRUE,DONNEES_SOURCE!$BW629,"")</f>
        <v/>
      </c>
      <c r="U629" t="str">
        <f>IF(DONNEES_SOURCE!$CA629=TRUE,IFERROR(MATCH(DONNEES_SOURCE!$B629,{"2. Très rarement (Moins d'une fois par mois)","3. Rarement (1 à 3 fois par mois)","4. Parfois (Environ une fois par semaine)","5. Régulièrement (Plusieurs fois par semaine)","6. Quotidiennement (Une fois par jour)","7. Très fréquemment (Plusieurs fois par jour)"},0)+1,""),"")</f>
        <v/>
      </c>
    </row>
    <row r="630" spans="16:21" x14ac:dyDescent="0.25">
      <c r="P630" t="str">
        <f>IF(DONNEES_SOURCE!$CA630=TRUE,DONNEES_SOURCE!$BV630,"")</f>
        <v/>
      </c>
      <c r="Q630" t="str">
        <f>IF(DONNEES_SOURCE!$CA630=TRUE,IFERROR(MATCH(DONNEES_SOURCE!$B630,{"2. Très rarement (Moins d'une fois par mois)","3. Rarement (1 à 3 fois par mois)","4. Parfois (Environ une fois par semaine)","5. Régulièrement (Plusieurs fois par semaine)","6. Quotidiennement (Une fois par jour)","7. Très fréquemment (Plusieurs fois par jour)"},0)+1,""),"")</f>
        <v/>
      </c>
      <c r="R630" t="str">
        <f>IF(DONNEES_SOURCE!$CA630=TRUE,DONNEES_SOURCE!$BW630,"")</f>
        <v/>
      </c>
      <c r="S630" t="str">
        <f>IF(DONNEES_SOURCE!$CA630=TRUE,DONNEES_SOURCE!$AU630,"")</f>
        <v/>
      </c>
      <c r="T630" t="str">
        <f>IF(DONNEES_SOURCE!$CA630=TRUE,DONNEES_SOURCE!$BW630,"")</f>
        <v/>
      </c>
      <c r="U630" t="str">
        <f>IF(DONNEES_SOURCE!$CA630=TRUE,IFERROR(MATCH(DONNEES_SOURCE!$B630,{"2. Très rarement (Moins d'une fois par mois)","3. Rarement (1 à 3 fois par mois)","4. Parfois (Environ une fois par semaine)","5. Régulièrement (Plusieurs fois par semaine)","6. Quotidiennement (Une fois par jour)","7. Très fréquemment (Plusieurs fois par jour)"},0)+1,""),"")</f>
        <v/>
      </c>
    </row>
    <row r="631" spans="16:21" x14ac:dyDescent="0.25">
      <c r="P631" t="str">
        <f>IF(DONNEES_SOURCE!$CA631=TRUE,DONNEES_SOURCE!$BV631,"")</f>
        <v/>
      </c>
      <c r="Q631" t="str">
        <f>IF(DONNEES_SOURCE!$CA631=TRUE,IFERROR(MATCH(DONNEES_SOURCE!$B631,{"2. Très rarement (Moins d'une fois par mois)","3. Rarement (1 à 3 fois par mois)","4. Parfois (Environ une fois par semaine)","5. Régulièrement (Plusieurs fois par semaine)","6. Quotidiennement (Une fois par jour)","7. Très fréquemment (Plusieurs fois par jour)"},0)+1,""),"")</f>
        <v/>
      </c>
      <c r="R631" t="str">
        <f>IF(DONNEES_SOURCE!$CA631=TRUE,DONNEES_SOURCE!$BW631,"")</f>
        <v/>
      </c>
      <c r="S631" t="str">
        <f>IF(DONNEES_SOURCE!$CA631=TRUE,DONNEES_SOURCE!$AU631,"")</f>
        <v/>
      </c>
      <c r="T631" t="str">
        <f>IF(DONNEES_SOURCE!$CA631=TRUE,DONNEES_SOURCE!$BW631,"")</f>
        <v/>
      </c>
      <c r="U631" t="str">
        <f>IF(DONNEES_SOURCE!$CA631=TRUE,IFERROR(MATCH(DONNEES_SOURCE!$B631,{"2. Très rarement (Moins d'une fois par mois)","3. Rarement (1 à 3 fois par mois)","4. Parfois (Environ une fois par semaine)","5. Régulièrement (Plusieurs fois par semaine)","6. Quotidiennement (Une fois par jour)","7. Très fréquemment (Plusieurs fois par jour)"},0)+1,""),"")</f>
        <v/>
      </c>
    </row>
    <row r="632" spans="16:21" x14ac:dyDescent="0.25">
      <c r="P632" t="str">
        <f>IF(DONNEES_SOURCE!$CA632=TRUE,DONNEES_SOURCE!$BV632,"")</f>
        <v/>
      </c>
      <c r="Q632" t="str">
        <f>IF(DONNEES_SOURCE!$CA632=TRUE,IFERROR(MATCH(DONNEES_SOURCE!$B632,{"2. Très rarement (Moins d'une fois par mois)","3. Rarement (1 à 3 fois par mois)","4. Parfois (Environ une fois par semaine)","5. Régulièrement (Plusieurs fois par semaine)","6. Quotidiennement (Une fois par jour)","7. Très fréquemment (Plusieurs fois par jour)"},0)+1,""),"")</f>
        <v/>
      </c>
      <c r="R632" t="str">
        <f>IF(DONNEES_SOURCE!$CA632=TRUE,DONNEES_SOURCE!$BW632,"")</f>
        <v/>
      </c>
      <c r="S632" t="str">
        <f>IF(DONNEES_SOURCE!$CA632=TRUE,DONNEES_SOURCE!$AU632,"")</f>
        <v/>
      </c>
      <c r="T632" t="str">
        <f>IF(DONNEES_SOURCE!$CA632=TRUE,DONNEES_SOURCE!$BW632,"")</f>
        <v/>
      </c>
      <c r="U632" t="str">
        <f>IF(DONNEES_SOURCE!$CA632=TRUE,IFERROR(MATCH(DONNEES_SOURCE!$B632,{"2. Très rarement (Moins d'une fois par mois)","3. Rarement (1 à 3 fois par mois)","4. Parfois (Environ une fois par semaine)","5. Régulièrement (Plusieurs fois par semaine)","6. Quotidiennement (Une fois par jour)","7. Très fréquemment (Plusieurs fois par jour)"},0)+1,""),"")</f>
        <v/>
      </c>
    </row>
    <row r="633" spans="16:21" x14ac:dyDescent="0.25">
      <c r="P633" t="str">
        <f>IF(DONNEES_SOURCE!$CA633=TRUE,DONNEES_SOURCE!$BV633,"")</f>
        <v/>
      </c>
      <c r="Q633" t="str">
        <f>IF(DONNEES_SOURCE!$CA633=TRUE,IFERROR(MATCH(DONNEES_SOURCE!$B633,{"2. Très rarement (Moins d'une fois par mois)","3. Rarement (1 à 3 fois par mois)","4. Parfois (Environ une fois par semaine)","5. Régulièrement (Plusieurs fois par semaine)","6. Quotidiennement (Une fois par jour)","7. Très fréquemment (Plusieurs fois par jour)"},0)+1,""),"")</f>
        <v/>
      </c>
      <c r="R633" t="str">
        <f>IF(DONNEES_SOURCE!$CA633=TRUE,DONNEES_SOURCE!$BW633,"")</f>
        <v/>
      </c>
      <c r="S633" t="str">
        <f>IF(DONNEES_SOURCE!$CA633=TRUE,DONNEES_SOURCE!$AU633,"")</f>
        <v/>
      </c>
      <c r="T633" t="str">
        <f>IF(DONNEES_SOURCE!$CA633=TRUE,DONNEES_SOURCE!$BW633,"")</f>
        <v/>
      </c>
      <c r="U633" t="str">
        <f>IF(DONNEES_SOURCE!$CA633=TRUE,IFERROR(MATCH(DONNEES_SOURCE!$B633,{"2. Très rarement (Moins d'une fois par mois)","3. Rarement (1 à 3 fois par mois)","4. Parfois (Environ une fois par semaine)","5. Régulièrement (Plusieurs fois par semaine)","6. Quotidiennement (Une fois par jour)","7. Très fréquemment (Plusieurs fois par jour)"},0)+1,""),"")</f>
        <v/>
      </c>
    </row>
    <row r="634" spans="16:21" x14ac:dyDescent="0.25">
      <c r="P634" t="str">
        <f>IF(DONNEES_SOURCE!$CA634=TRUE,DONNEES_SOURCE!$BV634,"")</f>
        <v/>
      </c>
      <c r="Q634" t="str">
        <f>IF(DONNEES_SOURCE!$CA634=TRUE,IFERROR(MATCH(DONNEES_SOURCE!$B634,{"2. Très rarement (Moins d'une fois par mois)","3. Rarement (1 à 3 fois par mois)","4. Parfois (Environ une fois par semaine)","5. Régulièrement (Plusieurs fois par semaine)","6. Quotidiennement (Une fois par jour)","7. Très fréquemment (Plusieurs fois par jour)"},0)+1,""),"")</f>
        <v/>
      </c>
      <c r="R634" t="str">
        <f>IF(DONNEES_SOURCE!$CA634=TRUE,DONNEES_SOURCE!$BW634,"")</f>
        <v/>
      </c>
      <c r="S634" t="str">
        <f>IF(DONNEES_SOURCE!$CA634=TRUE,DONNEES_SOURCE!$AU634,"")</f>
        <v/>
      </c>
      <c r="T634" t="str">
        <f>IF(DONNEES_SOURCE!$CA634=TRUE,DONNEES_SOURCE!$BW634,"")</f>
        <v/>
      </c>
      <c r="U634" t="str">
        <f>IF(DONNEES_SOURCE!$CA634=TRUE,IFERROR(MATCH(DONNEES_SOURCE!$B634,{"2. Très rarement (Moins d'une fois par mois)","3. Rarement (1 à 3 fois par mois)","4. Parfois (Environ une fois par semaine)","5. Régulièrement (Plusieurs fois par semaine)","6. Quotidiennement (Une fois par jour)","7. Très fréquemment (Plusieurs fois par jour)"},0)+1,""),"")</f>
        <v/>
      </c>
    </row>
    <row r="635" spans="16:21" x14ac:dyDescent="0.25">
      <c r="P635" t="str">
        <f>IF(DONNEES_SOURCE!$CA635=TRUE,DONNEES_SOURCE!$BV635,"")</f>
        <v/>
      </c>
      <c r="Q635" t="str">
        <f>IF(DONNEES_SOURCE!$CA635=TRUE,IFERROR(MATCH(DONNEES_SOURCE!$B635,{"2. Très rarement (Moins d'une fois par mois)","3. Rarement (1 à 3 fois par mois)","4. Parfois (Environ une fois par semaine)","5. Régulièrement (Plusieurs fois par semaine)","6. Quotidiennement (Une fois par jour)","7. Très fréquemment (Plusieurs fois par jour)"},0)+1,""),"")</f>
        <v/>
      </c>
      <c r="R635" t="str">
        <f>IF(DONNEES_SOURCE!$CA635=TRUE,DONNEES_SOURCE!$BW635,"")</f>
        <v/>
      </c>
      <c r="S635" t="str">
        <f>IF(DONNEES_SOURCE!$CA635=TRUE,DONNEES_SOURCE!$AU635,"")</f>
        <v/>
      </c>
      <c r="T635" t="str">
        <f>IF(DONNEES_SOURCE!$CA635=TRUE,DONNEES_SOURCE!$BW635,"")</f>
        <v/>
      </c>
      <c r="U635" t="str">
        <f>IF(DONNEES_SOURCE!$CA635=TRUE,IFERROR(MATCH(DONNEES_SOURCE!$B635,{"2. Très rarement (Moins d'une fois par mois)","3. Rarement (1 à 3 fois par mois)","4. Parfois (Environ une fois par semaine)","5. Régulièrement (Plusieurs fois par semaine)","6. Quotidiennement (Une fois par jour)","7. Très fréquemment (Plusieurs fois par jour)"},0)+1,""),"")</f>
        <v/>
      </c>
    </row>
    <row r="636" spans="16:21" x14ac:dyDescent="0.25">
      <c r="P636" t="str">
        <f>IF(DONNEES_SOURCE!$CA636=TRUE,DONNEES_SOURCE!$BV636,"")</f>
        <v/>
      </c>
      <c r="Q636" t="str">
        <f>IF(DONNEES_SOURCE!$CA636=TRUE,IFERROR(MATCH(DONNEES_SOURCE!$B636,{"2. Très rarement (Moins d'une fois par mois)","3. Rarement (1 à 3 fois par mois)","4. Parfois (Environ une fois par semaine)","5. Régulièrement (Plusieurs fois par semaine)","6. Quotidiennement (Une fois par jour)","7. Très fréquemment (Plusieurs fois par jour)"},0)+1,""),"")</f>
        <v/>
      </c>
      <c r="R636" t="str">
        <f>IF(DONNEES_SOURCE!$CA636=TRUE,DONNEES_SOURCE!$BW636,"")</f>
        <v/>
      </c>
      <c r="S636" t="str">
        <f>IF(DONNEES_SOURCE!$CA636=TRUE,DONNEES_SOURCE!$AU636,"")</f>
        <v/>
      </c>
      <c r="T636" t="str">
        <f>IF(DONNEES_SOURCE!$CA636=TRUE,DONNEES_SOURCE!$BW636,"")</f>
        <v/>
      </c>
      <c r="U636" t="str">
        <f>IF(DONNEES_SOURCE!$CA636=TRUE,IFERROR(MATCH(DONNEES_SOURCE!$B636,{"2. Très rarement (Moins d'une fois par mois)","3. Rarement (1 à 3 fois par mois)","4. Parfois (Environ une fois par semaine)","5. Régulièrement (Plusieurs fois par semaine)","6. Quotidiennement (Une fois par jour)","7. Très fréquemment (Plusieurs fois par jour)"},0)+1,""),"")</f>
        <v/>
      </c>
    </row>
    <row r="637" spans="16:21" x14ac:dyDescent="0.25">
      <c r="P637" t="str">
        <f>IF(DONNEES_SOURCE!$CA637=TRUE,DONNEES_SOURCE!$BV637,"")</f>
        <v/>
      </c>
      <c r="Q637" t="str">
        <f>IF(DONNEES_SOURCE!$CA637=TRUE,IFERROR(MATCH(DONNEES_SOURCE!$B637,{"2. Très rarement (Moins d'une fois par mois)","3. Rarement (1 à 3 fois par mois)","4. Parfois (Environ une fois par semaine)","5. Régulièrement (Plusieurs fois par semaine)","6. Quotidiennement (Une fois par jour)","7. Très fréquemment (Plusieurs fois par jour)"},0)+1,""),"")</f>
        <v/>
      </c>
      <c r="R637" t="str">
        <f>IF(DONNEES_SOURCE!$CA637=TRUE,DONNEES_SOURCE!$BW637,"")</f>
        <v/>
      </c>
      <c r="S637" t="str">
        <f>IF(DONNEES_SOURCE!$CA637=TRUE,DONNEES_SOURCE!$AU637,"")</f>
        <v/>
      </c>
      <c r="T637" t="str">
        <f>IF(DONNEES_SOURCE!$CA637=TRUE,DONNEES_SOURCE!$BW637,"")</f>
        <v/>
      </c>
      <c r="U637" t="str">
        <f>IF(DONNEES_SOURCE!$CA637=TRUE,IFERROR(MATCH(DONNEES_SOURCE!$B637,{"2. Très rarement (Moins d'une fois par mois)","3. Rarement (1 à 3 fois par mois)","4. Parfois (Environ une fois par semaine)","5. Régulièrement (Plusieurs fois par semaine)","6. Quotidiennement (Une fois par jour)","7. Très fréquemment (Plusieurs fois par jour)"},0)+1,""),"")</f>
        <v/>
      </c>
    </row>
    <row r="638" spans="16:21" x14ac:dyDescent="0.25">
      <c r="P638" t="str">
        <f>IF(DONNEES_SOURCE!$CA638=TRUE,DONNEES_SOURCE!$BV638,"")</f>
        <v/>
      </c>
      <c r="Q638" t="str">
        <f>IF(DONNEES_SOURCE!$CA638=TRUE,IFERROR(MATCH(DONNEES_SOURCE!$B638,{"2. Très rarement (Moins d'une fois par mois)","3. Rarement (1 à 3 fois par mois)","4. Parfois (Environ une fois par semaine)","5. Régulièrement (Plusieurs fois par semaine)","6. Quotidiennement (Une fois par jour)","7. Très fréquemment (Plusieurs fois par jour)"},0)+1,""),"")</f>
        <v/>
      </c>
      <c r="R638" t="str">
        <f>IF(DONNEES_SOURCE!$CA638=TRUE,DONNEES_SOURCE!$BW638,"")</f>
        <v/>
      </c>
      <c r="S638" t="str">
        <f>IF(DONNEES_SOURCE!$CA638=TRUE,DONNEES_SOURCE!$AU638,"")</f>
        <v/>
      </c>
      <c r="T638" t="str">
        <f>IF(DONNEES_SOURCE!$CA638=TRUE,DONNEES_SOURCE!$BW638,"")</f>
        <v/>
      </c>
      <c r="U638" t="str">
        <f>IF(DONNEES_SOURCE!$CA638=TRUE,IFERROR(MATCH(DONNEES_SOURCE!$B638,{"2. Très rarement (Moins d'une fois par mois)","3. Rarement (1 à 3 fois par mois)","4. Parfois (Environ une fois par semaine)","5. Régulièrement (Plusieurs fois par semaine)","6. Quotidiennement (Une fois par jour)","7. Très fréquemment (Plusieurs fois par jour)"},0)+1,""),"")</f>
        <v/>
      </c>
    </row>
    <row r="639" spans="16:21" x14ac:dyDescent="0.25">
      <c r="P639" t="str">
        <f>IF(DONNEES_SOURCE!$CA639=TRUE,DONNEES_SOURCE!$BV639,"")</f>
        <v/>
      </c>
      <c r="Q639" t="str">
        <f>IF(DONNEES_SOURCE!$CA639=TRUE,IFERROR(MATCH(DONNEES_SOURCE!$B639,{"2. Très rarement (Moins d'une fois par mois)","3. Rarement (1 à 3 fois par mois)","4. Parfois (Environ une fois par semaine)","5. Régulièrement (Plusieurs fois par semaine)","6. Quotidiennement (Une fois par jour)","7. Très fréquemment (Plusieurs fois par jour)"},0)+1,""),"")</f>
        <v/>
      </c>
      <c r="R639" t="str">
        <f>IF(DONNEES_SOURCE!$CA639=TRUE,DONNEES_SOURCE!$BW639,"")</f>
        <v/>
      </c>
      <c r="S639" t="str">
        <f>IF(DONNEES_SOURCE!$CA639=TRUE,DONNEES_SOURCE!$AU639,"")</f>
        <v/>
      </c>
      <c r="T639" t="str">
        <f>IF(DONNEES_SOURCE!$CA639=TRUE,DONNEES_SOURCE!$BW639,"")</f>
        <v/>
      </c>
      <c r="U639" t="str">
        <f>IF(DONNEES_SOURCE!$CA639=TRUE,IFERROR(MATCH(DONNEES_SOURCE!$B639,{"2. Très rarement (Moins d'une fois par mois)","3. Rarement (1 à 3 fois par mois)","4. Parfois (Environ une fois par semaine)","5. Régulièrement (Plusieurs fois par semaine)","6. Quotidiennement (Une fois par jour)","7. Très fréquemment (Plusieurs fois par jour)"},0)+1,""),"")</f>
        <v/>
      </c>
    </row>
    <row r="640" spans="16:21" x14ac:dyDescent="0.25">
      <c r="P640" t="str">
        <f>IF(DONNEES_SOURCE!$CA640=TRUE,DONNEES_SOURCE!$BV640,"")</f>
        <v/>
      </c>
      <c r="Q640" t="str">
        <f>IF(DONNEES_SOURCE!$CA640=TRUE,IFERROR(MATCH(DONNEES_SOURCE!$B640,{"2. Très rarement (Moins d'une fois par mois)","3. Rarement (1 à 3 fois par mois)","4. Parfois (Environ une fois par semaine)","5. Régulièrement (Plusieurs fois par semaine)","6. Quotidiennement (Une fois par jour)","7. Très fréquemment (Plusieurs fois par jour)"},0)+1,""),"")</f>
        <v/>
      </c>
      <c r="R640" t="str">
        <f>IF(DONNEES_SOURCE!$CA640=TRUE,DONNEES_SOURCE!$BW640,"")</f>
        <v/>
      </c>
      <c r="S640" t="str">
        <f>IF(DONNEES_SOURCE!$CA640=TRUE,DONNEES_SOURCE!$AU640,"")</f>
        <v/>
      </c>
      <c r="T640" t="str">
        <f>IF(DONNEES_SOURCE!$CA640=TRUE,DONNEES_SOURCE!$BW640,"")</f>
        <v/>
      </c>
      <c r="U640" t="str">
        <f>IF(DONNEES_SOURCE!$CA640=TRUE,IFERROR(MATCH(DONNEES_SOURCE!$B640,{"2. Très rarement (Moins d'une fois par mois)","3. Rarement (1 à 3 fois par mois)","4. Parfois (Environ une fois par semaine)","5. Régulièrement (Plusieurs fois par semaine)","6. Quotidiennement (Une fois par jour)","7. Très fréquemment (Plusieurs fois par jour)"},0)+1,""),"")</f>
        <v/>
      </c>
    </row>
    <row r="641" spans="16:21" x14ac:dyDescent="0.25">
      <c r="P641" t="str">
        <f>IF(DONNEES_SOURCE!$CA641=TRUE,DONNEES_SOURCE!$BV641,"")</f>
        <v/>
      </c>
      <c r="Q641" t="str">
        <f>IF(DONNEES_SOURCE!$CA641=TRUE,IFERROR(MATCH(DONNEES_SOURCE!$B641,{"2. Très rarement (Moins d'une fois par mois)","3. Rarement (1 à 3 fois par mois)","4. Parfois (Environ une fois par semaine)","5. Régulièrement (Plusieurs fois par semaine)","6. Quotidiennement (Une fois par jour)","7. Très fréquemment (Plusieurs fois par jour)"},0)+1,""),"")</f>
        <v/>
      </c>
      <c r="R641" t="str">
        <f>IF(DONNEES_SOURCE!$CA641=TRUE,DONNEES_SOURCE!$BW641,"")</f>
        <v/>
      </c>
      <c r="S641" t="str">
        <f>IF(DONNEES_SOURCE!$CA641=TRUE,DONNEES_SOURCE!$AU641,"")</f>
        <v/>
      </c>
      <c r="T641" t="str">
        <f>IF(DONNEES_SOURCE!$CA641=TRUE,DONNEES_SOURCE!$BW641,"")</f>
        <v/>
      </c>
      <c r="U641" t="str">
        <f>IF(DONNEES_SOURCE!$CA641=TRUE,IFERROR(MATCH(DONNEES_SOURCE!$B641,{"2. Très rarement (Moins d'une fois par mois)","3. Rarement (1 à 3 fois par mois)","4. Parfois (Environ une fois par semaine)","5. Régulièrement (Plusieurs fois par semaine)","6. Quotidiennement (Une fois par jour)","7. Très fréquemment (Plusieurs fois par jour)"},0)+1,""),"")</f>
        <v/>
      </c>
    </row>
    <row r="642" spans="16:21" x14ac:dyDescent="0.25">
      <c r="P642" t="str">
        <f>IF(DONNEES_SOURCE!$CA642=TRUE,DONNEES_SOURCE!$BV642,"")</f>
        <v/>
      </c>
      <c r="Q642" t="str">
        <f>IF(DONNEES_SOURCE!$CA642=TRUE,IFERROR(MATCH(DONNEES_SOURCE!$B642,{"2. Très rarement (Moins d'une fois par mois)","3. Rarement (1 à 3 fois par mois)","4. Parfois (Environ une fois par semaine)","5. Régulièrement (Plusieurs fois par semaine)","6. Quotidiennement (Une fois par jour)","7. Très fréquemment (Plusieurs fois par jour)"},0)+1,""),"")</f>
        <v/>
      </c>
      <c r="R642" t="str">
        <f>IF(DONNEES_SOURCE!$CA642=TRUE,DONNEES_SOURCE!$BW642,"")</f>
        <v/>
      </c>
      <c r="S642" t="str">
        <f>IF(DONNEES_SOURCE!$CA642=TRUE,DONNEES_SOURCE!$AU642,"")</f>
        <v/>
      </c>
      <c r="T642" t="str">
        <f>IF(DONNEES_SOURCE!$CA642=TRUE,DONNEES_SOURCE!$BW642,"")</f>
        <v/>
      </c>
      <c r="U642" t="str">
        <f>IF(DONNEES_SOURCE!$CA642=TRUE,IFERROR(MATCH(DONNEES_SOURCE!$B642,{"2. Très rarement (Moins d'une fois par mois)","3. Rarement (1 à 3 fois par mois)","4. Parfois (Environ une fois par semaine)","5. Régulièrement (Plusieurs fois par semaine)","6. Quotidiennement (Une fois par jour)","7. Très fréquemment (Plusieurs fois par jour)"},0)+1,""),"")</f>
        <v/>
      </c>
    </row>
    <row r="643" spans="16:21" x14ac:dyDescent="0.25">
      <c r="P643" t="str">
        <f>IF(DONNEES_SOURCE!$CA643=TRUE,DONNEES_SOURCE!$BV643,"")</f>
        <v/>
      </c>
      <c r="Q643" t="str">
        <f>IF(DONNEES_SOURCE!$CA643=TRUE,IFERROR(MATCH(DONNEES_SOURCE!$B643,{"2. Très rarement (Moins d'une fois par mois)","3. Rarement (1 à 3 fois par mois)","4. Parfois (Environ une fois par semaine)","5. Régulièrement (Plusieurs fois par semaine)","6. Quotidiennement (Une fois par jour)","7. Très fréquemment (Plusieurs fois par jour)"},0)+1,""),"")</f>
        <v/>
      </c>
      <c r="R643" t="str">
        <f>IF(DONNEES_SOURCE!$CA643=TRUE,DONNEES_SOURCE!$BW643,"")</f>
        <v/>
      </c>
      <c r="S643" t="str">
        <f>IF(DONNEES_SOURCE!$CA643=TRUE,DONNEES_SOURCE!$AU643,"")</f>
        <v/>
      </c>
      <c r="T643" t="str">
        <f>IF(DONNEES_SOURCE!$CA643=TRUE,DONNEES_SOURCE!$BW643,"")</f>
        <v/>
      </c>
      <c r="U643" t="str">
        <f>IF(DONNEES_SOURCE!$CA643=TRUE,IFERROR(MATCH(DONNEES_SOURCE!$B643,{"2. Très rarement (Moins d'une fois par mois)","3. Rarement (1 à 3 fois par mois)","4. Parfois (Environ une fois par semaine)","5. Régulièrement (Plusieurs fois par semaine)","6. Quotidiennement (Une fois par jour)","7. Très fréquemment (Plusieurs fois par jour)"},0)+1,""),"")</f>
        <v/>
      </c>
    </row>
    <row r="644" spans="16:21" x14ac:dyDescent="0.25">
      <c r="P644" t="str">
        <f>IF(DONNEES_SOURCE!$CA644=TRUE,DONNEES_SOURCE!$BV644,"")</f>
        <v/>
      </c>
      <c r="Q644" t="str">
        <f>IF(DONNEES_SOURCE!$CA644=TRUE,IFERROR(MATCH(DONNEES_SOURCE!$B644,{"2. Très rarement (Moins d'une fois par mois)","3. Rarement (1 à 3 fois par mois)","4. Parfois (Environ une fois par semaine)","5. Régulièrement (Plusieurs fois par semaine)","6. Quotidiennement (Une fois par jour)","7. Très fréquemment (Plusieurs fois par jour)"},0)+1,""),"")</f>
        <v/>
      </c>
      <c r="R644" t="str">
        <f>IF(DONNEES_SOURCE!$CA644=TRUE,DONNEES_SOURCE!$BW644,"")</f>
        <v/>
      </c>
      <c r="S644" t="str">
        <f>IF(DONNEES_SOURCE!$CA644=TRUE,DONNEES_SOURCE!$AU644,"")</f>
        <v/>
      </c>
      <c r="T644" t="str">
        <f>IF(DONNEES_SOURCE!$CA644=TRUE,DONNEES_SOURCE!$BW644,"")</f>
        <v/>
      </c>
      <c r="U644" t="str">
        <f>IF(DONNEES_SOURCE!$CA644=TRUE,IFERROR(MATCH(DONNEES_SOURCE!$B644,{"2. Très rarement (Moins d'une fois par mois)","3. Rarement (1 à 3 fois par mois)","4. Parfois (Environ une fois par semaine)","5. Régulièrement (Plusieurs fois par semaine)","6. Quotidiennement (Une fois par jour)","7. Très fréquemment (Plusieurs fois par jour)"},0)+1,""),"")</f>
        <v/>
      </c>
    </row>
    <row r="645" spans="16:21" x14ac:dyDescent="0.25">
      <c r="P645" t="str">
        <f>IF(DONNEES_SOURCE!$CA645=TRUE,DONNEES_SOURCE!$BV645,"")</f>
        <v/>
      </c>
      <c r="Q645" t="str">
        <f>IF(DONNEES_SOURCE!$CA645=TRUE,IFERROR(MATCH(DONNEES_SOURCE!$B645,{"2. Très rarement (Moins d'une fois par mois)","3. Rarement (1 à 3 fois par mois)","4. Parfois (Environ une fois par semaine)","5. Régulièrement (Plusieurs fois par semaine)","6. Quotidiennement (Une fois par jour)","7. Très fréquemment (Plusieurs fois par jour)"},0)+1,""),"")</f>
        <v/>
      </c>
      <c r="R645" t="str">
        <f>IF(DONNEES_SOURCE!$CA645=TRUE,DONNEES_SOURCE!$BW645,"")</f>
        <v/>
      </c>
      <c r="S645" t="str">
        <f>IF(DONNEES_SOURCE!$CA645=TRUE,DONNEES_SOURCE!$AU645,"")</f>
        <v/>
      </c>
      <c r="T645" t="str">
        <f>IF(DONNEES_SOURCE!$CA645=TRUE,DONNEES_SOURCE!$BW645,"")</f>
        <v/>
      </c>
      <c r="U645" t="str">
        <f>IF(DONNEES_SOURCE!$CA645=TRUE,IFERROR(MATCH(DONNEES_SOURCE!$B645,{"2. Très rarement (Moins d'une fois par mois)","3. Rarement (1 à 3 fois par mois)","4. Parfois (Environ une fois par semaine)","5. Régulièrement (Plusieurs fois par semaine)","6. Quotidiennement (Une fois par jour)","7. Très fréquemment (Plusieurs fois par jour)"},0)+1,""),"")</f>
        <v/>
      </c>
    </row>
    <row r="646" spans="16:21" x14ac:dyDescent="0.25">
      <c r="P646" t="str">
        <f>IF(DONNEES_SOURCE!$CA646=TRUE,DONNEES_SOURCE!$BV646,"")</f>
        <v/>
      </c>
      <c r="Q646" t="str">
        <f>IF(DONNEES_SOURCE!$CA646=TRUE,IFERROR(MATCH(DONNEES_SOURCE!$B646,{"2. Très rarement (Moins d'une fois par mois)","3. Rarement (1 à 3 fois par mois)","4. Parfois (Environ une fois par semaine)","5. Régulièrement (Plusieurs fois par semaine)","6. Quotidiennement (Une fois par jour)","7. Très fréquemment (Plusieurs fois par jour)"},0)+1,""),"")</f>
        <v/>
      </c>
      <c r="R646" t="str">
        <f>IF(DONNEES_SOURCE!$CA646=TRUE,DONNEES_SOURCE!$BW646,"")</f>
        <v/>
      </c>
      <c r="S646" t="str">
        <f>IF(DONNEES_SOURCE!$CA646=TRUE,DONNEES_SOURCE!$AU646,"")</f>
        <v/>
      </c>
      <c r="T646" t="str">
        <f>IF(DONNEES_SOURCE!$CA646=TRUE,DONNEES_SOURCE!$BW646,"")</f>
        <v/>
      </c>
      <c r="U646" t="str">
        <f>IF(DONNEES_SOURCE!$CA646=TRUE,IFERROR(MATCH(DONNEES_SOURCE!$B646,{"2. Très rarement (Moins d'une fois par mois)","3. Rarement (1 à 3 fois par mois)","4. Parfois (Environ une fois par semaine)","5. Régulièrement (Plusieurs fois par semaine)","6. Quotidiennement (Une fois par jour)","7. Très fréquemment (Plusieurs fois par jour)"},0)+1,""),"")</f>
        <v/>
      </c>
    </row>
    <row r="647" spans="16:21" x14ac:dyDescent="0.25">
      <c r="P647" t="str">
        <f>IF(DONNEES_SOURCE!$CA647=TRUE,DONNEES_SOURCE!$BV647,"")</f>
        <v/>
      </c>
      <c r="Q647" t="str">
        <f>IF(DONNEES_SOURCE!$CA647=TRUE,IFERROR(MATCH(DONNEES_SOURCE!$B647,{"2. Très rarement (Moins d'une fois par mois)","3. Rarement (1 à 3 fois par mois)","4. Parfois (Environ une fois par semaine)","5. Régulièrement (Plusieurs fois par semaine)","6. Quotidiennement (Une fois par jour)","7. Très fréquemment (Plusieurs fois par jour)"},0)+1,""),"")</f>
        <v/>
      </c>
      <c r="R647" t="str">
        <f>IF(DONNEES_SOURCE!$CA647=TRUE,DONNEES_SOURCE!$BW647,"")</f>
        <v/>
      </c>
      <c r="S647" t="str">
        <f>IF(DONNEES_SOURCE!$CA647=TRUE,DONNEES_SOURCE!$AU647,"")</f>
        <v/>
      </c>
      <c r="T647" t="str">
        <f>IF(DONNEES_SOURCE!$CA647=TRUE,DONNEES_SOURCE!$BW647,"")</f>
        <v/>
      </c>
      <c r="U647" t="str">
        <f>IF(DONNEES_SOURCE!$CA647=TRUE,IFERROR(MATCH(DONNEES_SOURCE!$B647,{"2. Très rarement (Moins d'une fois par mois)","3. Rarement (1 à 3 fois par mois)","4. Parfois (Environ une fois par semaine)","5. Régulièrement (Plusieurs fois par semaine)","6. Quotidiennement (Une fois par jour)","7. Très fréquemment (Plusieurs fois par jour)"},0)+1,""),"")</f>
        <v/>
      </c>
    </row>
    <row r="648" spans="16:21" x14ac:dyDescent="0.25">
      <c r="P648" t="str">
        <f>IF(DONNEES_SOURCE!$CA648=TRUE,DONNEES_SOURCE!$BV648,"")</f>
        <v/>
      </c>
      <c r="Q648" t="str">
        <f>IF(DONNEES_SOURCE!$CA648=TRUE,IFERROR(MATCH(DONNEES_SOURCE!$B648,{"2. Très rarement (Moins d'une fois par mois)","3. Rarement (1 à 3 fois par mois)","4. Parfois (Environ une fois par semaine)","5. Régulièrement (Plusieurs fois par semaine)","6. Quotidiennement (Une fois par jour)","7. Très fréquemment (Plusieurs fois par jour)"},0)+1,""),"")</f>
        <v/>
      </c>
      <c r="R648" t="str">
        <f>IF(DONNEES_SOURCE!$CA648=TRUE,DONNEES_SOURCE!$BW648,"")</f>
        <v/>
      </c>
      <c r="S648" t="str">
        <f>IF(DONNEES_SOURCE!$CA648=TRUE,DONNEES_SOURCE!$AU648,"")</f>
        <v/>
      </c>
      <c r="T648" t="str">
        <f>IF(DONNEES_SOURCE!$CA648=TRUE,DONNEES_SOURCE!$BW648,"")</f>
        <v/>
      </c>
      <c r="U648" t="str">
        <f>IF(DONNEES_SOURCE!$CA648=TRUE,IFERROR(MATCH(DONNEES_SOURCE!$B648,{"2. Très rarement (Moins d'une fois par mois)","3. Rarement (1 à 3 fois par mois)","4. Parfois (Environ une fois par semaine)","5. Régulièrement (Plusieurs fois par semaine)","6. Quotidiennement (Une fois par jour)","7. Très fréquemment (Plusieurs fois par jour)"},0)+1,""),"")</f>
        <v/>
      </c>
    </row>
    <row r="649" spans="16:21" x14ac:dyDescent="0.25">
      <c r="P649" t="str">
        <f>IF(DONNEES_SOURCE!$CA649=TRUE,DONNEES_SOURCE!$BV649,"")</f>
        <v/>
      </c>
      <c r="Q649" t="str">
        <f>IF(DONNEES_SOURCE!$CA649=TRUE,IFERROR(MATCH(DONNEES_SOURCE!$B649,{"2. Très rarement (Moins d'une fois par mois)","3. Rarement (1 à 3 fois par mois)","4. Parfois (Environ une fois par semaine)","5. Régulièrement (Plusieurs fois par semaine)","6. Quotidiennement (Une fois par jour)","7. Très fréquemment (Plusieurs fois par jour)"},0)+1,""),"")</f>
        <v/>
      </c>
      <c r="R649" t="str">
        <f>IF(DONNEES_SOURCE!$CA649=TRUE,DONNEES_SOURCE!$BW649,"")</f>
        <v/>
      </c>
      <c r="S649" t="str">
        <f>IF(DONNEES_SOURCE!$CA649=TRUE,DONNEES_SOURCE!$AU649,"")</f>
        <v/>
      </c>
      <c r="T649" t="str">
        <f>IF(DONNEES_SOURCE!$CA649=TRUE,DONNEES_SOURCE!$BW649,"")</f>
        <v/>
      </c>
      <c r="U649" t="str">
        <f>IF(DONNEES_SOURCE!$CA649=TRUE,IFERROR(MATCH(DONNEES_SOURCE!$B649,{"2. Très rarement (Moins d'une fois par mois)","3. Rarement (1 à 3 fois par mois)","4. Parfois (Environ une fois par semaine)","5. Régulièrement (Plusieurs fois par semaine)","6. Quotidiennement (Une fois par jour)","7. Très fréquemment (Plusieurs fois par jour)"},0)+1,""),"")</f>
        <v/>
      </c>
    </row>
    <row r="650" spans="16:21" x14ac:dyDescent="0.25">
      <c r="P650" t="str">
        <f>IF(DONNEES_SOURCE!$CA650=TRUE,DONNEES_SOURCE!$BV650,"")</f>
        <v/>
      </c>
      <c r="Q650" t="str">
        <f>IF(DONNEES_SOURCE!$CA650=TRUE,IFERROR(MATCH(DONNEES_SOURCE!$B650,{"2. Très rarement (Moins d'une fois par mois)","3. Rarement (1 à 3 fois par mois)","4. Parfois (Environ une fois par semaine)","5. Régulièrement (Plusieurs fois par semaine)","6. Quotidiennement (Une fois par jour)","7. Très fréquemment (Plusieurs fois par jour)"},0)+1,""),"")</f>
        <v/>
      </c>
      <c r="R650" t="str">
        <f>IF(DONNEES_SOURCE!$CA650=TRUE,DONNEES_SOURCE!$BW650,"")</f>
        <v/>
      </c>
      <c r="S650" t="str">
        <f>IF(DONNEES_SOURCE!$CA650=TRUE,DONNEES_SOURCE!$AU650,"")</f>
        <v/>
      </c>
      <c r="T650" t="str">
        <f>IF(DONNEES_SOURCE!$CA650=TRUE,DONNEES_SOURCE!$BW650,"")</f>
        <v/>
      </c>
      <c r="U650" t="str">
        <f>IF(DONNEES_SOURCE!$CA650=TRUE,IFERROR(MATCH(DONNEES_SOURCE!$B650,{"2. Très rarement (Moins d'une fois par mois)","3. Rarement (1 à 3 fois par mois)","4. Parfois (Environ une fois par semaine)","5. Régulièrement (Plusieurs fois par semaine)","6. Quotidiennement (Une fois par jour)","7. Très fréquemment (Plusieurs fois par jour)"},0)+1,""),"")</f>
        <v/>
      </c>
    </row>
    <row r="651" spans="16:21" x14ac:dyDescent="0.25">
      <c r="P651" t="str">
        <f>IF(DONNEES_SOURCE!$CA651=TRUE,DONNEES_SOURCE!$BV651,"")</f>
        <v/>
      </c>
      <c r="Q651" t="str">
        <f>IF(DONNEES_SOURCE!$CA651=TRUE,IFERROR(MATCH(DONNEES_SOURCE!$B651,{"2. Très rarement (Moins d'une fois par mois)","3. Rarement (1 à 3 fois par mois)","4. Parfois (Environ une fois par semaine)","5. Régulièrement (Plusieurs fois par semaine)","6. Quotidiennement (Une fois par jour)","7. Très fréquemment (Plusieurs fois par jour)"},0)+1,""),"")</f>
        <v/>
      </c>
      <c r="R651" t="str">
        <f>IF(DONNEES_SOURCE!$CA651=TRUE,DONNEES_SOURCE!$BW651,"")</f>
        <v/>
      </c>
      <c r="S651" t="str">
        <f>IF(DONNEES_SOURCE!$CA651=TRUE,DONNEES_SOURCE!$AU651,"")</f>
        <v/>
      </c>
      <c r="T651" t="str">
        <f>IF(DONNEES_SOURCE!$CA651=TRUE,DONNEES_SOURCE!$BW651,"")</f>
        <v/>
      </c>
      <c r="U651" t="str">
        <f>IF(DONNEES_SOURCE!$CA651=TRUE,IFERROR(MATCH(DONNEES_SOURCE!$B651,{"2. Très rarement (Moins d'une fois par mois)","3. Rarement (1 à 3 fois par mois)","4. Parfois (Environ une fois par semaine)","5. Régulièrement (Plusieurs fois par semaine)","6. Quotidiennement (Une fois par jour)","7. Très fréquemment (Plusieurs fois par jour)"},0)+1,""),"")</f>
        <v/>
      </c>
    </row>
    <row r="652" spans="16:21" x14ac:dyDescent="0.25">
      <c r="P652" t="str">
        <f>IF(DONNEES_SOURCE!$CA652=TRUE,DONNEES_SOURCE!$BV652,"")</f>
        <v/>
      </c>
      <c r="Q652" t="str">
        <f>IF(DONNEES_SOURCE!$CA652=TRUE,IFERROR(MATCH(DONNEES_SOURCE!$B652,{"2. Très rarement (Moins d'une fois par mois)","3. Rarement (1 à 3 fois par mois)","4. Parfois (Environ une fois par semaine)","5. Régulièrement (Plusieurs fois par semaine)","6. Quotidiennement (Une fois par jour)","7. Très fréquemment (Plusieurs fois par jour)"},0)+1,""),"")</f>
        <v/>
      </c>
      <c r="R652" t="str">
        <f>IF(DONNEES_SOURCE!$CA652=TRUE,DONNEES_SOURCE!$BW652,"")</f>
        <v/>
      </c>
      <c r="S652" t="str">
        <f>IF(DONNEES_SOURCE!$CA652=TRUE,DONNEES_SOURCE!$AU652,"")</f>
        <v/>
      </c>
      <c r="T652" t="str">
        <f>IF(DONNEES_SOURCE!$CA652=TRUE,DONNEES_SOURCE!$BW652,"")</f>
        <v/>
      </c>
      <c r="U652" t="str">
        <f>IF(DONNEES_SOURCE!$CA652=TRUE,IFERROR(MATCH(DONNEES_SOURCE!$B652,{"2. Très rarement (Moins d'une fois par mois)","3. Rarement (1 à 3 fois par mois)","4. Parfois (Environ une fois par semaine)","5. Régulièrement (Plusieurs fois par semaine)","6. Quotidiennement (Une fois par jour)","7. Très fréquemment (Plusieurs fois par jour)"},0)+1,""),"")</f>
        <v/>
      </c>
    </row>
    <row r="653" spans="16:21" x14ac:dyDescent="0.25">
      <c r="P653" t="str">
        <f>IF(DONNEES_SOURCE!$CA653=TRUE,DONNEES_SOURCE!$BV653,"")</f>
        <v/>
      </c>
      <c r="Q653" t="str">
        <f>IF(DONNEES_SOURCE!$CA653=TRUE,IFERROR(MATCH(DONNEES_SOURCE!$B653,{"2. Très rarement (Moins d'une fois par mois)","3. Rarement (1 à 3 fois par mois)","4. Parfois (Environ une fois par semaine)","5. Régulièrement (Plusieurs fois par semaine)","6. Quotidiennement (Une fois par jour)","7. Très fréquemment (Plusieurs fois par jour)"},0)+1,""),"")</f>
        <v/>
      </c>
      <c r="R653" t="str">
        <f>IF(DONNEES_SOURCE!$CA653=TRUE,DONNEES_SOURCE!$BW653,"")</f>
        <v/>
      </c>
      <c r="S653" t="str">
        <f>IF(DONNEES_SOURCE!$CA653=TRUE,DONNEES_SOURCE!$AU653,"")</f>
        <v/>
      </c>
      <c r="T653" t="str">
        <f>IF(DONNEES_SOURCE!$CA653=TRUE,DONNEES_SOURCE!$BW653,"")</f>
        <v/>
      </c>
      <c r="U653" t="str">
        <f>IF(DONNEES_SOURCE!$CA653=TRUE,IFERROR(MATCH(DONNEES_SOURCE!$B653,{"2. Très rarement (Moins d'une fois par mois)","3. Rarement (1 à 3 fois par mois)","4. Parfois (Environ une fois par semaine)","5. Régulièrement (Plusieurs fois par semaine)","6. Quotidiennement (Une fois par jour)","7. Très fréquemment (Plusieurs fois par jour)"},0)+1,""),"")</f>
        <v/>
      </c>
    </row>
    <row r="654" spans="16:21" x14ac:dyDescent="0.25">
      <c r="P654" t="str">
        <f>IF(DONNEES_SOURCE!$CA654=TRUE,DONNEES_SOURCE!$BV654,"")</f>
        <v/>
      </c>
      <c r="Q654" t="str">
        <f>IF(DONNEES_SOURCE!$CA654=TRUE,IFERROR(MATCH(DONNEES_SOURCE!$B654,{"2. Très rarement (Moins d'une fois par mois)","3. Rarement (1 à 3 fois par mois)","4. Parfois (Environ une fois par semaine)","5. Régulièrement (Plusieurs fois par semaine)","6. Quotidiennement (Une fois par jour)","7. Très fréquemment (Plusieurs fois par jour)"},0)+1,""),"")</f>
        <v/>
      </c>
      <c r="R654" t="str">
        <f>IF(DONNEES_SOURCE!$CA654=TRUE,DONNEES_SOURCE!$BW654,"")</f>
        <v/>
      </c>
      <c r="S654" t="str">
        <f>IF(DONNEES_SOURCE!$CA654=TRUE,DONNEES_SOURCE!$AU654,"")</f>
        <v/>
      </c>
      <c r="T654" t="str">
        <f>IF(DONNEES_SOURCE!$CA654=TRUE,DONNEES_SOURCE!$BW654,"")</f>
        <v/>
      </c>
      <c r="U654" t="str">
        <f>IF(DONNEES_SOURCE!$CA654=TRUE,IFERROR(MATCH(DONNEES_SOURCE!$B654,{"2. Très rarement (Moins d'une fois par mois)","3. Rarement (1 à 3 fois par mois)","4. Parfois (Environ une fois par semaine)","5. Régulièrement (Plusieurs fois par semaine)","6. Quotidiennement (Une fois par jour)","7. Très fréquemment (Plusieurs fois par jour)"},0)+1,""),"")</f>
        <v/>
      </c>
    </row>
    <row r="655" spans="16:21" x14ac:dyDescent="0.25">
      <c r="P655" t="str">
        <f>IF(DONNEES_SOURCE!$CA655=TRUE,DONNEES_SOURCE!$BV655,"")</f>
        <v/>
      </c>
      <c r="Q655" t="str">
        <f>IF(DONNEES_SOURCE!$CA655=TRUE,IFERROR(MATCH(DONNEES_SOURCE!$B655,{"2. Très rarement (Moins d'une fois par mois)","3. Rarement (1 à 3 fois par mois)","4. Parfois (Environ une fois par semaine)","5. Régulièrement (Plusieurs fois par semaine)","6. Quotidiennement (Une fois par jour)","7. Très fréquemment (Plusieurs fois par jour)"},0)+1,""),"")</f>
        <v/>
      </c>
      <c r="R655" t="str">
        <f>IF(DONNEES_SOURCE!$CA655=TRUE,DONNEES_SOURCE!$BW655,"")</f>
        <v/>
      </c>
      <c r="S655" t="str">
        <f>IF(DONNEES_SOURCE!$CA655=TRUE,DONNEES_SOURCE!$AU655,"")</f>
        <v/>
      </c>
      <c r="T655" t="str">
        <f>IF(DONNEES_SOURCE!$CA655=TRUE,DONNEES_SOURCE!$BW655,"")</f>
        <v/>
      </c>
      <c r="U655" t="str">
        <f>IF(DONNEES_SOURCE!$CA655=TRUE,IFERROR(MATCH(DONNEES_SOURCE!$B655,{"2. Très rarement (Moins d'une fois par mois)","3. Rarement (1 à 3 fois par mois)","4. Parfois (Environ une fois par semaine)","5. Régulièrement (Plusieurs fois par semaine)","6. Quotidiennement (Une fois par jour)","7. Très fréquemment (Plusieurs fois par jour)"},0)+1,""),"")</f>
        <v/>
      </c>
    </row>
    <row r="656" spans="16:21" x14ac:dyDescent="0.25">
      <c r="P656" t="str">
        <f>IF(DONNEES_SOURCE!$CA656=TRUE,DONNEES_SOURCE!$BV656,"")</f>
        <v/>
      </c>
      <c r="Q656" t="str">
        <f>IF(DONNEES_SOURCE!$CA656=TRUE,IFERROR(MATCH(DONNEES_SOURCE!$B656,{"2. Très rarement (Moins d'une fois par mois)","3. Rarement (1 à 3 fois par mois)","4. Parfois (Environ une fois par semaine)","5. Régulièrement (Plusieurs fois par semaine)","6. Quotidiennement (Une fois par jour)","7. Très fréquemment (Plusieurs fois par jour)"},0)+1,""),"")</f>
        <v/>
      </c>
      <c r="R656" t="str">
        <f>IF(DONNEES_SOURCE!$CA656=TRUE,DONNEES_SOURCE!$BW656,"")</f>
        <v/>
      </c>
      <c r="S656" t="str">
        <f>IF(DONNEES_SOURCE!$CA656=TRUE,DONNEES_SOURCE!$AU656,"")</f>
        <v/>
      </c>
      <c r="T656" t="str">
        <f>IF(DONNEES_SOURCE!$CA656=TRUE,DONNEES_SOURCE!$BW656,"")</f>
        <v/>
      </c>
      <c r="U656" t="str">
        <f>IF(DONNEES_SOURCE!$CA656=TRUE,IFERROR(MATCH(DONNEES_SOURCE!$B656,{"2. Très rarement (Moins d'une fois par mois)","3. Rarement (1 à 3 fois par mois)","4. Parfois (Environ une fois par semaine)","5. Régulièrement (Plusieurs fois par semaine)","6. Quotidiennement (Une fois par jour)","7. Très fréquemment (Plusieurs fois par jour)"},0)+1,""),"")</f>
        <v/>
      </c>
    </row>
    <row r="657" spans="16:21" x14ac:dyDescent="0.25">
      <c r="P657" t="str">
        <f>IF(DONNEES_SOURCE!$CA657=TRUE,DONNEES_SOURCE!$BV657,"")</f>
        <v/>
      </c>
      <c r="Q657" t="str">
        <f>IF(DONNEES_SOURCE!$CA657=TRUE,IFERROR(MATCH(DONNEES_SOURCE!$B657,{"2. Très rarement (Moins d'une fois par mois)","3. Rarement (1 à 3 fois par mois)","4. Parfois (Environ une fois par semaine)","5. Régulièrement (Plusieurs fois par semaine)","6. Quotidiennement (Une fois par jour)","7. Très fréquemment (Plusieurs fois par jour)"},0)+1,""),"")</f>
        <v/>
      </c>
      <c r="R657" t="str">
        <f>IF(DONNEES_SOURCE!$CA657=TRUE,DONNEES_SOURCE!$BW657,"")</f>
        <v/>
      </c>
      <c r="S657" t="str">
        <f>IF(DONNEES_SOURCE!$CA657=TRUE,DONNEES_SOURCE!$AU657,"")</f>
        <v/>
      </c>
      <c r="T657" t="str">
        <f>IF(DONNEES_SOURCE!$CA657=TRUE,DONNEES_SOURCE!$BW657,"")</f>
        <v/>
      </c>
      <c r="U657" t="str">
        <f>IF(DONNEES_SOURCE!$CA657=TRUE,IFERROR(MATCH(DONNEES_SOURCE!$B657,{"2. Très rarement (Moins d'une fois par mois)","3. Rarement (1 à 3 fois par mois)","4. Parfois (Environ une fois par semaine)","5. Régulièrement (Plusieurs fois par semaine)","6. Quotidiennement (Une fois par jour)","7. Très fréquemment (Plusieurs fois par jour)"},0)+1,""),"")</f>
        <v/>
      </c>
    </row>
    <row r="658" spans="16:21" x14ac:dyDescent="0.25">
      <c r="P658" t="str">
        <f>IF(DONNEES_SOURCE!$CA658=TRUE,DONNEES_SOURCE!$BV658,"")</f>
        <v/>
      </c>
      <c r="Q658" t="str">
        <f>IF(DONNEES_SOURCE!$CA658=TRUE,IFERROR(MATCH(DONNEES_SOURCE!$B658,{"2. Très rarement (Moins d'une fois par mois)","3. Rarement (1 à 3 fois par mois)","4. Parfois (Environ une fois par semaine)","5. Régulièrement (Plusieurs fois par semaine)","6. Quotidiennement (Une fois par jour)","7. Très fréquemment (Plusieurs fois par jour)"},0)+1,""),"")</f>
        <v/>
      </c>
      <c r="R658" t="str">
        <f>IF(DONNEES_SOURCE!$CA658=TRUE,DONNEES_SOURCE!$BW658,"")</f>
        <v/>
      </c>
      <c r="S658" t="str">
        <f>IF(DONNEES_SOURCE!$CA658=TRUE,DONNEES_SOURCE!$AU658,"")</f>
        <v/>
      </c>
      <c r="T658" t="str">
        <f>IF(DONNEES_SOURCE!$CA658=TRUE,DONNEES_SOURCE!$BW658,"")</f>
        <v/>
      </c>
      <c r="U658" t="str">
        <f>IF(DONNEES_SOURCE!$CA658=TRUE,IFERROR(MATCH(DONNEES_SOURCE!$B658,{"2. Très rarement (Moins d'une fois par mois)","3. Rarement (1 à 3 fois par mois)","4. Parfois (Environ une fois par semaine)","5. Régulièrement (Plusieurs fois par semaine)","6. Quotidiennement (Une fois par jour)","7. Très fréquemment (Plusieurs fois par jour)"},0)+1,""),"")</f>
        <v/>
      </c>
    </row>
    <row r="659" spans="16:21" x14ac:dyDescent="0.25">
      <c r="P659" t="str">
        <f>IF(DONNEES_SOURCE!$CA659=TRUE,DONNEES_SOURCE!$BV659,"")</f>
        <v/>
      </c>
      <c r="Q659" t="str">
        <f>IF(DONNEES_SOURCE!$CA659=TRUE,IFERROR(MATCH(DONNEES_SOURCE!$B659,{"2. Très rarement (Moins d'une fois par mois)","3. Rarement (1 à 3 fois par mois)","4. Parfois (Environ une fois par semaine)","5. Régulièrement (Plusieurs fois par semaine)","6. Quotidiennement (Une fois par jour)","7. Très fréquemment (Plusieurs fois par jour)"},0)+1,""),"")</f>
        <v/>
      </c>
      <c r="R659" t="str">
        <f>IF(DONNEES_SOURCE!$CA659=TRUE,DONNEES_SOURCE!$BW659,"")</f>
        <v/>
      </c>
      <c r="S659" t="str">
        <f>IF(DONNEES_SOURCE!$CA659=TRUE,DONNEES_SOURCE!$AU659,"")</f>
        <v/>
      </c>
      <c r="T659" t="str">
        <f>IF(DONNEES_SOURCE!$CA659=TRUE,DONNEES_SOURCE!$BW659,"")</f>
        <v/>
      </c>
      <c r="U659" t="str">
        <f>IF(DONNEES_SOURCE!$CA659=TRUE,IFERROR(MATCH(DONNEES_SOURCE!$B659,{"2. Très rarement (Moins d'une fois par mois)","3. Rarement (1 à 3 fois par mois)","4. Parfois (Environ une fois par semaine)","5. Régulièrement (Plusieurs fois par semaine)","6. Quotidiennement (Une fois par jour)","7. Très fréquemment (Plusieurs fois par jour)"},0)+1,""),"")</f>
        <v/>
      </c>
    </row>
    <row r="660" spans="16:21" x14ac:dyDescent="0.25">
      <c r="P660" t="str">
        <f>IF(DONNEES_SOURCE!$CA660=TRUE,DONNEES_SOURCE!$BV660,"")</f>
        <v/>
      </c>
      <c r="Q660" t="str">
        <f>IF(DONNEES_SOURCE!$CA660=TRUE,IFERROR(MATCH(DONNEES_SOURCE!$B660,{"2. Très rarement (Moins d'une fois par mois)","3. Rarement (1 à 3 fois par mois)","4. Parfois (Environ une fois par semaine)","5. Régulièrement (Plusieurs fois par semaine)","6. Quotidiennement (Une fois par jour)","7. Très fréquemment (Plusieurs fois par jour)"},0)+1,""),"")</f>
        <v/>
      </c>
      <c r="R660" t="str">
        <f>IF(DONNEES_SOURCE!$CA660=TRUE,DONNEES_SOURCE!$BW660,"")</f>
        <v/>
      </c>
      <c r="S660" t="str">
        <f>IF(DONNEES_SOURCE!$CA660=TRUE,DONNEES_SOURCE!$AU660,"")</f>
        <v/>
      </c>
      <c r="T660" t="str">
        <f>IF(DONNEES_SOURCE!$CA660=TRUE,DONNEES_SOURCE!$BW660,"")</f>
        <v/>
      </c>
      <c r="U660" t="str">
        <f>IF(DONNEES_SOURCE!$CA660=TRUE,IFERROR(MATCH(DONNEES_SOURCE!$B660,{"2. Très rarement (Moins d'une fois par mois)","3. Rarement (1 à 3 fois par mois)","4. Parfois (Environ une fois par semaine)","5. Régulièrement (Plusieurs fois par semaine)","6. Quotidiennement (Une fois par jour)","7. Très fréquemment (Plusieurs fois par jour)"},0)+1,""),"")</f>
        <v/>
      </c>
    </row>
    <row r="661" spans="16:21" x14ac:dyDescent="0.25">
      <c r="P661" t="str">
        <f>IF(DONNEES_SOURCE!$CA661=TRUE,DONNEES_SOURCE!$BV661,"")</f>
        <v/>
      </c>
      <c r="Q661" t="str">
        <f>IF(DONNEES_SOURCE!$CA661=TRUE,IFERROR(MATCH(DONNEES_SOURCE!$B661,{"2. Très rarement (Moins d'une fois par mois)","3. Rarement (1 à 3 fois par mois)","4. Parfois (Environ une fois par semaine)","5. Régulièrement (Plusieurs fois par semaine)","6. Quotidiennement (Une fois par jour)","7. Très fréquemment (Plusieurs fois par jour)"},0)+1,""),"")</f>
        <v/>
      </c>
      <c r="R661" t="str">
        <f>IF(DONNEES_SOURCE!$CA661=TRUE,DONNEES_SOURCE!$BW661,"")</f>
        <v/>
      </c>
      <c r="S661" t="str">
        <f>IF(DONNEES_SOURCE!$CA661=TRUE,DONNEES_SOURCE!$AU661,"")</f>
        <v/>
      </c>
      <c r="T661" t="str">
        <f>IF(DONNEES_SOURCE!$CA661=TRUE,DONNEES_SOURCE!$BW661,"")</f>
        <v/>
      </c>
      <c r="U661" t="str">
        <f>IF(DONNEES_SOURCE!$CA661=TRUE,IFERROR(MATCH(DONNEES_SOURCE!$B661,{"2. Très rarement (Moins d'une fois par mois)","3. Rarement (1 à 3 fois par mois)","4. Parfois (Environ une fois par semaine)","5. Régulièrement (Plusieurs fois par semaine)","6. Quotidiennement (Une fois par jour)","7. Très fréquemment (Plusieurs fois par jour)"},0)+1,""),"")</f>
        <v/>
      </c>
    </row>
    <row r="662" spans="16:21" x14ac:dyDescent="0.25">
      <c r="P662" t="str">
        <f>IF(DONNEES_SOURCE!$CA662=TRUE,DONNEES_SOURCE!$BV662,"")</f>
        <v/>
      </c>
      <c r="Q662" t="str">
        <f>IF(DONNEES_SOURCE!$CA662=TRUE,IFERROR(MATCH(DONNEES_SOURCE!$B662,{"2. Très rarement (Moins d'une fois par mois)","3. Rarement (1 à 3 fois par mois)","4. Parfois (Environ une fois par semaine)","5. Régulièrement (Plusieurs fois par semaine)","6. Quotidiennement (Une fois par jour)","7. Très fréquemment (Plusieurs fois par jour)"},0)+1,""),"")</f>
        <v/>
      </c>
      <c r="R662" t="str">
        <f>IF(DONNEES_SOURCE!$CA662=TRUE,DONNEES_SOURCE!$BW662,"")</f>
        <v/>
      </c>
      <c r="S662" t="str">
        <f>IF(DONNEES_SOURCE!$CA662=TRUE,DONNEES_SOURCE!$AU662,"")</f>
        <v/>
      </c>
      <c r="T662" t="str">
        <f>IF(DONNEES_SOURCE!$CA662=TRUE,DONNEES_SOURCE!$BW662,"")</f>
        <v/>
      </c>
      <c r="U662" t="str">
        <f>IF(DONNEES_SOURCE!$CA662=TRUE,IFERROR(MATCH(DONNEES_SOURCE!$B662,{"2. Très rarement (Moins d'une fois par mois)","3. Rarement (1 à 3 fois par mois)","4. Parfois (Environ une fois par semaine)","5. Régulièrement (Plusieurs fois par semaine)","6. Quotidiennement (Une fois par jour)","7. Très fréquemment (Plusieurs fois par jour)"},0)+1,""),"")</f>
        <v/>
      </c>
    </row>
    <row r="663" spans="16:21" x14ac:dyDescent="0.25">
      <c r="P663" t="str">
        <f>IF(DONNEES_SOURCE!$CA663=TRUE,DONNEES_SOURCE!$BV663,"")</f>
        <v/>
      </c>
      <c r="Q663" t="str">
        <f>IF(DONNEES_SOURCE!$CA663=TRUE,IFERROR(MATCH(DONNEES_SOURCE!$B663,{"2. Très rarement (Moins d'une fois par mois)","3. Rarement (1 à 3 fois par mois)","4. Parfois (Environ une fois par semaine)","5. Régulièrement (Plusieurs fois par semaine)","6. Quotidiennement (Une fois par jour)","7. Très fréquemment (Plusieurs fois par jour)"},0)+1,""),"")</f>
        <v/>
      </c>
      <c r="R663" t="str">
        <f>IF(DONNEES_SOURCE!$CA663=TRUE,DONNEES_SOURCE!$BW663,"")</f>
        <v/>
      </c>
      <c r="S663" t="str">
        <f>IF(DONNEES_SOURCE!$CA663=TRUE,DONNEES_SOURCE!$AU663,"")</f>
        <v/>
      </c>
      <c r="T663" t="str">
        <f>IF(DONNEES_SOURCE!$CA663=TRUE,DONNEES_SOURCE!$BW663,"")</f>
        <v/>
      </c>
      <c r="U663" t="str">
        <f>IF(DONNEES_SOURCE!$CA663=TRUE,IFERROR(MATCH(DONNEES_SOURCE!$B663,{"2. Très rarement (Moins d'une fois par mois)","3. Rarement (1 à 3 fois par mois)","4. Parfois (Environ une fois par semaine)","5. Régulièrement (Plusieurs fois par semaine)","6. Quotidiennement (Une fois par jour)","7. Très fréquemment (Plusieurs fois par jour)"},0)+1,""),"")</f>
        <v/>
      </c>
    </row>
    <row r="664" spans="16:21" x14ac:dyDescent="0.25">
      <c r="P664" t="str">
        <f>IF(DONNEES_SOURCE!$CA664=TRUE,DONNEES_SOURCE!$BV664,"")</f>
        <v/>
      </c>
      <c r="Q664" t="str">
        <f>IF(DONNEES_SOURCE!$CA664=TRUE,IFERROR(MATCH(DONNEES_SOURCE!$B664,{"2. Très rarement (Moins d'une fois par mois)","3. Rarement (1 à 3 fois par mois)","4. Parfois (Environ une fois par semaine)","5. Régulièrement (Plusieurs fois par semaine)","6. Quotidiennement (Une fois par jour)","7. Très fréquemment (Plusieurs fois par jour)"},0)+1,""),"")</f>
        <v/>
      </c>
      <c r="R664" t="str">
        <f>IF(DONNEES_SOURCE!$CA664=TRUE,DONNEES_SOURCE!$BW664,"")</f>
        <v/>
      </c>
      <c r="S664" t="str">
        <f>IF(DONNEES_SOURCE!$CA664=TRUE,DONNEES_SOURCE!$AU664,"")</f>
        <v/>
      </c>
      <c r="T664" t="str">
        <f>IF(DONNEES_SOURCE!$CA664=TRUE,DONNEES_SOURCE!$BW664,"")</f>
        <v/>
      </c>
      <c r="U664" t="str">
        <f>IF(DONNEES_SOURCE!$CA664=TRUE,IFERROR(MATCH(DONNEES_SOURCE!$B664,{"2. Très rarement (Moins d'une fois par mois)","3. Rarement (1 à 3 fois par mois)","4. Parfois (Environ une fois par semaine)","5. Régulièrement (Plusieurs fois par semaine)","6. Quotidiennement (Une fois par jour)","7. Très fréquemment (Plusieurs fois par jour)"},0)+1,""),"")</f>
        <v/>
      </c>
    </row>
    <row r="665" spans="16:21" x14ac:dyDescent="0.25">
      <c r="P665" t="str">
        <f>IF(DONNEES_SOURCE!$CA665=TRUE,DONNEES_SOURCE!$BV665,"")</f>
        <v/>
      </c>
      <c r="Q665" t="str">
        <f>IF(DONNEES_SOURCE!$CA665=TRUE,IFERROR(MATCH(DONNEES_SOURCE!$B665,{"2. Très rarement (Moins d'une fois par mois)","3. Rarement (1 à 3 fois par mois)","4. Parfois (Environ une fois par semaine)","5. Régulièrement (Plusieurs fois par semaine)","6. Quotidiennement (Une fois par jour)","7. Très fréquemment (Plusieurs fois par jour)"},0)+1,""),"")</f>
        <v/>
      </c>
      <c r="R665" t="str">
        <f>IF(DONNEES_SOURCE!$CA665=TRUE,DONNEES_SOURCE!$BW665,"")</f>
        <v/>
      </c>
      <c r="S665" t="str">
        <f>IF(DONNEES_SOURCE!$CA665=TRUE,DONNEES_SOURCE!$AU665,"")</f>
        <v/>
      </c>
      <c r="T665" t="str">
        <f>IF(DONNEES_SOURCE!$CA665=TRUE,DONNEES_SOURCE!$BW665,"")</f>
        <v/>
      </c>
      <c r="U665" t="str">
        <f>IF(DONNEES_SOURCE!$CA665=TRUE,IFERROR(MATCH(DONNEES_SOURCE!$B665,{"2. Très rarement (Moins d'une fois par mois)","3. Rarement (1 à 3 fois par mois)","4. Parfois (Environ une fois par semaine)","5. Régulièrement (Plusieurs fois par semaine)","6. Quotidiennement (Une fois par jour)","7. Très fréquemment (Plusieurs fois par jour)"},0)+1,""),"")</f>
        <v/>
      </c>
    </row>
    <row r="666" spans="16:21" x14ac:dyDescent="0.25">
      <c r="P666" t="str">
        <f>IF(DONNEES_SOURCE!$CA666=TRUE,DONNEES_SOURCE!$BV666,"")</f>
        <v/>
      </c>
      <c r="Q666" t="str">
        <f>IF(DONNEES_SOURCE!$CA666=TRUE,IFERROR(MATCH(DONNEES_SOURCE!$B666,{"2. Très rarement (Moins d'une fois par mois)","3. Rarement (1 à 3 fois par mois)","4. Parfois (Environ une fois par semaine)","5. Régulièrement (Plusieurs fois par semaine)","6. Quotidiennement (Une fois par jour)","7. Très fréquemment (Plusieurs fois par jour)"},0)+1,""),"")</f>
        <v/>
      </c>
      <c r="R666" t="str">
        <f>IF(DONNEES_SOURCE!$CA666=TRUE,DONNEES_SOURCE!$BW666,"")</f>
        <v/>
      </c>
      <c r="S666" t="str">
        <f>IF(DONNEES_SOURCE!$CA666=TRUE,DONNEES_SOURCE!$AU666,"")</f>
        <v/>
      </c>
      <c r="T666" t="str">
        <f>IF(DONNEES_SOURCE!$CA666=TRUE,DONNEES_SOURCE!$BW666,"")</f>
        <v/>
      </c>
      <c r="U666" t="str">
        <f>IF(DONNEES_SOURCE!$CA666=TRUE,IFERROR(MATCH(DONNEES_SOURCE!$B666,{"2. Très rarement (Moins d'une fois par mois)","3. Rarement (1 à 3 fois par mois)","4. Parfois (Environ une fois par semaine)","5. Régulièrement (Plusieurs fois par semaine)","6. Quotidiennement (Une fois par jour)","7. Très fréquemment (Plusieurs fois par jour)"},0)+1,""),"")</f>
        <v/>
      </c>
    </row>
    <row r="667" spans="16:21" x14ac:dyDescent="0.25">
      <c r="P667" t="str">
        <f>IF(DONNEES_SOURCE!$CA667=TRUE,DONNEES_SOURCE!$BV667,"")</f>
        <v/>
      </c>
      <c r="Q667" t="str">
        <f>IF(DONNEES_SOURCE!$CA667=TRUE,IFERROR(MATCH(DONNEES_SOURCE!$B667,{"2. Très rarement (Moins d'une fois par mois)","3. Rarement (1 à 3 fois par mois)","4. Parfois (Environ une fois par semaine)","5. Régulièrement (Plusieurs fois par semaine)","6. Quotidiennement (Une fois par jour)","7. Très fréquemment (Plusieurs fois par jour)"},0)+1,""),"")</f>
        <v/>
      </c>
      <c r="R667" t="str">
        <f>IF(DONNEES_SOURCE!$CA667=TRUE,DONNEES_SOURCE!$BW667,"")</f>
        <v/>
      </c>
      <c r="S667" t="str">
        <f>IF(DONNEES_SOURCE!$CA667=TRUE,DONNEES_SOURCE!$AU667,"")</f>
        <v/>
      </c>
      <c r="T667" t="str">
        <f>IF(DONNEES_SOURCE!$CA667=TRUE,DONNEES_SOURCE!$BW667,"")</f>
        <v/>
      </c>
      <c r="U667" t="str">
        <f>IF(DONNEES_SOURCE!$CA667=TRUE,IFERROR(MATCH(DONNEES_SOURCE!$B667,{"2. Très rarement (Moins d'une fois par mois)","3. Rarement (1 à 3 fois par mois)","4. Parfois (Environ une fois par semaine)","5. Régulièrement (Plusieurs fois par semaine)","6. Quotidiennement (Une fois par jour)","7. Très fréquemment (Plusieurs fois par jour)"},0)+1,""),"")</f>
        <v/>
      </c>
    </row>
    <row r="668" spans="16:21" x14ac:dyDescent="0.25">
      <c r="P668" t="str">
        <f>IF(DONNEES_SOURCE!$CA668=TRUE,DONNEES_SOURCE!$BV668,"")</f>
        <v/>
      </c>
      <c r="Q668" t="str">
        <f>IF(DONNEES_SOURCE!$CA668=TRUE,IFERROR(MATCH(DONNEES_SOURCE!$B668,{"2. Très rarement (Moins d'une fois par mois)","3. Rarement (1 à 3 fois par mois)","4. Parfois (Environ une fois par semaine)","5. Régulièrement (Plusieurs fois par semaine)","6. Quotidiennement (Une fois par jour)","7. Très fréquemment (Plusieurs fois par jour)"},0)+1,""),"")</f>
        <v/>
      </c>
      <c r="R668" t="str">
        <f>IF(DONNEES_SOURCE!$CA668=TRUE,DONNEES_SOURCE!$BW668,"")</f>
        <v/>
      </c>
      <c r="S668" t="str">
        <f>IF(DONNEES_SOURCE!$CA668=TRUE,DONNEES_SOURCE!$AU668,"")</f>
        <v/>
      </c>
      <c r="T668" t="str">
        <f>IF(DONNEES_SOURCE!$CA668=TRUE,DONNEES_SOURCE!$BW668,"")</f>
        <v/>
      </c>
      <c r="U668" t="str">
        <f>IF(DONNEES_SOURCE!$CA668=TRUE,IFERROR(MATCH(DONNEES_SOURCE!$B668,{"2. Très rarement (Moins d'une fois par mois)","3. Rarement (1 à 3 fois par mois)","4. Parfois (Environ une fois par semaine)","5. Régulièrement (Plusieurs fois par semaine)","6. Quotidiennement (Une fois par jour)","7. Très fréquemment (Plusieurs fois par jour)"},0)+1,""),"")</f>
        <v/>
      </c>
    </row>
    <row r="669" spans="16:21" x14ac:dyDescent="0.25">
      <c r="P669" t="str">
        <f>IF(DONNEES_SOURCE!$CA669=TRUE,DONNEES_SOURCE!$BV669,"")</f>
        <v/>
      </c>
      <c r="Q669" t="str">
        <f>IF(DONNEES_SOURCE!$CA669=TRUE,IFERROR(MATCH(DONNEES_SOURCE!$B669,{"2. Très rarement (Moins d'une fois par mois)","3. Rarement (1 à 3 fois par mois)","4. Parfois (Environ une fois par semaine)","5. Régulièrement (Plusieurs fois par semaine)","6. Quotidiennement (Une fois par jour)","7. Très fréquemment (Plusieurs fois par jour)"},0)+1,""),"")</f>
        <v/>
      </c>
      <c r="R669" t="str">
        <f>IF(DONNEES_SOURCE!$CA669=TRUE,DONNEES_SOURCE!$BW669,"")</f>
        <v/>
      </c>
      <c r="S669" t="str">
        <f>IF(DONNEES_SOURCE!$CA669=TRUE,DONNEES_SOURCE!$AU669,"")</f>
        <v/>
      </c>
      <c r="T669" t="str">
        <f>IF(DONNEES_SOURCE!$CA669=TRUE,DONNEES_SOURCE!$BW669,"")</f>
        <v/>
      </c>
      <c r="U669" t="str">
        <f>IF(DONNEES_SOURCE!$CA669=TRUE,IFERROR(MATCH(DONNEES_SOURCE!$B669,{"2. Très rarement (Moins d'une fois par mois)","3. Rarement (1 à 3 fois par mois)","4. Parfois (Environ une fois par semaine)","5. Régulièrement (Plusieurs fois par semaine)","6. Quotidiennement (Une fois par jour)","7. Très fréquemment (Plusieurs fois par jour)"},0)+1,""),"")</f>
        <v/>
      </c>
    </row>
    <row r="670" spans="16:21" x14ac:dyDescent="0.25">
      <c r="P670" t="str">
        <f>IF(DONNEES_SOURCE!$CA670=TRUE,DONNEES_SOURCE!$BV670,"")</f>
        <v/>
      </c>
      <c r="Q670" t="str">
        <f>IF(DONNEES_SOURCE!$CA670=TRUE,IFERROR(MATCH(DONNEES_SOURCE!$B670,{"2. Très rarement (Moins d'une fois par mois)","3. Rarement (1 à 3 fois par mois)","4. Parfois (Environ une fois par semaine)","5. Régulièrement (Plusieurs fois par semaine)","6. Quotidiennement (Une fois par jour)","7. Très fréquemment (Plusieurs fois par jour)"},0)+1,""),"")</f>
        <v/>
      </c>
      <c r="R670" t="str">
        <f>IF(DONNEES_SOURCE!$CA670=TRUE,DONNEES_SOURCE!$BW670,"")</f>
        <v/>
      </c>
      <c r="S670" t="str">
        <f>IF(DONNEES_SOURCE!$CA670=TRUE,DONNEES_SOURCE!$AU670,"")</f>
        <v/>
      </c>
      <c r="T670" t="str">
        <f>IF(DONNEES_SOURCE!$CA670=TRUE,DONNEES_SOURCE!$BW670,"")</f>
        <v/>
      </c>
      <c r="U670" t="str">
        <f>IF(DONNEES_SOURCE!$CA670=TRUE,IFERROR(MATCH(DONNEES_SOURCE!$B670,{"2. Très rarement (Moins d'une fois par mois)","3. Rarement (1 à 3 fois par mois)","4. Parfois (Environ une fois par semaine)","5. Régulièrement (Plusieurs fois par semaine)","6. Quotidiennement (Une fois par jour)","7. Très fréquemment (Plusieurs fois par jour)"},0)+1,""),"")</f>
        <v/>
      </c>
    </row>
    <row r="671" spans="16:21" x14ac:dyDescent="0.25">
      <c r="P671" t="str">
        <f>IF(DONNEES_SOURCE!$CA671=TRUE,DONNEES_SOURCE!$BV671,"")</f>
        <v/>
      </c>
      <c r="Q671" t="str">
        <f>IF(DONNEES_SOURCE!$CA671=TRUE,IFERROR(MATCH(DONNEES_SOURCE!$B671,{"2. Très rarement (Moins d'une fois par mois)","3. Rarement (1 à 3 fois par mois)","4. Parfois (Environ une fois par semaine)","5. Régulièrement (Plusieurs fois par semaine)","6. Quotidiennement (Une fois par jour)","7. Très fréquemment (Plusieurs fois par jour)"},0)+1,""),"")</f>
        <v/>
      </c>
      <c r="R671" t="str">
        <f>IF(DONNEES_SOURCE!$CA671=TRUE,DONNEES_SOURCE!$BW671,"")</f>
        <v/>
      </c>
      <c r="S671" t="str">
        <f>IF(DONNEES_SOURCE!$CA671=TRUE,DONNEES_SOURCE!$AU671,"")</f>
        <v/>
      </c>
      <c r="T671" t="str">
        <f>IF(DONNEES_SOURCE!$CA671=TRUE,DONNEES_SOURCE!$BW671,"")</f>
        <v/>
      </c>
      <c r="U671" t="str">
        <f>IF(DONNEES_SOURCE!$CA671=TRUE,IFERROR(MATCH(DONNEES_SOURCE!$B671,{"2. Très rarement (Moins d'une fois par mois)","3. Rarement (1 à 3 fois par mois)","4. Parfois (Environ une fois par semaine)","5. Régulièrement (Plusieurs fois par semaine)","6. Quotidiennement (Une fois par jour)","7. Très fréquemment (Plusieurs fois par jour)"},0)+1,""),"")</f>
        <v/>
      </c>
    </row>
    <row r="672" spans="16:21" x14ac:dyDescent="0.25">
      <c r="P672" t="str">
        <f>IF(DONNEES_SOURCE!$CA672=TRUE,DONNEES_SOURCE!$BV672,"")</f>
        <v/>
      </c>
      <c r="Q672" t="str">
        <f>IF(DONNEES_SOURCE!$CA672=TRUE,IFERROR(MATCH(DONNEES_SOURCE!$B672,{"2. Très rarement (Moins d'une fois par mois)","3. Rarement (1 à 3 fois par mois)","4. Parfois (Environ une fois par semaine)","5. Régulièrement (Plusieurs fois par semaine)","6. Quotidiennement (Une fois par jour)","7. Très fréquemment (Plusieurs fois par jour)"},0)+1,""),"")</f>
        <v/>
      </c>
      <c r="R672" t="str">
        <f>IF(DONNEES_SOURCE!$CA672=TRUE,DONNEES_SOURCE!$BW672,"")</f>
        <v/>
      </c>
      <c r="S672" t="str">
        <f>IF(DONNEES_SOURCE!$CA672=TRUE,DONNEES_SOURCE!$AU672,"")</f>
        <v/>
      </c>
      <c r="T672" t="str">
        <f>IF(DONNEES_SOURCE!$CA672=TRUE,DONNEES_SOURCE!$BW672,"")</f>
        <v/>
      </c>
      <c r="U672" t="str">
        <f>IF(DONNEES_SOURCE!$CA672=TRUE,IFERROR(MATCH(DONNEES_SOURCE!$B672,{"2. Très rarement (Moins d'une fois par mois)","3. Rarement (1 à 3 fois par mois)","4. Parfois (Environ une fois par semaine)","5. Régulièrement (Plusieurs fois par semaine)","6. Quotidiennement (Une fois par jour)","7. Très fréquemment (Plusieurs fois par jour)"},0)+1,""),"")</f>
        <v/>
      </c>
    </row>
    <row r="673" spans="16:21" x14ac:dyDescent="0.25">
      <c r="P673" t="str">
        <f>IF(DONNEES_SOURCE!$CA673=TRUE,DONNEES_SOURCE!$BV673,"")</f>
        <v/>
      </c>
      <c r="Q673" t="str">
        <f>IF(DONNEES_SOURCE!$CA673=TRUE,IFERROR(MATCH(DONNEES_SOURCE!$B673,{"2. Très rarement (Moins d'une fois par mois)","3. Rarement (1 à 3 fois par mois)","4. Parfois (Environ une fois par semaine)","5. Régulièrement (Plusieurs fois par semaine)","6. Quotidiennement (Une fois par jour)","7. Très fréquemment (Plusieurs fois par jour)"},0)+1,""),"")</f>
        <v/>
      </c>
      <c r="R673" t="str">
        <f>IF(DONNEES_SOURCE!$CA673=TRUE,DONNEES_SOURCE!$BW673,"")</f>
        <v/>
      </c>
      <c r="S673" t="str">
        <f>IF(DONNEES_SOURCE!$CA673=TRUE,DONNEES_SOURCE!$AU673,"")</f>
        <v/>
      </c>
      <c r="T673" t="str">
        <f>IF(DONNEES_SOURCE!$CA673=TRUE,DONNEES_SOURCE!$BW673,"")</f>
        <v/>
      </c>
      <c r="U673" t="str">
        <f>IF(DONNEES_SOURCE!$CA673=TRUE,IFERROR(MATCH(DONNEES_SOURCE!$B673,{"2. Très rarement (Moins d'une fois par mois)","3. Rarement (1 à 3 fois par mois)","4. Parfois (Environ une fois par semaine)","5. Régulièrement (Plusieurs fois par semaine)","6. Quotidiennement (Une fois par jour)","7. Très fréquemment (Plusieurs fois par jour)"},0)+1,""),"")</f>
        <v/>
      </c>
    </row>
    <row r="674" spans="16:21" x14ac:dyDescent="0.25">
      <c r="P674" t="str">
        <f>IF(DONNEES_SOURCE!$CA674=TRUE,DONNEES_SOURCE!$BV674,"")</f>
        <v/>
      </c>
      <c r="Q674" t="str">
        <f>IF(DONNEES_SOURCE!$CA674=TRUE,IFERROR(MATCH(DONNEES_SOURCE!$B674,{"2. Très rarement (Moins d'une fois par mois)","3. Rarement (1 à 3 fois par mois)","4. Parfois (Environ une fois par semaine)","5. Régulièrement (Plusieurs fois par semaine)","6. Quotidiennement (Une fois par jour)","7. Très fréquemment (Plusieurs fois par jour)"},0)+1,""),"")</f>
        <v/>
      </c>
      <c r="R674" t="str">
        <f>IF(DONNEES_SOURCE!$CA674=TRUE,DONNEES_SOURCE!$BW674,"")</f>
        <v/>
      </c>
      <c r="S674" t="str">
        <f>IF(DONNEES_SOURCE!$CA674=TRUE,DONNEES_SOURCE!$AU674,"")</f>
        <v/>
      </c>
      <c r="T674" t="str">
        <f>IF(DONNEES_SOURCE!$CA674=TRUE,DONNEES_SOURCE!$BW674,"")</f>
        <v/>
      </c>
      <c r="U674" t="str">
        <f>IF(DONNEES_SOURCE!$CA674=TRUE,IFERROR(MATCH(DONNEES_SOURCE!$B674,{"2. Très rarement (Moins d'une fois par mois)","3. Rarement (1 à 3 fois par mois)","4. Parfois (Environ une fois par semaine)","5. Régulièrement (Plusieurs fois par semaine)","6. Quotidiennement (Une fois par jour)","7. Très fréquemment (Plusieurs fois par jour)"},0)+1,""),"")</f>
        <v/>
      </c>
    </row>
    <row r="675" spans="16:21" x14ac:dyDescent="0.25">
      <c r="P675" t="str">
        <f>IF(DONNEES_SOURCE!$CA675=TRUE,DONNEES_SOURCE!$BV675,"")</f>
        <v/>
      </c>
      <c r="Q675" t="str">
        <f>IF(DONNEES_SOURCE!$CA675=TRUE,IFERROR(MATCH(DONNEES_SOURCE!$B675,{"2. Très rarement (Moins d'une fois par mois)","3. Rarement (1 à 3 fois par mois)","4. Parfois (Environ une fois par semaine)","5. Régulièrement (Plusieurs fois par semaine)","6. Quotidiennement (Une fois par jour)","7. Très fréquemment (Plusieurs fois par jour)"},0)+1,""),"")</f>
        <v/>
      </c>
      <c r="R675" t="str">
        <f>IF(DONNEES_SOURCE!$CA675=TRUE,DONNEES_SOURCE!$BW675,"")</f>
        <v/>
      </c>
      <c r="S675" t="str">
        <f>IF(DONNEES_SOURCE!$CA675=TRUE,DONNEES_SOURCE!$AU675,"")</f>
        <v/>
      </c>
      <c r="T675" t="str">
        <f>IF(DONNEES_SOURCE!$CA675=TRUE,DONNEES_SOURCE!$BW675,"")</f>
        <v/>
      </c>
      <c r="U675" t="str">
        <f>IF(DONNEES_SOURCE!$CA675=TRUE,IFERROR(MATCH(DONNEES_SOURCE!$B675,{"2. Très rarement (Moins d'une fois par mois)","3. Rarement (1 à 3 fois par mois)","4. Parfois (Environ une fois par semaine)","5. Régulièrement (Plusieurs fois par semaine)","6. Quotidiennement (Une fois par jour)","7. Très fréquemment (Plusieurs fois par jour)"},0)+1,""),"")</f>
        <v/>
      </c>
    </row>
    <row r="676" spans="16:21" x14ac:dyDescent="0.25">
      <c r="P676" t="str">
        <f>IF(DONNEES_SOURCE!$CA676=TRUE,DONNEES_SOURCE!$BV676,"")</f>
        <v/>
      </c>
      <c r="Q676" t="str">
        <f>IF(DONNEES_SOURCE!$CA676=TRUE,IFERROR(MATCH(DONNEES_SOURCE!$B676,{"2. Très rarement (Moins d'une fois par mois)","3. Rarement (1 à 3 fois par mois)","4. Parfois (Environ une fois par semaine)","5. Régulièrement (Plusieurs fois par semaine)","6. Quotidiennement (Une fois par jour)","7. Très fréquemment (Plusieurs fois par jour)"},0)+1,""),"")</f>
        <v/>
      </c>
      <c r="R676" t="str">
        <f>IF(DONNEES_SOURCE!$CA676=TRUE,DONNEES_SOURCE!$BW676,"")</f>
        <v/>
      </c>
      <c r="S676" t="str">
        <f>IF(DONNEES_SOURCE!$CA676=TRUE,DONNEES_SOURCE!$AU676,"")</f>
        <v/>
      </c>
      <c r="T676" t="str">
        <f>IF(DONNEES_SOURCE!$CA676=TRUE,DONNEES_SOURCE!$BW676,"")</f>
        <v/>
      </c>
      <c r="U676" t="str">
        <f>IF(DONNEES_SOURCE!$CA676=TRUE,IFERROR(MATCH(DONNEES_SOURCE!$B676,{"2. Très rarement (Moins d'une fois par mois)","3. Rarement (1 à 3 fois par mois)","4. Parfois (Environ une fois par semaine)","5. Régulièrement (Plusieurs fois par semaine)","6. Quotidiennement (Une fois par jour)","7. Très fréquemment (Plusieurs fois par jour)"},0)+1,""),"")</f>
        <v/>
      </c>
    </row>
    <row r="677" spans="16:21" x14ac:dyDescent="0.25">
      <c r="P677" t="str">
        <f>IF(DONNEES_SOURCE!$CA677=TRUE,DONNEES_SOURCE!$BV677,"")</f>
        <v/>
      </c>
      <c r="Q677" t="str">
        <f>IF(DONNEES_SOURCE!$CA677=TRUE,IFERROR(MATCH(DONNEES_SOURCE!$B677,{"2. Très rarement (Moins d'une fois par mois)","3. Rarement (1 à 3 fois par mois)","4. Parfois (Environ une fois par semaine)","5. Régulièrement (Plusieurs fois par semaine)","6. Quotidiennement (Une fois par jour)","7. Très fréquemment (Plusieurs fois par jour)"},0)+1,""),"")</f>
        <v/>
      </c>
      <c r="R677" t="str">
        <f>IF(DONNEES_SOURCE!$CA677=TRUE,DONNEES_SOURCE!$BW677,"")</f>
        <v/>
      </c>
      <c r="S677" t="str">
        <f>IF(DONNEES_SOURCE!$CA677=TRUE,DONNEES_SOURCE!$AU677,"")</f>
        <v/>
      </c>
      <c r="T677" t="str">
        <f>IF(DONNEES_SOURCE!$CA677=TRUE,DONNEES_SOURCE!$BW677,"")</f>
        <v/>
      </c>
      <c r="U677" t="str">
        <f>IF(DONNEES_SOURCE!$CA677=TRUE,IFERROR(MATCH(DONNEES_SOURCE!$B677,{"2. Très rarement (Moins d'une fois par mois)","3. Rarement (1 à 3 fois par mois)","4. Parfois (Environ une fois par semaine)","5. Régulièrement (Plusieurs fois par semaine)","6. Quotidiennement (Une fois par jour)","7. Très fréquemment (Plusieurs fois par jour)"},0)+1,""),"")</f>
        <v/>
      </c>
    </row>
    <row r="678" spans="16:21" x14ac:dyDescent="0.25">
      <c r="P678" t="str">
        <f>IF(DONNEES_SOURCE!$CA678=TRUE,DONNEES_SOURCE!$BV678,"")</f>
        <v/>
      </c>
      <c r="Q678" t="str">
        <f>IF(DONNEES_SOURCE!$CA678=TRUE,IFERROR(MATCH(DONNEES_SOURCE!$B678,{"2. Très rarement (Moins d'une fois par mois)","3. Rarement (1 à 3 fois par mois)","4. Parfois (Environ une fois par semaine)","5. Régulièrement (Plusieurs fois par semaine)","6. Quotidiennement (Une fois par jour)","7. Très fréquemment (Plusieurs fois par jour)"},0)+1,""),"")</f>
        <v/>
      </c>
      <c r="R678" t="str">
        <f>IF(DONNEES_SOURCE!$CA678=TRUE,DONNEES_SOURCE!$BW678,"")</f>
        <v/>
      </c>
      <c r="S678" t="str">
        <f>IF(DONNEES_SOURCE!$CA678=TRUE,DONNEES_SOURCE!$AU678,"")</f>
        <v/>
      </c>
      <c r="T678" t="str">
        <f>IF(DONNEES_SOURCE!$CA678=TRUE,DONNEES_SOURCE!$BW678,"")</f>
        <v/>
      </c>
      <c r="U678" t="str">
        <f>IF(DONNEES_SOURCE!$CA678=TRUE,IFERROR(MATCH(DONNEES_SOURCE!$B678,{"2. Très rarement (Moins d'une fois par mois)","3. Rarement (1 à 3 fois par mois)","4. Parfois (Environ une fois par semaine)","5. Régulièrement (Plusieurs fois par semaine)","6. Quotidiennement (Une fois par jour)","7. Très fréquemment (Plusieurs fois par jour)"},0)+1,""),"")</f>
        <v/>
      </c>
    </row>
    <row r="679" spans="16:21" x14ac:dyDescent="0.25">
      <c r="P679" t="str">
        <f>IF(DONNEES_SOURCE!$CA679=TRUE,DONNEES_SOURCE!$BV679,"")</f>
        <v/>
      </c>
      <c r="Q679" t="str">
        <f>IF(DONNEES_SOURCE!$CA679=TRUE,IFERROR(MATCH(DONNEES_SOURCE!$B679,{"2. Très rarement (Moins d'une fois par mois)","3. Rarement (1 à 3 fois par mois)","4. Parfois (Environ une fois par semaine)","5. Régulièrement (Plusieurs fois par semaine)","6. Quotidiennement (Une fois par jour)","7. Très fréquemment (Plusieurs fois par jour)"},0)+1,""),"")</f>
        <v/>
      </c>
      <c r="R679" t="str">
        <f>IF(DONNEES_SOURCE!$CA679=TRUE,DONNEES_SOURCE!$BW679,"")</f>
        <v/>
      </c>
      <c r="S679" t="str">
        <f>IF(DONNEES_SOURCE!$CA679=TRUE,DONNEES_SOURCE!$AU679,"")</f>
        <v/>
      </c>
      <c r="T679" t="str">
        <f>IF(DONNEES_SOURCE!$CA679=TRUE,DONNEES_SOURCE!$BW679,"")</f>
        <v/>
      </c>
      <c r="U679" t="str">
        <f>IF(DONNEES_SOURCE!$CA679=TRUE,IFERROR(MATCH(DONNEES_SOURCE!$B679,{"2. Très rarement (Moins d'une fois par mois)","3. Rarement (1 à 3 fois par mois)","4. Parfois (Environ une fois par semaine)","5. Régulièrement (Plusieurs fois par semaine)","6. Quotidiennement (Une fois par jour)","7. Très fréquemment (Plusieurs fois par jour)"},0)+1,""),"")</f>
        <v/>
      </c>
    </row>
    <row r="680" spans="16:21" x14ac:dyDescent="0.25">
      <c r="P680" t="str">
        <f>IF(DONNEES_SOURCE!$CA680=TRUE,DONNEES_SOURCE!$BV680,"")</f>
        <v/>
      </c>
      <c r="Q680" t="str">
        <f>IF(DONNEES_SOURCE!$CA680=TRUE,IFERROR(MATCH(DONNEES_SOURCE!$B680,{"2. Très rarement (Moins d'une fois par mois)","3. Rarement (1 à 3 fois par mois)","4. Parfois (Environ une fois par semaine)","5. Régulièrement (Plusieurs fois par semaine)","6. Quotidiennement (Une fois par jour)","7. Très fréquemment (Plusieurs fois par jour)"},0)+1,""),"")</f>
        <v/>
      </c>
      <c r="R680" t="str">
        <f>IF(DONNEES_SOURCE!$CA680=TRUE,DONNEES_SOURCE!$BW680,"")</f>
        <v/>
      </c>
      <c r="S680" t="str">
        <f>IF(DONNEES_SOURCE!$CA680=TRUE,DONNEES_SOURCE!$AU680,"")</f>
        <v/>
      </c>
      <c r="T680" t="str">
        <f>IF(DONNEES_SOURCE!$CA680=TRUE,DONNEES_SOURCE!$BW680,"")</f>
        <v/>
      </c>
      <c r="U680" t="str">
        <f>IF(DONNEES_SOURCE!$CA680=TRUE,IFERROR(MATCH(DONNEES_SOURCE!$B680,{"2. Très rarement (Moins d'une fois par mois)","3. Rarement (1 à 3 fois par mois)","4. Parfois (Environ une fois par semaine)","5. Régulièrement (Plusieurs fois par semaine)","6. Quotidiennement (Une fois par jour)","7. Très fréquemment (Plusieurs fois par jour)"},0)+1,""),"")</f>
        <v/>
      </c>
    </row>
    <row r="681" spans="16:21" x14ac:dyDescent="0.25">
      <c r="P681" t="str">
        <f>IF(DONNEES_SOURCE!$CA681=TRUE,DONNEES_SOURCE!$BV681,"")</f>
        <v/>
      </c>
      <c r="Q681" t="str">
        <f>IF(DONNEES_SOURCE!$CA681=TRUE,IFERROR(MATCH(DONNEES_SOURCE!$B681,{"2. Très rarement (Moins d'une fois par mois)","3. Rarement (1 à 3 fois par mois)","4. Parfois (Environ une fois par semaine)","5. Régulièrement (Plusieurs fois par semaine)","6. Quotidiennement (Une fois par jour)","7. Très fréquemment (Plusieurs fois par jour)"},0)+1,""),"")</f>
        <v/>
      </c>
      <c r="R681" t="str">
        <f>IF(DONNEES_SOURCE!$CA681=TRUE,DONNEES_SOURCE!$BW681,"")</f>
        <v/>
      </c>
      <c r="S681" t="str">
        <f>IF(DONNEES_SOURCE!$CA681=TRUE,DONNEES_SOURCE!$AU681,"")</f>
        <v/>
      </c>
      <c r="T681" t="str">
        <f>IF(DONNEES_SOURCE!$CA681=TRUE,DONNEES_SOURCE!$BW681,"")</f>
        <v/>
      </c>
      <c r="U681" t="str">
        <f>IF(DONNEES_SOURCE!$CA681=TRUE,IFERROR(MATCH(DONNEES_SOURCE!$B681,{"2. Très rarement (Moins d'une fois par mois)","3. Rarement (1 à 3 fois par mois)","4. Parfois (Environ une fois par semaine)","5. Régulièrement (Plusieurs fois par semaine)","6. Quotidiennement (Une fois par jour)","7. Très fréquemment (Plusieurs fois par jour)"},0)+1,""),"")</f>
        <v/>
      </c>
    </row>
    <row r="682" spans="16:21" x14ac:dyDescent="0.25">
      <c r="P682" t="str">
        <f>IF(DONNEES_SOURCE!$CA682=TRUE,DONNEES_SOURCE!$BV682,"")</f>
        <v/>
      </c>
      <c r="Q682" t="str">
        <f>IF(DONNEES_SOURCE!$CA682=TRUE,IFERROR(MATCH(DONNEES_SOURCE!$B682,{"2. Très rarement (Moins d'une fois par mois)","3. Rarement (1 à 3 fois par mois)","4. Parfois (Environ une fois par semaine)","5. Régulièrement (Plusieurs fois par semaine)","6. Quotidiennement (Une fois par jour)","7. Très fréquemment (Plusieurs fois par jour)"},0)+1,""),"")</f>
        <v/>
      </c>
      <c r="R682" t="str">
        <f>IF(DONNEES_SOURCE!$CA682=TRUE,DONNEES_SOURCE!$BW682,"")</f>
        <v/>
      </c>
      <c r="S682" t="str">
        <f>IF(DONNEES_SOURCE!$CA682=TRUE,DONNEES_SOURCE!$AU682,"")</f>
        <v/>
      </c>
      <c r="T682" t="str">
        <f>IF(DONNEES_SOURCE!$CA682=TRUE,DONNEES_SOURCE!$BW682,"")</f>
        <v/>
      </c>
      <c r="U682" t="str">
        <f>IF(DONNEES_SOURCE!$CA682=TRUE,IFERROR(MATCH(DONNEES_SOURCE!$B682,{"2. Très rarement (Moins d'une fois par mois)","3. Rarement (1 à 3 fois par mois)","4. Parfois (Environ une fois par semaine)","5. Régulièrement (Plusieurs fois par semaine)","6. Quotidiennement (Une fois par jour)","7. Très fréquemment (Plusieurs fois par jour)"},0)+1,""),"")</f>
        <v/>
      </c>
    </row>
    <row r="683" spans="16:21" x14ac:dyDescent="0.25">
      <c r="P683" t="str">
        <f>IF(DONNEES_SOURCE!$CA683=TRUE,DONNEES_SOURCE!$BV683,"")</f>
        <v/>
      </c>
      <c r="Q683" t="str">
        <f>IF(DONNEES_SOURCE!$CA683=TRUE,IFERROR(MATCH(DONNEES_SOURCE!$B683,{"2. Très rarement (Moins d'une fois par mois)","3. Rarement (1 à 3 fois par mois)","4. Parfois (Environ une fois par semaine)","5. Régulièrement (Plusieurs fois par semaine)","6. Quotidiennement (Une fois par jour)","7. Très fréquemment (Plusieurs fois par jour)"},0)+1,""),"")</f>
        <v/>
      </c>
      <c r="R683" t="str">
        <f>IF(DONNEES_SOURCE!$CA683=TRUE,DONNEES_SOURCE!$BW683,"")</f>
        <v/>
      </c>
      <c r="S683" t="str">
        <f>IF(DONNEES_SOURCE!$CA683=TRUE,DONNEES_SOURCE!$AU683,"")</f>
        <v/>
      </c>
      <c r="T683" t="str">
        <f>IF(DONNEES_SOURCE!$CA683=TRUE,DONNEES_SOURCE!$BW683,"")</f>
        <v/>
      </c>
      <c r="U683" t="str">
        <f>IF(DONNEES_SOURCE!$CA683=TRUE,IFERROR(MATCH(DONNEES_SOURCE!$B683,{"2. Très rarement (Moins d'une fois par mois)","3. Rarement (1 à 3 fois par mois)","4. Parfois (Environ une fois par semaine)","5. Régulièrement (Plusieurs fois par semaine)","6. Quotidiennement (Une fois par jour)","7. Très fréquemment (Plusieurs fois par jour)"},0)+1,""),"")</f>
        <v/>
      </c>
    </row>
    <row r="684" spans="16:21" x14ac:dyDescent="0.25">
      <c r="P684" t="str">
        <f>IF(DONNEES_SOURCE!$CA684=TRUE,DONNEES_SOURCE!$BV684,"")</f>
        <v/>
      </c>
      <c r="Q684" t="str">
        <f>IF(DONNEES_SOURCE!$CA684=TRUE,IFERROR(MATCH(DONNEES_SOURCE!$B684,{"2. Très rarement (Moins d'une fois par mois)","3. Rarement (1 à 3 fois par mois)","4. Parfois (Environ une fois par semaine)","5. Régulièrement (Plusieurs fois par semaine)","6. Quotidiennement (Une fois par jour)","7. Très fréquemment (Plusieurs fois par jour)"},0)+1,""),"")</f>
        <v/>
      </c>
      <c r="R684" t="str">
        <f>IF(DONNEES_SOURCE!$CA684=TRUE,DONNEES_SOURCE!$BW684,"")</f>
        <v/>
      </c>
      <c r="S684" t="str">
        <f>IF(DONNEES_SOURCE!$CA684=TRUE,DONNEES_SOURCE!$AU684,"")</f>
        <v/>
      </c>
      <c r="T684" t="str">
        <f>IF(DONNEES_SOURCE!$CA684=TRUE,DONNEES_SOURCE!$BW684,"")</f>
        <v/>
      </c>
      <c r="U684" t="str">
        <f>IF(DONNEES_SOURCE!$CA684=TRUE,IFERROR(MATCH(DONNEES_SOURCE!$B684,{"2. Très rarement (Moins d'une fois par mois)","3. Rarement (1 à 3 fois par mois)","4. Parfois (Environ une fois par semaine)","5. Régulièrement (Plusieurs fois par semaine)","6. Quotidiennement (Une fois par jour)","7. Très fréquemment (Plusieurs fois par jour)"},0)+1,""),"")</f>
        <v/>
      </c>
    </row>
    <row r="685" spans="16:21" x14ac:dyDescent="0.25">
      <c r="P685" t="str">
        <f>IF(DONNEES_SOURCE!$CA685=TRUE,DONNEES_SOURCE!$BV685,"")</f>
        <v/>
      </c>
      <c r="Q685" t="str">
        <f>IF(DONNEES_SOURCE!$CA685=TRUE,IFERROR(MATCH(DONNEES_SOURCE!$B685,{"2. Très rarement (Moins d'une fois par mois)","3. Rarement (1 à 3 fois par mois)","4. Parfois (Environ une fois par semaine)","5. Régulièrement (Plusieurs fois par semaine)","6. Quotidiennement (Une fois par jour)","7. Très fréquemment (Plusieurs fois par jour)"},0)+1,""),"")</f>
        <v/>
      </c>
      <c r="R685" t="str">
        <f>IF(DONNEES_SOURCE!$CA685=TRUE,DONNEES_SOURCE!$BW685,"")</f>
        <v/>
      </c>
      <c r="S685" t="str">
        <f>IF(DONNEES_SOURCE!$CA685=TRUE,DONNEES_SOURCE!$AU685,"")</f>
        <v/>
      </c>
      <c r="T685" t="str">
        <f>IF(DONNEES_SOURCE!$CA685=TRUE,DONNEES_SOURCE!$BW685,"")</f>
        <v/>
      </c>
      <c r="U685" t="str">
        <f>IF(DONNEES_SOURCE!$CA685=TRUE,IFERROR(MATCH(DONNEES_SOURCE!$B685,{"2. Très rarement (Moins d'une fois par mois)","3. Rarement (1 à 3 fois par mois)","4. Parfois (Environ une fois par semaine)","5. Régulièrement (Plusieurs fois par semaine)","6. Quotidiennement (Une fois par jour)","7. Très fréquemment (Plusieurs fois par jour)"},0)+1,""),"")</f>
        <v/>
      </c>
    </row>
    <row r="686" spans="16:21" x14ac:dyDescent="0.25">
      <c r="P686" t="str">
        <f>IF(DONNEES_SOURCE!$CA686=TRUE,DONNEES_SOURCE!$BV686,"")</f>
        <v/>
      </c>
      <c r="Q686" t="str">
        <f>IF(DONNEES_SOURCE!$CA686=TRUE,IFERROR(MATCH(DONNEES_SOURCE!$B686,{"2. Très rarement (Moins d'une fois par mois)","3. Rarement (1 à 3 fois par mois)","4. Parfois (Environ une fois par semaine)","5. Régulièrement (Plusieurs fois par semaine)","6. Quotidiennement (Une fois par jour)","7. Très fréquemment (Plusieurs fois par jour)"},0)+1,""),"")</f>
        <v/>
      </c>
      <c r="R686" t="str">
        <f>IF(DONNEES_SOURCE!$CA686=TRUE,DONNEES_SOURCE!$BW686,"")</f>
        <v/>
      </c>
      <c r="S686" t="str">
        <f>IF(DONNEES_SOURCE!$CA686=TRUE,DONNEES_SOURCE!$AU686,"")</f>
        <v/>
      </c>
      <c r="T686" t="str">
        <f>IF(DONNEES_SOURCE!$CA686=TRUE,DONNEES_SOURCE!$BW686,"")</f>
        <v/>
      </c>
      <c r="U686" t="str">
        <f>IF(DONNEES_SOURCE!$CA686=TRUE,IFERROR(MATCH(DONNEES_SOURCE!$B686,{"2. Très rarement (Moins d'une fois par mois)","3. Rarement (1 à 3 fois par mois)","4. Parfois (Environ une fois par semaine)","5. Régulièrement (Plusieurs fois par semaine)","6. Quotidiennement (Une fois par jour)","7. Très fréquemment (Plusieurs fois par jour)"},0)+1,""),"")</f>
        <v/>
      </c>
    </row>
    <row r="687" spans="16:21" x14ac:dyDescent="0.25">
      <c r="P687" t="str">
        <f>IF(DONNEES_SOURCE!$CA687=TRUE,DONNEES_SOURCE!$BV687,"")</f>
        <v/>
      </c>
      <c r="Q687" t="str">
        <f>IF(DONNEES_SOURCE!$CA687=TRUE,IFERROR(MATCH(DONNEES_SOURCE!$B687,{"2. Très rarement (Moins d'une fois par mois)","3. Rarement (1 à 3 fois par mois)","4. Parfois (Environ une fois par semaine)","5. Régulièrement (Plusieurs fois par semaine)","6. Quotidiennement (Une fois par jour)","7. Très fréquemment (Plusieurs fois par jour)"},0)+1,""),"")</f>
        <v/>
      </c>
      <c r="R687" t="str">
        <f>IF(DONNEES_SOURCE!$CA687=TRUE,DONNEES_SOURCE!$BW687,"")</f>
        <v/>
      </c>
      <c r="S687" t="str">
        <f>IF(DONNEES_SOURCE!$CA687=TRUE,DONNEES_SOURCE!$AU687,"")</f>
        <v/>
      </c>
      <c r="T687" t="str">
        <f>IF(DONNEES_SOURCE!$CA687=TRUE,DONNEES_SOURCE!$BW687,"")</f>
        <v/>
      </c>
      <c r="U687" t="str">
        <f>IF(DONNEES_SOURCE!$CA687=TRUE,IFERROR(MATCH(DONNEES_SOURCE!$B687,{"2. Très rarement (Moins d'une fois par mois)","3. Rarement (1 à 3 fois par mois)","4. Parfois (Environ une fois par semaine)","5. Régulièrement (Plusieurs fois par semaine)","6. Quotidiennement (Une fois par jour)","7. Très fréquemment (Plusieurs fois par jour)"},0)+1,""),"")</f>
        <v/>
      </c>
    </row>
    <row r="688" spans="16:21" x14ac:dyDescent="0.25">
      <c r="P688" t="str">
        <f>IF(DONNEES_SOURCE!$CA688=TRUE,DONNEES_SOURCE!$BV688,"")</f>
        <v/>
      </c>
      <c r="Q688" t="str">
        <f>IF(DONNEES_SOURCE!$CA688=TRUE,IFERROR(MATCH(DONNEES_SOURCE!$B688,{"2. Très rarement (Moins d'une fois par mois)","3. Rarement (1 à 3 fois par mois)","4. Parfois (Environ une fois par semaine)","5. Régulièrement (Plusieurs fois par semaine)","6. Quotidiennement (Une fois par jour)","7. Très fréquemment (Plusieurs fois par jour)"},0)+1,""),"")</f>
        <v/>
      </c>
      <c r="R688" t="str">
        <f>IF(DONNEES_SOURCE!$CA688=TRUE,DONNEES_SOURCE!$BW688,"")</f>
        <v/>
      </c>
      <c r="S688" t="str">
        <f>IF(DONNEES_SOURCE!$CA688=TRUE,DONNEES_SOURCE!$AU688,"")</f>
        <v/>
      </c>
      <c r="T688" t="str">
        <f>IF(DONNEES_SOURCE!$CA688=TRUE,DONNEES_SOURCE!$BW688,"")</f>
        <v/>
      </c>
      <c r="U688" t="str">
        <f>IF(DONNEES_SOURCE!$CA688=TRUE,IFERROR(MATCH(DONNEES_SOURCE!$B688,{"2. Très rarement (Moins d'une fois par mois)","3. Rarement (1 à 3 fois par mois)","4. Parfois (Environ une fois par semaine)","5. Régulièrement (Plusieurs fois par semaine)","6. Quotidiennement (Une fois par jour)","7. Très fréquemment (Plusieurs fois par jour)"},0)+1,""),"")</f>
        <v/>
      </c>
    </row>
    <row r="689" spans="16:21" x14ac:dyDescent="0.25">
      <c r="P689" t="str">
        <f>IF(DONNEES_SOURCE!$CA689=TRUE,DONNEES_SOURCE!$BV689,"")</f>
        <v/>
      </c>
      <c r="Q689" t="str">
        <f>IF(DONNEES_SOURCE!$CA689=TRUE,IFERROR(MATCH(DONNEES_SOURCE!$B689,{"2. Très rarement (Moins d'une fois par mois)","3. Rarement (1 à 3 fois par mois)","4. Parfois (Environ une fois par semaine)","5. Régulièrement (Plusieurs fois par semaine)","6. Quotidiennement (Une fois par jour)","7. Très fréquemment (Plusieurs fois par jour)"},0)+1,""),"")</f>
        <v/>
      </c>
      <c r="R689" t="str">
        <f>IF(DONNEES_SOURCE!$CA689=TRUE,DONNEES_SOURCE!$BW689,"")</f>
        <v/>
      </c>
      <c r="S689" t="str">
        <f>IF(DONNEES_SOURCE!$CA689=TRUE,DONNEES_SOURCE!$AU689,"")</f>
        <v/>
      </c>
      <c r="T689" t="str">
        <f>IF(DONNEES_SOURCE!$CA689=TRUE,DONNEES_SOURCE!$BW689,"")</f>
        <v/>
      </c>
      <c r="U689" t="str">
        <f>IF(DONNEES_SOURCE!$CA689=TRUE,IFERROR(MATCH(DONNEES_SOURCE!$B689,{"2. Très rarement (Moins d'une fois par mois)","3. Rarement (1 à 3 fois par mois)","4. Parfois (Environ une fois par semaine)","5. Régulièrement (Plusieurs fois par semaine)","6. Quotidiennement (Une fois par jour)","7. Très fréquemment (Plusieurs fois par jour)"},0)+1,""),"")</f>
        <v/>
      </c>
    </row>
    <row r="690" spans="16:21" x14ac:dyDescent="0.25">
      <c r="P690" t="str">
        <f>IF(DONNEES_SOURCE!$CA690=TRUE,DONNEES_SOURCE!$BV690,"")</f>
        <v/>
      </c>
      <c r="Q690" t="str">
        <f>IF(DONNEES_SOURCE!$CA690=TRUE,IFERROR(MATCH(DONNEES_SOURCE!$B690,{"2. Très rarement (Moins d'une fois par mois)","3. Rarement (1 à 3 fois par mois)","4. Parfois (Environ une fois par semaine)","5. Régulièrement (Plusieurs fois par semaine)","6. Quotidiennement (Une fois par jour)","7. Très fréquemment (Plusieurs fois par jour)"},0)+1,""),"")</f>
        <v/>
      </c>
      <c r="R690" t="str">
        <f>IF(DONNEES_SOURCE!$CA690=TRUE,DONNEES_SOURCE!$BW690,"")</f>
        <v/>
      </c>
      <c r="S690" t="str">
        <f>IF(DONNEES_SOURCE!$CA690=TRUE,DONNEES_SOURCE!$AU690,"")</f>
        <v/>
      </c>
      <c r="T690" t="str">
        <f>IF(DONNEES_SOURCE!$CA690=TRUE,DONNEES_SOURCE!$BW690,"")</f>
        <v/>
      </c>
      <c r="U690" t="str">
        <f>IF(DONNEES_SOURCE!$CA690=TRUE,IFERROR(MATCH(DONNEES_SOURCE!$B690,{"2. Très rarement (Moins d'une fois par mois)","3. Rarement (1 à 3 fois par mois)","4. Parfois (Environ une fois par semaine)","5. Régulièrement (Plusieurs fois par semaine)","6. Quotidiennement (Une fois par jour)","7. Très fréquemment (Plusieurs fois par jour)"},0)+1,""),"")</f>
        <v/>
      </c>
    </row>
    <row r="691" spans="16:21" x14ac:dyDescent="0.25">
      <c r="P691" t="str">
        <f>IF(DONNEES_SOURCE!$CA691=TRUE,DONNEES_SOURCE!$BV691,"")</f>
        <v/>
      </c>
      <c r="Q691" t="str">
        <f>IF(DONNEES_SOURCE!$CA691=TRUE,IFERROR(MATCH(DONNEES_SOURCE!$B691,{"2. Très rarement (Moins d'une fois par mois)","3. Rarement (1 à 3 fois par mois)","4. Parfois (Environ une fois par semaine)","5. Régulièrement (Plusieurs fois par semaine)","6. Quotidiennement (Une fois par jour)","7. Très fréquemment (Plusieurs fois par jour)"},0)+1,""),"")</f>
        <v/>
      </c>
      <c r="R691" t="str">
        <f>IF(DONNEES_SOURCE!$CA691=TRUE,DONNEES_SOURCE!$BW691,"")</f>
        <v/>
      </c>
      <c r="S691" t="str">
        <f>IF(DONNEES_SOURCE!$CA691=TRUE,DONNEES_SOURCE!$AU691,"")</f>
        <v/>
      </c>
      <c r="T691" t="str">
        <f>IF(DONNEES_SOURCE!$CA691=TRUE,DONNEES_SOURCE!$BW691,"")</f>
        <v/>
      </c>
      <c r="U691" t="str">
        <f>IF(DONNEES_SOURCE!$CA691=TRUE,IFERROR(MATCH(DONNEES_SOURCE!$B691,{"2. Très rarement (Moins d'une fois par mois)","3. Rarement (1 à 3 fois par mois)","4. Parfois (Environ une fois par semaine)","5. Régulièrement (Plusieurs fois par semaine)","6. Quotidiennement (Une fois par jour)","7. Très fréquemment (Plusieurs fois par jour)"},0)+1,""),"")</f>
        <v/>
      </c>
    </row>
    <row r="692" spans="16:21" x14ac:dyDescent="0.25">
      <c r="P692" t="str">
        <f>IF(DONNEES_SOURCE!$CA692=TRUE,DONNEES_SOURCE!$BV692,"")</f>
        <v/>
      </c>
      <c r="Q692" t="str">
        <f>IF(DONNEES_SOURCE!$CA692=TRUE,IFERROR(MATCH(DONNEES_SOURCE!$B692,{"2. Très rarement (Moins d'une fois par mois)","3. Rarement (1 à 3 fois par mois)","4. Parfois (Environ une fois par semaine)","5. Régulièrement (Plusieurs fois par semaine)","6. Quotidiennement (Une fois par jour)","7. Très fréquemment (Plusieurs fois par jour)"},0)+1,""),"")</f>
        <v/>
      </c>
      <c r="R692" t="str">
        <f>IF(DONNEES_SOURCE!$CA692=TRUE,DONNEES_SOURCE!$BW692,"")</f>
        <v/>
      </c>
      <c r="S692" t="str">
        <f>IF(DONNEES_SOURCE!$CA692=TRUE,DONNEES_SOURCE!$AU692,"")</f>
        <v/>
      </c>
      <c r="T692" t="str">
        <f>IF(DONNEES_SOURCE!$CA692=TRUE,DONNEES_SOURCE!$BW692,"")</f>
        <v/>
      </c>
      <c r="U692" t="str">
        <f>IF(DONNEES_SOURCE!$CA692=TRUE,IFERROR(MATCH(DONNEES_SOURCE!$B692,{"2. Très rarement (Moins d'une fois par mois)","3. Rarement (1 à 3 fois par mois)","4. Parfois (Environ une fois par semaine)","5. Régulièrement (Plusieurs fois par semaine)","6. Quotidiennement (Une fois par jour)","7. Très fréquemment (Plusieurs fois par jour)"},0)+1,""),"")</f>
        <v/>
      </c>
    </row>
    <row r="693" spans="16:21" x14ac:dyDescent="0.25">
      <c r="P693" t="str">
        <f>IF(DONNEES_SOURCE!$CA693=TRUE,DONNEES_SOURCE!$BV693,"")</f>
        <v/>
      </c>
      <c r="Q693" t="str">
        <f>IF(DONNEES_SOURCE!$CA693=TRUE,IFERROR(MATCH(DONNEES_SOURCE!$B693,{"2. Très rarement (Moins d'une fois par mois)","3. Rarement (1 à 3 fois par mois)","4. Parfois (Environ une fois par semaine)","5. Régulièrement (Plusieurs fois par semaine)","6. Quotidiennement (Une fois par jour)","7. Très fréquemment (Plusieurs fois par jour)"},0)+1,""),"")</f>
        <v/>
      </c>
      <c r="R693" t="str">
        <f>IF(DONNEES_SOURCE!$CA693=TRUE,DONNEES_SOURCE!$BW693,"")</f>
        <v/>
      </c>
      <c r="S693" t="str">
        <f>IF(DONNEES_SOURCE!$CA693=TRUE,DONNEES_SOURCE!$AU693,"")</f>
        <v/>
      </c>
      <c r="T693" t="str">
        <f>IF(DONNEES_SOURCE!$CA693=TRUE,DONNEES_SOURCE!$BW693,"")</f>
        <v/>
      </c>
      <c r="U693" t="str">
        <f>IF(DONNEES_SOURCE!$CA693=TRUE,IFERROR(MATCH(DONNEES_SOURCE!$B693,{"2. Très rarement (Moins d'une fois par mois)","3. Rarement (1 à 3 fois par mois)","4. Parfois (Environ une fois par semaine)","5. Régulièrement (Plusieurs fois par semaine)","6. Quotidiennement (Une fois par jour)","7. Très fréquemment (Plusieurs fois par jour)"},0)+1,""),"")</f>
        <v/>
      </c>
    </row>
    <row r="694" spans="16:21" x14ac:dyDescent="0.25">
      <c r="P694" t="str">
        <f>IF(DONNEES_SOURCE!$CA694=TRUE,DONNEES_SOURCE!$BV694,"")</f>
        <v/>
      </c>
      <c r="Q694" t="str">
        <f>IF(DONNEES_SOURCE!$CA694=TRUE,IFERROR(MATCH(DONNEES_SOURCE!$B694,{"2. Très rarement (Moins d'une fois par mois)","3. Rarement (1 à 3 fois par mois)","4. Parfois (Environ une fois par semaine)","5. Régulièrement (Plusieurs fois par semaine)","6. Quotidiennement (Une fois par jour)","7. Très fréquemment (Plusieurs fois par jour)"},0)+1,""),"")</f>
        <v/>
      </c>
      <c r="R694" t="str">
        <f>IF(DONNEES_SOURCE!$CA694=TRUE,DONNEES_SOURCE!$BW694,"")</f>
        <v/>
      </c>
      <c r="S694" t="str">
        <f>IF(DONNEES_SOURCE!$CA694=TRUE,DONNEES_SOURCE!$AU694,"")</f>
        <v/>
      </c>
      <c r="T694" t="str">
        <f>IF(DONNEES_SOURCE!$CA694=TRUE,DONNEES_SOURCE!$BW694,"")</f>
        <v/>
      </c>
      <c r="U694" t="str">
        <f>IF(DONNEES_SOURCE!$CA694=TRUE,IFERROR(MATCH(DONNEES_SOURCE!$B694,{"2. Très rarement (Moins d'une fois par mois)","3. Rarement (1 à 3 fois par mois)","4. Parfois (Environ une fois par semaine)","5. Régulièrement (Plusieurs fois par semaine)","6. Quotidiennement (Une fois par jour)","7. Très fréquemment (Plusieurs fois par jour)"},0)+1,""),"")</f>
        <v/>
      </c>
    </row>
    <row r="695" spans="16:21" x14ac:dyDescent="0.25">
      <c r="P695" t="str">
        <f>IF(DONNEES_SOURCE!$CA695=TRUE,DONNEES_SOURCE!$BV695,"")</f>
        <v/>
      </c>
      <c r="Q695" t="str">
        <f>IF(DONNEES_SOURCE!$CA695=TRUE,IFERROR(MATCH(DONNEES_SOURCE!$B695,{"2. Très rarement (Moins d'une fois par mois)","3. Rarement (1 à 3 fois par mois)","4. Parfois (Environ une fois par semaine)","5. Régulièrement (Plusieurs fois par semaine)","6. Quotidiennement (Une fois par jour)","7. Très fréquemment (Plusieurs fois par jour)"},0)+1,""),"")</f>
        <v/>
      </c>
      <c r="R695" t="str">
        <f>IF(DONNEES_SOURCE!$CA695=TRUE,DONNEES_SOURCE!$BW695,"")</f>
        <v/>
      </c>
      <c r="S695" t="str">
        <f>IF(DONNEES_SOURCE!$CA695=TRUE,DONNEES_SOURCE!$AU695,"")</f>
        <v/>
      </c>
      <c r="T695" t="str">
        <f>IF(DONNEES_SOURCE!$CA695=TRUE,DONNEES_SOURCE!$BW695,"")</f>
        <v/>
      </c>
      <c r="U695" t="str">
        <f>IF(DONNEES_SOURCE!$CA695=TRUE,IFERROR(MATCH(DONNEES_SOURCE!$B695,{"2. Très rarement (Moins d'une fois par mois)","3. Rarement (1 à 3 fois par mois)","4. Parfois (Environ une fois par semaine)","5. Régulièrement (Plusieurs fois par semaine)","6. Quotidiennement (Une fois par jour)","7. Très fréquemment (Plusieurs fois par jour)"},0)+1,""),"")</f>
        <v/>
      </c>
    </row>
    <row r="696" spans="16:21" x14ac:dyDescent="0.25">
      <c r="P696" t="str">
        <f>IF(DONNEES_SOURCE!$CA696=TRUE,DONNEES_SOURCE!$BV696,"")</f>
        <v/>
      </c>
      <c r="Q696" t="str">
        <f>IF(DONNEES_SOURCE!$CA696=TRUE,IFERROR(MATCH(DONNEES_SOURCE!$B696,{"2. Très rarement (Moins d'une fois par mois)","3. Rarement (1 à 3 fois par mois)","4. Parfois (Environ une fois par semaine)","5. Régulièrement (Plusieurs fois par semaine)","6. Quotidiennement (Une fois par jour)","7. Très fréquemment (Plusieurs fois par jour)"},0)+1,""),"")</f>
        <v/>
      </c>
      <c r="R696" t="str">
        <f>IF(DONNEES_SOURCE!$CA696=TRUE,DONNEES_SOURCE!$BW696,"")</f>
        <v/>
      </c>
      <c r="S696" t="str">
        <f>IF(DONNEES_SOURCE!$CA696=TRUE,DONNEES_SOURCE!$AU696,"")</f>
        <v/>
      </c>
      <c r="T696" t="str">
        <f>IF(DONNEES_SOURCE!$CA696=TRUE,DONNEES_SOURCE!$BW696,"")</f>
        <v/>
      </c>
      <c r="U696" t="str">
        <f>IF(DONNEES_SOURCE!$CA696=TRUE,IFERROR(MATCH(DONNEES_SOURCE!$B696,{"2. Très rarement (Moins d'une fois par mois)","3. Rarement (1 à 3 fois par mois)","4. Parfois (Environ une fois par semaine)","5. Régulièrement (Plusieurs fois par semaine)","6. Quotidiennement (Une fois par jour)","7. Très fréquemment (Plusieurs fois par jour)"},0)+1,""),"")</f>
        <v/>
      </c>
    </row>
    <row r="697" spans="16:21" x14ac:dyDescent="0.25">
      <c r="P697" t="str">
        <f>IF(DONNEES_SOURCE!$CA697=TRUE,DONNEES_SOURCE!$BV697,"")</f>
        <v/>
      </c>
      <c r="Q697" t="str">
        <f>IF(DONNEES_SOURCE!$CA697=TRUE,IFERROR(MATCH(DONNEES_SOURCE!$B697,{"2. Très rarement (Moins d'une fois par mois)","3. Rarement (1 à 3 fois par mois)","4. Parfois (Environ une fois par semaine)","5. Régulièrement (Plusieurs fois par semaine)","6. Quotidiennement (Une fois par jour)","7. Très fréquemment (Plusieurs fois par jour)"},0)+1,""),"")</f>
        <v/>
      </c>
      <c r="R697" t="str">
        <f>IF(DONNEES_SOURCE!$CA697=TRUE,DONNEES_SOURCE!$BW697,"")</f>
        <v/>
      </c>
      <c r="S697" t="str">
        <f>IF(DONNEES_SOURCE!$CA697=TRUE,DONNEES_SOURCE!$AU697,"")</f>
        <v/>
      </c>
      <c r="T697" t="str">
        <f>IF(DONNEES_SOURCE!$CA697=TRUE,DONNEES_SOURCE!$BW697,"")</f>
        <v/>
      </c>
      <c r="U697" t="str">
        <f>IF(DONNEES_SOURCE!$CA697=TRUE,IFERROR(MATCH(DONNEES_SOURCE!$B697,{"2. Très rarement (Moins d'une fois par mois)","3. Rarement (1 à 3 fois par mois)","4. Parfois (Environ une fois par semaine)","5. Régulièrement (Plusieurs fois par semaine)","6. Quotidiennement (Une fois par jour)","7. Très fréquemment (Plusieurs fois par jour)"},0)+1,""),"")</f>
        <v/>
      </c>
    </row>
    <row r="698" spans="16:21" x14ac:dyDescent="0.25">
      <c r="P698" t="str">
        <f>IF(DONNEES_SOURCE!$CA698=TRUE,DONNEES_SOURCE!$BV698,"")</f>
        <v/>
      </c>
      <c r="Q698" t="str">
        <f>IF(DONNEES_SOURCE!$CA698=TRUE,IFERROR(MATCH(DONNEES_SOURCE!$B698,{"2. Très rarement (Moins d'une fois par mois)","3. Rarement (1 à 3 fois par mois)","4. Parfois (Environ une fois par semaine)","5. Régulièrement (Plusieurs fois par semaine)","6. Quotidiennement (Une fois par jour)","7. Très fréquemment (Plusieurs fois par jour)"},0)+1,""),"")</f>
        <v/>
      </c>
      <c r="R698" t="str">
        <f>IF(DONNEES_SOURCE!$CA698=TRUE,DONNEES_SOURCE!$BW698,"")</f>
        <v/>
      </c>
      <c r="S698" t="str">
        <f>IF(DONNEES_SOURCE!$CA698=TRUE,DONNEES_SOURCE!$AU698,"")</f>
        <v/>
      </c>
      <c r="T698" t="str">
        <f>IF(DONNEES_SOURCE!$CA698=TRUE,DONNEES_SOURCE!$BW698,"")</f>
        <v/>
      </c>
      <c r="U698" t="str">
        <f>IF(DONNEES_SOURCE!$CA698=TRUE,IFERROR(MATCH(DONNEES_SOURCE!$B698,{"2. Très rarement (Moins d'une fois par mois)","3. Rarement (1 à 3 fois par mois)","4. Parfois (Environ une fois par semaine)","5. Régulièrement (Plusieurs fois par semaine)","6. Quotidiennement (Une fois par jour)","7. Très fréquemment (Plusieurs fois par jour)"},0)+1,""),"")</f>
        <v/>
      </c>
    </row>
    <row r="699" spans="16:21" x14ac:dyDescent="0.25">
      <c r="P699" t="str">
        <f>IF(DONNEES_SOURCE!$CA699=TRUE,DONNEES_SOURCE!$BV699,"")</f>
        <v/>
      </c>
      <c r="Q699" t="str">
        <f>IF(DONNEES_SOURCE!$CA699=TRUE,IFERROR(MATCH(DONNEES_SOURCE!$B699,{"2. Très rarement (Moins d'une fois par mois)","3. Rarement (1 à 3 fois par mois)","4. Parfois (Environ une fois par semaine)","5. Régulièrement (Plusieurs fois par semaine)","6. Quotidiennement (Une fois par jour)","7. Très fréquemment (Plusieurs fois par jour)"},0)+1,""),"")</f>
        <v/>
      </c>
      <c r="R699" t="str">
        <f>IF(DONNEES_SOURCE!$CA699=TRUE,DONNEES_SOURCE!$BW699,"")</f>
        <v/>
      </c>
      <c r="S699" t="str">
        <f>IF(DONNEES_SOURCE!$CA699=TRUE,DONNEES_SOURCE!$AU699,"")</f>
        <v/>
      </c>
      <c r="T699" t="str">
        <f>IF(DONNEES_SOURCE!$CA699=TRUE,DONNEES_SOURCE!$BW699,"")</f>
        <v/>
      </c>
      <c r="U699" t="str">
        <f>IF(DONNEES_SOURCE!$CA699=TRUE,IFERROR(MATCH(DONNEES_SOURCE!$B699,{"2. Très rarement (Moins d'une fois par mois)","3. Rarement (1 à 3 fois par mois)","4. Parfois (Environ une fois par semaine)","5. Régulièrement (Plusieurs fois par semaine)","6. Quotidiennement (Une fois par jour)","7. Très fréquemment (Plusieurs fois par jour)"},0)+1,""),"")</f>
        <v/>
      </c>
    </row>
    <row r="700" spans="16:21" x14ac:dyDescent="0.25">
      <c r="P700" t="str">
        <f>IF(DONNEES_SOURCE!$CA700=TRUE,DONNEES_SOURCE!$BV700,"")</f>
        <v/>
      </c>
      <c r="Q700" t="str">
        <f>IF(DONNEES_SOURCE!$CA700=TRUE,IFERROR(MATCH(DONNEES_SOURCE!$B700,{"2. Très rarement (Moins d'une fois par mois)","3. Rarement (1 à 3 fois par mois)","4. Parfois (Environ une fois par semaine)","5. Régulièrement (Plusieurs fois par semaine)","6. Quotidiennement (Une fois par jour)","7. Très fréquemment (Plusieurs fois par jour)"},0)+1,""),"")</f>
        <v/>
      </c>
      <c r="R700" t="str">
        <f>IF(DONNEES_SOURCE!$CA700=TRUE,DONNEES_SOURCE!$BW700,"")</f>
        <v/>
      </c>
      <c r="S700" t="str">
        <f>IF(DONNEES_SOURCE!$CA700=TRUE,DONNEES_SOURCE!$AU700,"")</f>
        <v/>
      </c>
      <c r="T700" t="str">
        <f>IF(DONNEES_SOURCE!$CA700=TRUE,DONNEES_SOURCE!$BW700,"")</f>
        <v/>
      </c>
      <c r="U700" t="str">
        <f>IF(DONNEES_SOURCE!$CA700=TRUE,IFERROR(MATCH(DONNEES_SOURCE!$B700,{"2. Très rarement (Moins d'une fois par mois)","3. Rarement (1 à 3 fois par mois)","4. Parfois (Environ une fois par semaine)","5. Régulièrement (Plusieurs fois par semaine)","6. Quotidiennement (Une fois par jour)","7. Très fréquemment (Plusieurs fois par jour)"},0)+1,""),"")</f>
        <v/>
      </c>
    </row>
    <row r="701" spans="16:21" x14ac:dyDescent="0.25">
      <c r="P701" t="str">
        <f>IF(DONNEES_SOURCE!$CA701=TRUE,DONNEES_SOURCE!$BV701,"")</f>
        <v/>
      </c>
      <c r="Q701" t="str">
        <f>IF(DONNEES_SOURCE!$CA701=TRUE,IFERROR(MATCH(DONNEES_SOURCE!$B701,{"2. Très rarement (Moins d'une fois par mois)","3. Rarement (1 à 3 fois par mois)","4. Parfois (Environ une fois par semaine)","5. Régulièrement (Plusieurs fois par semaine)","6. Quotidiennement (Une fois par jour)","7. Très fréquemment (Plusieurs fois par jour)"},0)+1,""),"")</f>
        <v/>
      </c>
      <c r="R701" t="str">
        <f>IF(DONNEES_SOURCE!$CA701=TRUE,DONNEES_SOURCE!$BW701,"")</f>
        <v/>
      </c>
      <c r="S701" t="str">
        <f>IF(DONNEES_SOURCE!$CA701=TRUE,DONNEES_SOURCE!$AU701,"")</f>
        <v/>
      </c>
      <c r="T701" t="str">
        <f>IF(DONNEES_SOURCE!$CA701=TRUE,DONNEES_SOURCE!$BW701,"")</f>
        <v/>
      </c>
      <c r="U701" t="str">
        <f>IF(DONNEES_SOURCE!$CA701=TRUE,IFERROR(MATCH(DONNEES_SOURCE!$B701,{"2. Très rarement (Moins d'une fois par mois)","3. Rarement (1 à 3 fois par mois)","4. Parfois (Environ une fois par semaine)","5. Régulièrement (Plusieurs fois par semaine)","6. Quotidiennement (Une fois par jour)","7. Très fréquemment (Plusieurs fois par jour)"},0)+1,""),"")</f>
        <v/>
      </c>
    </row>
    <row r="702" spans="16:21" x14ac:dyDescent="0.25">
      <c r="P702" t="str">
        <f>IF(DONNEES_SOURCE!$CA702=TRUE,DONNEES_SOURCE!$BV702,"")</f>
        <v/>
      </c>
      <c r="Q702" t="str">
        <f>IF(DONNEES_SOURCE!$CA702=TRUE,IFERROR(MATCH(DONNEES_SOURCE!$B702,{"2. Très rarement (Moins d'une fois par mois)","3. Rarement (1 à 3 fois par mois)","4. Parfois (Environ une fois par semaine)","5. Régulièrement (Plusieurs fois par semaine)","6. Quotidiennement (Une fois par jour)","7. Très fréquemment (Plusieurs fois par jour)"},0)+1,""),"")</f>
        <v/>
      </c>
      <c r="R702" t="str">
        <f>IF(DONNEES_SOURCE!$CA702=TRUE,DONNEES_SOURCE!$BW702,"")</f>
        <v/>
      </c>
      <c r="S702" t="str">
        <f>IF(DONNEES_SOURCE!$CA702=TRUE,DONNEES_SOURCE!$AU702,"")</f>
        <v/>
      </c>
      <c r="T702" t="str">
        <f>IF(DONNEES_SOURCE!$CA702=TRUE,DONNEES_SOURCE!$BW702,"")</f>
        <v/>
      </c>
      <c r="U702" t="str">
        <f>IF(DONNEES_SOURCE!$CA702=TRUE,IFERROR(MATCH(DONNEES_SOURCE!$B702,{"2. Très rarement (Moins d'une fois par mois)","3. Rarement (1 à 3 fois par mois)","4. Parfois (Environ une fois par semaine)","5. Régulièrement (Plusieurs fois par semaine)","6. Quotidiennement (Une fois par jour)","7. Très fréquemment (Plusieurs fois par jour)"},0)+1,""),"")</f>
        <v/>
      </c>
    </row>
    <row r="703" spans="16:21" x14ac:dyDescent="0.25">
      <c r="P703" t="str">
        <f>IF(DONNEES_SOURCE!$CA703=TRUE,DONNEES_SOURCE!$BV703,"")</f>
        <v/>
      </c>
      <c r="Q703" t="str">
        <f>IF(DONNEES_SOURCE!$CA703=TRUE,IFERROR(MATCH(DONNEES_SOURCE!$B703,{"2. Très rarement (Moins d'une fois par mois)","3. Rarement (1 à 3 fois par mois)","4. Parfois (Environ une fois par semaine)","5. Régulièrement (Plusieurs fois par semaine)","6. Quotidiennement (Une fois par jour)","7. Très fréquemment (Plusieurs fois par jour)"},0)+1,""),"")</f>
        <v/>
      </c>
      <c r="R703" t="str">
        <f>IF(DONNEES_SOURCE!$CA703=TRUE,DONNEES_SOURCE!$BW703,"")</f>
        <v/>
      </c>
      <c r="S703" t="str">
        <f>IF(DONNEES_SOURCE!$CA703=TRUE,DONNEES_SOURCE!$AU703,"")</f>
        <v/>
      </c>
      <c r="T703" t="str">
        <f>IF(DONNEES_SOURCE!$CA703=TRUE,DONNEES_SOURCE!$BW703,"")</f>
        <v/>
      </c>
      <c r="U703" t="str">
        <f>IF(DONNEES_SOURCE!$CA703=TRUE,IFERROR(MATCH(DONNEES_SOURCE!$B703,{"2. Très rarement (Moins d'une fois par mois)","3. Rarement (1 à 3 fois par mois)","4. Parfois (Environ une fois par semaine)","5. Régulièrement (Plusieurs fois par semaine)","6. Quotidiennement (Une fois par jour)","7. Très fréquemment (Plusieurs fois par jour)"},0)+1,""),"")</f>
        <v/>
      </c>
    </row>
    <row r="704" spans="16:21" x14ac:dyDescent="0.25">
      <c r="P704" t="str">
        <f>IF(DONNEES_SOURCE!$CA704=TRUE,DONNEES_SOURCE!$BV704,"")</f>
        <v/>
      </c>
      <c r="Q704" t="str">
        <f>IF(DONNEES_SOURCE!$CA704=TRUE,IFERROR(MATCH(DONNEES_SOURCE!$B704,{"2. Très rarement (Moins d'une fois par mois)","3. Rarement (1 à 3 fois par mois)","4. Parfois (Environ une fois par semaine)","5. Régulièrement (Plusieurs fois par semaine)","6. Quotidiennement (Une fois par jour)","7. Très fréquemment (Plusieurs fois par jour)"},0)+1,""),"")</f>
        <v/>
      </c>
      <c r="R704" t="str">
        <f>IF(DONNEES_SOURCE!$CA704=TRUE,DONNEES_SOURCE!$BW704,"")</f>
        <v/>
      </c>
      <c r="S704" t="str">
        <f>IF(DONNEES_SOURCE!$CA704=TRUE,DONNEES_SOURCE!$AU704,"")</f>
        <v/>
      </c>
      <c r="T704" t="str">
        <f>IF(DONNEES_SOURCE!$CA704=TRUE,DONNEES_SOURCE!$BW704,"")</f>
        <v/>
      </c>
      <c r="U704" t="str">
        <f>IF(DONNEES_SOURCE!$CA704=TRUE,IFERROR(MATCH(DONNEES_SOURCE!$B704,{"2. Très rarement (Moins d'une fois par mois)","3. Rarement (1 à 3 fois par mois)","4. Parfois (Environ une fois par semaine)","5. Régulièrement (Plusieurs fois par semaine)","6. Quotidiennement (Une fois par jour)","7. Très fréquemment (Plusieurs fois par jour)"},0)+1,""),"")</f>
        <v/>
      </c>
    </row>
    <row r="705" spans="16:21" x14ac:dyDescent="0.25">
      <c r="P705" t="str">
        <f>IF(DONNEES_SOURCE!$CA705=TRUE,DONNEES_SOURCE!$BV705,"")</f>
        <v/>
      </c>
      <c r="Q705" t="str">
        <f>IF(DONNEES_SOURCE!$CA705=TRUE,IFERROR(MATCH(DONNEES_SOURCE!$B705,{"2. Très rarement (Moins d'une fois par mois)","3. Rarement (1 à 3 fois par mois)","4. Parfois (Environ une fois par semaine)","5. Régulièrement (Plusieurs fois par semaine)","6. Quotidiennement (Une fois par jour)","7. Très fréquemment (Plusieurs fois par jour)"},0)+1,""),"")</f>
        <v/>
      </c>
      <c r="R705" t="str">
        <f>IF(DONNEES_SOURCE!$CA705=TRUE,DONNEES_SOURCE!$BW705,"")</f>
        <v/>
      </c>
      <c r="S705" t="str">
        <f>IF(DONNEES_SOURCE!$CA705=TRUE,DONNEES_SOURCE!$AU705,"")</f>
        <v/>
      </c>
      <c r="T705" t="str">
        <f>IF(DONNEES_SOURCE!$CA705=TRUE,DONNEES_SOURCE!$BW705,"")</f>
        <v/>
      </c>
      <c r="U705" t="str">
        <f>IF(DONNEES_SOURCE!$CA705=TRUE,IFERROR(MATCH(DONNEES_SOURCE!$B705,{"2. Très rarement (Moins d'une fois par mois)","3. Rarement (1 à 3 fois par mois)","4. Parfois (Environ une fois par semaine)","5. Régulièrement (Plusieurs fois par semaine)","6. Quotidiennement (Une fois par jour)","7. Très fréquemment (Plusieurs fois par jour)"},0)+1,""),"")</f>
        <v/>
      </c>
    </row>
    <row r="706" spans="16:21" x14ac:dyDescent="0.25">
      <c r="P706" t="str">
        <f>IF(DONNEES_SOURCE!$CA706=TRUE,DONNEES_SOURCE!$BV706,"")</f>
        <v/>
      </c>
      <c r="Q706" t="str">
        <f>IF(DONNEES_SOURCE!$CA706=TRUE,IFERROR(MATCH(DONNEES_SOURCE!$B706,{"2. Très rarement (Moins d'une fois par mois)","3. Rarement (1 à 3 fois par mois)","4. Parfois (Environ une fois par semaine)","5. Régulièrement (Plusieurs fois par semaine)","6. Quotidiennement (Une fois par jour)","7. Très fréquemment (Plusieurs fois par jour)"},0)+1,""),"")</f>
        <v/>
      </c>
      <c r="R706" t="str">
        <f>IF(DONNEES_SOURCE!$CA706=TRUE,DONNEES_SOURCE!$BW706,"")</f>
        <v/>
      </c>
      <c r="S706" t="str">
        <f>IF(DONNEES_SOURCE!$CA706=TRUE,DONNEES_SOURCE!$AU706,"")</f>
        <v/>
      </c>
      <c r="T706" t="str">
        <f>IF(DONNEES_SOURCE!$CA706=TRUE,DONNEES_SOURCE!$BW706,"")</f>
        <v/>
      </c>
      <c r="U706" t="str">
        <f>IF(DONNEES_SOURCE!$CA706=TRUE,IFERROR(MATCH(DONNEES_SOURCE!$B706,{"2. Très rarement (Moins d'une fois par mois)","3. Rarement (1 à 3 fois par mois)","4. Parfois (Environ une fois par semaine)","5. Régulièrement (Plusieurs fois par semaine)","6. Quotidiennement (Une fois par jour)","7. Très fréquemment (Plusieurs fois par jour)"},0)+1,""),"")</f>
        <v/>
      </c>
    </row>
    <row r="707" spans="16:21" x14ac:dyDescent="0.25">
      <c r="P707" t="str">
        <f>IF(DONNEES_SOURCE!$CA707=TRUE,DONNEES_SOURCE!$BV707,"")</f>
        <v/>
      </c>
      <c r="Q707" t="str">
        <f>IF(DONNEES_SOURCE!$CA707=TRUE,IFERROR(MATCH(DONNEES_SOURCE!$B707,{"2. Très rarement (Moins d'une fois par mois)","3. Rarement (1 à 3 fois par mois)","4. Parfois (Environ une fois par semaine)","5. Régulièrement (Plusieurs fois par semaine)","6. Quotidiennement (Une fois par jour)","7. Très fréquemment (Plusieurs fois par jour)"},0)+1,""),"")</f>
        <v/>
      </c>
      <c r="R707" t="str">
        <f>IF(DONNEES_SOURCE!$CA707=TRUE,DONNEES_SOURCE!$BW707,"")</f>
        <v/>
      </c>
      <c r="S707" t="str">
        <f>IF(DONNEES_SOURCE!$CA707=TRUE,DONNEES_SOURCE!$AU707,"")</f>
        <v/>
      </c>
      <c r="T707" t="str">
        <f>IF(DONNEES_SOURCE!$CA707=TRUE,DONNEES_SOURCE!$BW707,"")</f>
        <v/>
      </c>
      <c r="U707" t="str">
        <f>IF(DONNEES_SOURCE!$CA707=TRUE,IFERROR(MATCH(DONNEES_SOURCE!$B707,{"2. Très rarement (Moins d'une fois par mois)","3. Rarement (1 à 3 fois par mois)","4. Parfois (Environ une fois par semaine)","5. Régulièrement (Plusieurs fois par semaine)","6. Quotidiennement (Une fois par jour)","7. Très fréquemment (Plusieurs fois par jour)"},0)+1,""),"")</f>
        <v/>
      </c>
    </row>
    <row r="708" spans="16:21" x14ac:dyDescent="0.25">
      <c r="P708" t="str">
        <f>IF(DONNEES_SOURCE!$CA708=TRUE,DONNEES_SOURCE!$BV708,"")</f>
        <v/>
      </c>
      <c r="Q708" t="str">
        <f>IF(DONNEES_SOURCE!$CA708=TRUE,IFERROR(MATCH(DONNEES_SOURCE!$B708,{"2. Très rarement (Moins d'une fois par mois)","3. Rarement (1 à 3 fois par mois)","4. Parfois (Environ une fois par semaine)","5. Régulièrement (Plusieurs fois par semaine)","6. Quotidiennement (Une fois par jour)","7. Très fréquemment (Plusieurs fois par jour)"},0)+1,""),"")</f>
        <v/>
      </c>
      <c r="R708" t="str">
        <f>IF(DONNEES_SOURCE!$CA708=TRUE,DONNEES_SOURCE!$BW708,"")</f>
        <v/>
      </c>
      <c r="S708" t="str">
        <f>IF(DONNEES_SOURCE!$CA708=TRUE,DONNEES_SOURCE!$AU708,"")</f>
        <v/>
      </c>
      <c r="T708" t="str">
        <f>IF(DONNEES_SOURCE!$CA708=TRUE,DONNEES_SOURCE!$BW708,"")</f>
        <v/>
      </c>
      <c r="U708" t="str">
        <f>IF(DONNEES_SOURCE!$CA708=TRUE,IFERROR(MATCH(DONNEES_SOURCE!$B708,{"2. Très rarement (Moins d'une fois par mois)","3. Rarement (1 à 3 fois par mois)","4. Parfois (Environ une fois par semaine)","5. Régulièrement (Plusieurs fois par semaine)","6. Quotidiennement (Une fois par jour)","7. Très fréquemment (Plusieurs fois par jour)"},0)+1,""),"")</f>
        <v/>
      </c>
    </row>
    <row r="709" spans="16:21" x14ac:dyDescent="0.25">
      <c r="P709" t="str">
        <f>IF(DONNEES_SOURCE!$CA709=TRUE,DONNEES_SOURCE!$BV709,"")</f>
        <v/>
      </c>
      <c r="Q709" t="str">
        <f>IF(DONNEES_SOURCE!$CA709=TRUE,IFERROR(MATCH(DONNEES_SOURCE!$B709,{"2. Très rarement (Moins d'une fois par mois)","3. Rarement (1 à 3 fois par mois)","4. Parfois (Environ une fois par semaine)","5. Régulièrement (Plusieurs fois par semaine)","6. Quotidiennement (Une fois par jour)","7. Très fréquemment (Plusieurs fois par jour)"},0)+1,""),"")</f>
        <v/>
      </c>
      <c r="R709" t="str">
        <f>IF(DONNEES_SOURCE!$CA709=TRUE,DONNEES_SOURCE!$BW709,"")</f>
        <v/>
      </c>
      <c r="S709" t="str">
        <f>IF(DONNEES_SOURCE!$CA709=TRUE,DONNEES_SOURCE!$AU709,"")</f>
        <v/>
      </c>
      <c r="T709" t="str">
        <f>IF(DONNEES_SOURCE!$CA709=TRUE,DONNEES_SOURCE!$BW709,"")</f>
        <v/>
      </c>
      <c r="U709" t="str">
        <f>IF(DONNEES_SOURCE!$CA709=TRUE,IFERROR(MATCH(DONNEES_SOURCE!$B709,{"2. Très rarement (Moins d'une fois par mois)","3. Rarement (1 à 3 fois par mois)","4. Parfois (Environ une fois par semaine)","5. Régulièrement (Plusieurs fois par semaine)","6. Quotidiennement (Une fois par jour)","7. Très fréquemment (Plusieurs fois par jour)"},0)+1,""),"")</f>
        <v/>
      </c>
    </row>
    <row r="710" spans="16:21" x14ac:dyDescent="0.25">
      <c r="P710" t="str">
        <f>IF(DONNEES_SOURCE!$CA710=TRUE,DONNEES_SOURCE!$BV710,"")</f>
        <v/>
      </c>
      <c r="Q710" t="str">
        <f>IF(DONNEES_SOURCE!$CA710=TRUE,IFERROR(MATCH(DONNEES_SOURCE!$B710,{"2. Très rarement (Moins d'une fois par mois)","3. Rarement (1 à 3 fois par mois)","4. Parfois (Environ une fois par semaine)","5. Régulièrement (Plusieurs fois par semaine)","6. Quotidiennement (Une fois par jour)","7. Très fréquemment (Plusieurs fois par jour)"},0)+1,""),"")</f>
        <v/>
      </c>
      <c r="R710" t="str">
        <f>IF(DONNEES_SOURCE!$CA710=TRUE,DONNEES_SOURCE!$BW710,"")</f>
        <v/>
      </c>
      <c r="S710" t="str">
        <f>IF(DONNEES_SOURCE!$CA710=TRUE,DONNEES_SOURCE!$AU710,"")</f>
        <v/>
      </c>
      <c r="T710" t="str">
        <f>IF(DONNEES_SOURCE!$CA710=TRUE,DONNEES_SOURCE!$BW710,"")</f>
        <v/>
      </c>
      <c r="U710" t="str">
        <f>IF(DONNEES_SOURCE!$CA710=TRUE,IFERROR(MATCH(DONNEES_SOURCE!$B710,{"2. Très rarement (Moins d'une fois par mois)","3. Rarement (1 à 3 fois par mois)","4. Parfois (Environ une fois par semaine)","5. Régulièrement (Plusieurs fois par semaine)","6. Quotidiennement (Une fois par jour)","7. Très fréquemment (Plusieurs fois par jour)"},0)+1,""),"")</f>
        <v/>
      </c>
    </row>
    <row r="711" spans="16:21" x14ac:dyDescent="0.25">
      <c r="P711" t="str">
        <f>IF(DONNEES_SOURCE!$CA711=TRUE,DONNEES_SOURCE!$BV711,"")</f>
        <v/>
      </c>
      <c r="Q711" t="str">
        <f>IF(DONNEES_SOURCE!$CA711=TRUE,IFERROR(MATCH(DONNEES_SOURCE!$B711,{"2. Très rarement (Moins d'une fois par mois)","3. Rarement (1 à 3 fois par mois)","4. Parfois (Environ une fois par semaine)","5. Régulièrement (Plusieurs fois par semaine)","6. Quotidiennement (Une fois par jour)","7. Très fréquemment (Plusieurs fois par jour)"},0)+1,""),"")</f>
        <v/>
      </c>
      <c r="R711" t="str">
        <f>IF(DONNEES_SOURCE!$CA711=TRUE,DONNEES_SOURCE!$BW711,"")</f>
        <v/>
      </c>
      <c r="S711" t="str">
        <f>IF(DONNEES_SOURCE!$CA711=TRUE,DONNEES_SOURCE!$AU711,"")</f>
        <v/>
      </c>
      <c r="T711" t="str">
        <f>IF(DONNEES_SOURCE!$CA711=TRUE,DONNEES_SOURCE!$BW711,"")</f>
        <v/>
      </c>
      <c r="U711" t="str">
        <f>IF(DONNEES_SOURCE!$CA711=TRUE,IFERROR(MATCH(DONNEES_SOURCE!$B711,{"2. Très rarement (Moins d'une fois par mois)","3. Rarement (1 à 3 fois par mois)","4. Parfois (Environ une fois par semaine)","5. Régulièrement (Plusieurs fois par semaine)","6. Quotidiennement (Une fois par jour)","7. Très fréquemment (Plusieurs fois par jour)"},0)+1,""),"")</f>
        <v/>
      </c>
    </row>
    <row r="712" spans="16:21" x14ac:dyDescent="0.25">
      <c r="P712" t="str">
        <f>IF(DONNEES_SOURCE!$CA712=TRUE,DONNEES_SOURCE!$BV712,"")</f>
        <v/>
      </c>
      <c r="Q712" t="str">
        <f>IF(DONNEES_SOURCE!$CA712=TRUE,IFERROR(MATCH(DONNEES_SOURCE!$B712,{"2. Très rarement (Moins d'une fois par mois)","3. Rarement (1 à 3 fois par mois)","4. Parfois (Environ une fois par semaine)","5. Régulièrement (Plusieurs fois par semaine)","6. Quotidiennement (Une fois par jour)","7. Très fréquemment (Plusieurs fois par jour)"},0)+1,""),"")</f>
        <v/>
      </c>
      <c r="R712" t="str">
        <f>IF(DONNEES_SOURCE!$CA712=TRUE,DONNEES_SOURCE!$BW712,"")</f>
        <v/>
      </c>
      <c r="S712" t="str">
        <f>IF(DONNEES_SOURCE!$CA712=TRUE,DONNEES_SOURCE!$AU712,"")</f>
        <v/>
      </c>
      <c r="T712" t="str">
        <f>IF(DONNEES_SOURCE!$CA712=TRUE,DONNEES_SOURCE!$BW712,"")</f>
        <v/>
      </c>
      <c r="U712" t="str">
        <f>IF(DONNEES_SOURCE!$CA712=TRUE,IFERROR(MATCH(DONNEES_SOURCE!$B712,{"2. Très rarement (Moins d'une fois par mois)","3. Rarement (1 à 3 fois par mois)","4. Parfois (Environ une fois par semaine)","5. Régulièrement (Plusieurs fois par semaine)","6. Quotidiennement (Une fois par jour)","7. Très fréquemment (Plusieurs fois par jour)"},0)+1,""),"")</f>
        <v/>
      </c>
    </row>
    <row r="713" spans="16:21" x14ac:dyDescent="0.25">
      <c r="P713" t="str">
        <f>IF(DONNEES_SOURCE!$CA713=TRUE,DONNEES_SOURCE!$BV713,"")</f>
        <v/>
      </c>
      <c r="Q713" t="str">
        <f>IF(DONNEES_SOURCE!$CA713=TRUE,IFERROR(MATCH(DONNEES_SOURCE!$B713,{"2. Très rarement (Moins d'une fois par mois)","3. Rarement (1 à 3 fois par mois)","4. Parfois (Environ une fois par semaine)","5. Régulièrement (Plusieurs fois par semaine)","6. Quotidiennement (Une fois par jour)","7. Très fréquemment (Plusieurs fois par jour)"},0)+1,""),"")</f>
        <v/>
      </c>
      <c r="R713" t="str">
        <f>IF(DONNEES_SOURCE!$CA713=TRUE,DONNEES_SOURCE!$BW713,"")</f>
        <v/>
      </c>
      <c r="S713" t="str">
        <f>IF(DONNEES_SOURCE!$CA713=TRUE,DONNEES_SOURCE!$AU713,"")</f>
        <v/>
      </c>
      <c r="T713" t="str">
        <f>IF(DONNEES_SOURCE!$CA713=TRUE,DONNEES_SOURCE!$BW713,"")</f>
        <v/>
      </c>
      <c r="U713" t="str">
        <f>IF(DONNEES_SOURCE!$CA713=TRUE,IFERROR(MATCH(DONNEES_SOURCE!$B713,{"2. Très rarement (Moins d'une fois par mois)","3. Rarement (1 à 3 fois par mois)","4. Parfois (Environ une fois par semaine)","5. Régulièrement (Plusieurs fois par semaine)","6. Quotidiennement (Une fois par jour)","7. Très fréquemment (Plusieurs fois par jour)"},0)+1,""),"")</f>
        <v/>
      </c>
    </row>
    <row r="714" spans="16:21" x14ac:dyDescent="0.25">
      <c r="P714" t="str">
        <f>IF(DONNEES_SOURCE!$CA714=TRUE,DONNEES_SOURCE!$BV714,"")</f>
        <v/>
      </c>
      <c r="Q714" t="str">
        <f>IF(DONNEES_SOURCE!$CA714=TRUE,IFERROR(MATCH(DONNEES_SOURCE!$B714,{"2. Très rarement (Moins d'une fois par mois)","3. Rarement (1 à 3 fois par mois)","4. Parfois (Environ une fois par semaine)","5. Régulièrement (Plusieurs fois par semaine)","6. Quotidiennement (Une fois par jour)","7. Très fréquemment (Plusieurs fois par jour)"},0)+1,""),"")</f>
        <v/>
      </c>
      <c r="R714" t="str">
        <f>IF(DONNEES_SOURCE!$CA714=TRUE,DONNEES_SOURCE!$BW714,"")</f>
        <v/>
      </c>
      <c r="S714" t="str">
        <f>IF(DONNEES_SOURCE!$CA714=TRUE,DONNEES_SOURCE!$AU714,"")</f>
        <v/>
      </c>
      <c r="T714" t="str">
        <f>IF(DONNEES_SOURCE!$CA714=TRUE,DONNEES_SOURCE!$BW714,"")</f>
        <v/>
      </c>
      <c r="U714" t="str">
        <f>IF(DONNEES_SOURCE!$CA714=TRUE,IFERROR(MATCH(DONNEES_SOURCE!$B714,{"2. Très rarement (Moins d'une fois par mois)","3. Rarement (1 à 3 fois par mois)","4. Parfois (Environ une fois par semaine)","5. Régulièrement (Plusieurs fois par semaine)","6. Quotidiennement (Une fois par jour)","7. Très fréquemment (Plusieurs fois par jour)"},0)+1,""),"")</f>
        <v/>
      </c>
    </row>
    <row r="715" spans="16:21" x14ac:dyDescent="0.25">
      <c r="P715" t="str">
        <f>IF(DONNEES_SOURCE!$CA715=TRUE,DONNEES_SOURCE!$BV715,"")</f>
        <v/>
      </c>
      <c r="Q715" t="str">
        <f>IF(DONNEES_SOURCE!$CA715=TRUE,IFERROR(MATCH(DONNEES_SOURCE!$B715,{"2. Très rarement (Moins d'une fois par mois)","3. Rarement (1 à 3 fois par mois)","4. Parfois (Environ une fois par semaine)","5. Régulièrement (Plusieurs fois par semaine)","6. Quotidiennement (Une fois par jour)","7. Très fréquemment (Plusieurs fois par jour)"},0)+1,""),"")</f>
        <v/>
      </c>
      <c r="R715" t="str">
        <f>IF(DONNEES_SOURCE!$CA715=TRUE,DONNEES_SOURCE!$BW715,"")</f>
        <v/>
      </c>
      <c r="S715" t="str">
        <f>IF(DONNEES_SOURCE!$CA715=TRUE,DONNEES_SOURCE!$AU715,"")</f>
        <v/>
      </c>
      <c r="T715" t="str">
        <f>IF(DONNEES_SOURCE!$CA715=TRUE,DONNEES_SOURCE!$BW715,"")</f>
        <v/>
      </c>
      <c r="U715" t="str">
        <f>IF(DONNEES_SOURCE!$CA715=TRUE,IFERROR(MATCH(DONNEES_SOURCE!$B715,{"2. Très rarement (Moins d'une fois par mois)","3. Rarement (1 à 3 fois par mois)","4. Parfois (Environ une fois par semaine)","5. Régulièrement (Plusieurs fois par semaine)","6. Quotidiennement (Une fois par jour)","7. Très fréquemment (Plusieurs fois par jour)"},0)+1,""),"")</f>
        <v/>
      </c>
    </row>
    <row r="716" spans="16:21" x14ac:dyDescent="0.25">
      <c r="P716" t="str">
        <f>IF(DONNEES_SOURCE!$CA716=TRUE,DONNEES_SOURCE!$BV716,"")</f>
        <v/>
      </c>
      <c r="Q716" t="str">
        <f>IF(DONNEES_SOURCE!$CA716=TRUE,IFERROR(MATCH(DONNEES_SOURCE!$B716,{"2. Très rarement (Moins d'une fois par mois)","3. Rarement (1 à 3 fois par mois)","4. Parfois (Environ une fois par semaine)","5. Régulièrement (Plusieurs fois par semaine)","6. Quotidiennement (Une fois par jour)","7. Très fréquemment (Plusieurs fois par jour)"},0)+1,""),"")</f>
        <v/>
      </c>
      <c r="R716" t="str">
        <f>IF(DONNEES_SOURCE!$CA716=TRUE,DONNEES_SOURCE!$BW716,"")</f>
        <v/>
      </c>
      <c r="S716" t="str">
        <f>IF(DONNEES_SOURCE!$CA716=TRUE,DONNEES_SOURCE!$AU716,"")</f>
        <v/>
      </c>
      <c r="T716" t="str">
        <f>IF(DONNEES_SOURCE!$CA716=TRUE,DONNEES_SOURCE!$BW716,"")</f>
        <v/>
      </c>
      <c r="U716" t="str">
        <f>IF(DONNEES_SOURCE!$CA716=TRUE,IFERROR(MATCH(DONNEES_SOURCE!$B716,{"2. Très rarement (Moins d'une fois par mois)","3. Rarement (1 à 3 fois par mois)","4. Parfois (Environ une fois par semaine)","5. Régulièrement (Plusieurs fois par semaine)","6. Quotidiennement (Une fois par jour)","7. Très fréquemment (Plusieurs fois par jour)"},0)+1,""),"")</f>
        <v/>
      </c>
    </row>
    <row r="717" spans="16:21" x14ac:dyDescent="0.25">
      <c r="P717" t="str">
        <f>IF(DONNEES_SOURCE!$CA717=TRUE,DONNEES_SOURCE!$BV717,"")</f>
        <v/>
      </c>
      <c r="Q717" t="str">
        <f>IF(DONNEES_SOURCE!$CA717=TRUE,IFERROR(MATCH(DONNEES_SOURCE!$B717,{"2. Très rarement (Moins d'une fois par mois)","3. Rarement (1 à 3 fois par mois)","4. Parfois (Environ une fois par semaine)","5. Régulièrement (Plusieurs fois par semaine)","6. Quotidiennement (Une fois par jour)","7. Très fréquemment (Plusieurs fois par jour)"},0)+1,""),"")</f>
        <v/>
      </c>
      <c r="R717" t="str">
        <f>IF(DONNEES_SOURCE!$CA717=TRUE,DONNEES_SOURCE!$BW717,"")</f>
        <v/>
      </c>
      <c r="S717" t="str">
        <f>IF(DONNEES_SOURCE!$CA717=TRUE,DONNEES_SOURCE!$AU717,"")</f>
        <v/>
      </c>
      <c r="T717" t="str">
        <f>IF(DONNEES_SOURCE!$CA717=TRUE,DONNEES_SOURCE!$BW717,"")</f>
        <v/>
      </c>
      <c r="U717" t="str">
        <f>IF(DONNEES_SOURCE!$CA717=TRUE,IFERROR(MATCH(DONNEES_SOURCE!$B717,{"2. Très rarement (Moins d'une fois par mois)","3. Rarement (1 à 3 fois par mois)","4. Parfois (Environ une fois par semaine)","5. Régulièrement (Plusieurs fois par semaine)","6. Quotidiennement (Une fois par jour)","7. Très fréquemment (Plusieurs fois par jour)"},0)+1,""),"")</f>
        <v/>
      </c>
    </row>
    <row r="718" spans="16:21" x14ac:dyDescent="0.25">
      <c r="P718" t="str">
        <f>IF(DONNEES_SOURCE!$CA718=TRUE,DONNEES_SOURCE!$BV718,"")</f>
        <v/>
      </c>
      <c r="Q718" t="str">
        <f>IF(DONNEES_SOURCE!$CA718=TRUE,IFERROR(MATCH(DONNEES_SOURCE!$B718,{"2. Très rarement (Moins d'une fois par mois)","3. Rarement (1 à 3 fois par mois)","4. Parfois (Environ une fois par semaine)","5. Régulièrement (Plusieurs fois par semaine)","6. Quotidiennement (Une fois par jour)","7. Très fréquemment (Plusieurs fois par jour)"},0)+1,""),"")</f>
        <v/>
      </c>
      <c r="R718" t="str">
        <f>IF(DONNEES_SOURCE!$CA718=TRUE,DONNEES_SOURCE!$BW718,"")</f>
        <v/>
      </c>
      <c r="S718" t="str">
        <f>IF(DONNEES_SOURCE!$CA718=TRUE,DONNEES_SOURCE!$AU718,"")</f>
        <v/>
      </c>
      <c r="T718" t="str">
        <f>IF(DONNEES_SOURCE!$CA718=TRUE,DONNEES_SOURCE!$BW718,"")</f>
        <v/>
      </c>
      <c r="U718" t="str">
        <f>IF(DONNEES_SOURCE!$CA718=TRUE,IFERROR(MATCH(DONNEES_SOURCE!$B718,{"2. Très rarement (Moins d'une fois par mois)","3. Rarement (1 à 3 fois par mois)","4. Parfois (Environ une fois par semaine)","5. Régulièrement (Plusieurs fois par semaine)","6. Quotidiennement (Une fois par jour)","7. Très fréquemment (Plusieurs fois par jour)"},0)+1,""),"")</f>
        <v/>
      </c>
    </row>
    <row r="719" spans="16:21" x14ac:dyDescent="0.25">
      <c r="P719" t="str">
        <f>IF(DONNEES_SOURCE!$CA719=TRUE,DONNEES_SOURCE!$BV719,"")</f>
        <v/>
      </c>
      <c r="Q719" t="str">
        <f>IF(DONNEES_SOURCE!$CA719=TRUE,IFERROR(MATCH(DONNEES_SOURCE!$B719,{"2. Très rarement (Moins d'une fois par mois)","3. Rarement (1 à 3 fois par mois)","4. Parfois (Environ une fois par semaine)","5. Régulièrement (Plusieurs fois par semaine)","6. Quotidiennement (Une fois par jour)","7. Très fréquemment (Plusieurs fois par jour)"},0)+1,""),"")</f>
        <v/>
      </c>
      <c r="R719" t="str">
        <f>IF(DONNEES_SOURCE!$CA719=TRUE,DONNEES_SOURCE!$BW719,"")</f>
        <v/>
      </c>
      <c r="S719" t="str">
        <f>IF(DONNEES_SOURCE!$CA719=TRUE,DONNEES_SOURCE!$AU719,"")</f>
        <v/>
      </c>
      <c r="T719" t="str">
        <f>IF(DONNEES_SOURCE!$CA719=TRUE,DONNEES_SOURCE!$BW719,"")</f>
        <v/>
      </c>
      <c r="U719" t="str">
        <f>IF(DONNEES_SOURCE!$CA719=TRUE,IFERROR(MATCH(DONNEES_SOURCE!$B719,{"2. Très rarement (Moins d'une fois par mois)","3. Rarement (1 à 3 fois par mois)","4. Parfois (Environ une fois par semaine)","5. Régulièrement (Plusieurs fois par semaine)","6. Quotidiennement (Une fois par jour)","7. Très fréquemment (Plusieurs fois par jour)"},0)+1,""),"")</f>
        <v/>
      </c>
    </row>
    <row r="720" spans="16:21" x14ac:dyDescent="0.25">
      <c r="P720" t="str">
        <f>IF(DONNEES_SOURCE!$CA720=TRUE,DONNEES_SOURCE!$BV720,"")</f>
        <v/>
      </c>
      <c r="Q720" t="str">
        <f>IF(DONNEES_SOURCE!$CA720=TRUE,IFERROR(MATCH(DONNEES_SOURCE!$B720,{"2. Très rarement (Moins d'une fois par mois)","3. Rarement (1 à 3 fois par mois)","4. Parfois (Environ une fois par semaine)","5. Régulièrement (Plusieurs fois par semaine)","6. Quotidiennement (Une fois par jour)","7. Très fréquemment (Plusieurs fois par jour)"},0)+1,""),"")</f>
        <v/>
      </c>
      <c r="R720" t="str">
        <f>IF(DONNEES_SOURCE!$CA720=TRUE,DONNEES_SOURCE!$BW720,"")</f>
        <v/>
      </c>
      <c r="S720" t="str">
        <f>IF(DONNEES_SOURCE!$CA720=TRUE,DONNEES_SOURCE!$AU720,"")</f>
        <v/>
      </c>
      <c r="T720" t="str">
        <f>IF(DONNEES_SOURCE!$CA720=TRUE,DONNEES_SOURCE!$BW720,"")</f>
        <v/>
      </c>
      <c r="U720" t="str">
        <f>IF(DONNEES_SOURCE!$CA720=TRUE,IFERROR(MATCH(DONNEES_SOURCE!$B720,{"2. Très rarement (Moins d'une fois par mois)","3. Rarement (1 à 3 fois par mois)","4. Parfois (Environ une fois par semaine)","5. Régulièrement (Plusieurs fois par semaine)","6. Quotidiennement (Une fois par jour)","7. Très fréquemment (Plusieurs fois par jour)"},0)+1,""),"")</f>
        <v/>
      </c>
    </row>
    <row r="721" spans="16:21" x14ac:dyDescent="0.25">
      <c r="P721" t="str">
        <f>IF(DONNEES_SOURCE!$CA721=TRUE,DONNEES_SOURCE!$BV721,"")</f>
        <v/>
      </c>
      <c r="Q721" t="str">
        <f>IF(DONNEES_SOURCE!$CA721=TRUE,IFERROR(MATCH(DONNEES_SOURCE!$B721,{"2. Très rarement (Moins d'une fois par mois)","3. Rarement (1 à 3 fois par mois)","4. Parfois (Environ une fois par semaine)","5. Régulièrement (Plusieurs fois par semaine)","6. Quotidiennement (Une fois par jour)","7. Très fréquemment (Plusieurs fois par jour)"},0)+1,""),"")</f>
        <v/>
      </c>
      <c r="R721" t="str">
        <f>IF(DONNEES_SOURCE!$CA721=TRUE,DONNEES_SOURCE!$BW721,"")</f>
        <v/>
      </c>
      <c r="S721" t="str">
        <f>IF(DONNEES_SOURCE!$CA721=TRUE,DONNEES_SOURCE!$AU721,"")</f>
        <v/>
      </c>
      <c r="T721" t="str">
        <f>IF(DONNEES_SOURCE!$CA721=TRUE,DONNEES_SOURCE!$BW721,"")</f>
        <v/>
      </c>
      <c r="U721" t="str">
        <f>IF(DONNEES_SOURCE!$CA721=TRUE,IFERROR(MATCH(DONNEES_SOURCE!$B721,{"2. Très rarement (Moins d'une fois par mois)","3. Rarement (1 à 3 fois par mois)","4. Parfois (Environ une fois par semaine)","5. Régulièrement (Plusieurs fois par semaine)","6. Quotidiennement (Une fois par jour)","7. Très fréquemment (Plusieurs fois par jour)"},0)+1,""),"")</f>
        <v/>
      </c>
    </row>
    <row r="722" spans="16:21" x14ac:dyDescent="0.25">
      <c r="P722" t="str">
        <f>IF(DONNEES_SOURCE!$CA722=TRUE,DONNEES_SOURCE!$BV722,"")</f>
        <v/>
      </c>
      <c r="Q722" t="str">
        <f>IF(DONNEES_SOURCE!$CA722=TRUE,IFERROR(MATCH(DONNEES_SOURCE!$B722,{"2. Très rarement (Moins d'une fois par mois)","3. Rarement (1 à 3 fois par mois)","4. Parfois (Environ une fois par semaine)","5. Régulièrement (Plusieurs fois par semaine)","6. Quotidiennement (Une fois par jour)","7. Très fréquemment (Plusieurs fois par jour)"},0)+1,""),"")</f>
        <v/>
      </c>
      <c r="R722" t="str">
        <f>IF(DONNEES_SOURCE!$CA722=TRUE,DONNEES_SOURCE!$BW722,"")</f>
        <v/>
      </c>
      <c r="S722" t="str">
        <f>IF(DONNEES_SOURCE!$CA722=TRUE,DONNEES_SOURCE!$AU722,"")</f>
        <v/>
      </c>
      <c r="T722" t="str">
        <f>IF(DONNEES_SOURCE!$CA722=TRUE,DONNEES_SOURCE!$BW722,"")</f>
        <v/>
      </c>
      <c r="U722" t="str">
        <f>IF(DONNEES_SOURCE!$CA722=TRUE,IFERROR(MATCH(DONNEES_SOURCE!$B722,{"2. Très rarement (Moins d'une fois par mois)","3. Rarement (1 à 3 fois par mois)","4. Parfois (Environ une fois par semaine)","5. Régulièrement (Plusieurs fois par semaine)","6. Quotidiennement (Une fois par jour)","7. Très fréquemment (Plusieurs fois par jour)"},0)+1,""),"")</f>
        <v/>
      </c>
    </row>
    <row r="723" spans="16:21" x14ac:dyDescent="0.25">
      <c r="P723" t="str">
        <f>IF(DONNEES_SOURCE!$CA723=TRUE,DONNEES_SOURCE!$BV723,"")</f>
        <v/>
      </c>
      <c r="Q723" t="str">
        <f>IF(DONNEES_SOURCE!$CA723=TRUE,IFERROR(MATCH(DONNEES_SOURCE!$B723,{"2. Très rarement (Moins d'une fois par mois)","3. Rarement (1 à 3 fois par mois)","4. Parfois (Environ une fois par semaine)","5. Régulièrement (Plusieurs fois par semaine)","6. Quotidiennement (Une fois par jour)","7. Très fréquemment (Plusieurs fois par jour)"},0)+1,""),"")</f>
        <v/>
      </c>
      <c r="R723" t="str">
        <f>IF(DONNEES_SOURCE!$CA723=TRUE,DONNEES_SOURCE!$BW723,"")</f>
        <v/>
      </c>
      <c r="S723" t="str">
        <f>IF(DONNEES_SOURCE!$CA723=TRUE,DONNEES_SOURCE!$AU723,"")</f>
        <v/>
      </c>
      <c r="T723" t="str">
        <f>IF(DONNEES_SOURCE!$CA723=TRUE,DONNEES_SOURCE!$BW723,"")</f>
        <v/>
      </c>
      <c r="U723" t="str">
        <f>IF(DONNEES_SOURCE!$CA723=TRUE,IFERROR(MATCH(DONNEES_SOURCE!$B723,{"2. Très rarement (Moins d'une fois par mois)","3. Rarement (1 à 3 fois par mois)","4. Parfois (Environ une fois par semaine)","5. Régulièrement (Plusieurs fois par semaine)","6. Quotidiennement (Une fois par jour)","7. Très fréquemment (Plusieurs fois par jour)"},0)+1,""),"")</f>
        <v/>
      </c>
    </row>
    <row r="724" spans="16:21" x14ac:dyDescent="0.25">
      <c r="P724" t="str">
        <f>IF(DONNEES_SOURCE!$CA724=TRUE,DONNEES_SOURCE!$BV724,"")</f>
        <v/>
      </c>
      <c r="Q724" t="str">
        <f>IF(DONNEES_SOURCE!$CA724=TRUE,IFERROR(MATCH(DONNEES_SOURCE!$B724,{"2. Très rarement (Moins d'une fois par mois)","3. Rarement (1 à 3 fois par mois)","4. Parfois (Environ une fois par semaine)","5. Régulièrement (Plusieurs fois par semaine)","6. Quotidiennement (Une fois par jour)","7. Très fréquemment (Plusieurs fois par jour)"},0)+1,""),"")</f>
        <v/>
      </c>
      <c r="R724" t="str">
        <f>IF(DONNEES_SOURCE!$CA724=TRUE,DONNEES_SOURCE!$BW724,"")</f>
        <v/>
      </c>
      <c r="S724" t="str">
        <f>IF(DONNEES_SOURCE!$CA724=TRUE,DONNEES_SOURCE!$AU724,"")</f>
        <v/>
      </c>
      <c r="T724" t="str">
        <f>IF(DONNEES_SOURCE!$CA724=TRUE,DONNEES_SOURCE!$BW724,"")</f>
        <v/>
      </c>
      <c r="U724" t="str">
        <f>IF(DONNEES_SOURCE!$CA724=TRUE,IFERROR(MATCH(DONNEES_SOURCE!$B724,{"2. Très rarement (Moins d'une fois par mois)","3. Rarement (1 à 3 fois par mois)","4. Parfois (Environ une fois par semaine)","5. Régulièrement (Plusieurs fois par semaine)","6. Quotidiennement (Une fois par jour)","7. Très fréquemment (Plusieurs fois par jour)"},0)+1,""),"")</f>
        <v/>
      </c>
    </row>
    <row r="725" spans="16:21" x14ac:dyDescent="0.25">
      <c r="P725" t="str">
        <f>IF(DONNEES_SOURCE!$CA725=TRUE,DONNEES_SOURCE!$BV725,"")</f>
        <v/>
      </c>
      <c r="Q725" t="str">
        <f>IF(DONNEES_SOURCE!$CA725=TRUE,IFERROR(MATCH(DONNEES_SOURCE!$B725,{"2. Très rarement (Moins d'une fois par mois)","3. Rarement (1 à 3 fois par mois)","4. Parfois (Environ une fois par semaine)","5. Régulièrement (Plusieurs fois par semaine)","6. Quotidiennement (Une fois par jour)","7. Très fréquemment (Plusieurs fois par jour)"},0)+1,""),"")</f>
        <v/>
      </c>
      <c r="R725" t="str">
        <f>IF(DONNEES_SOURCE!$CA725=TRUE,DONNEES_SOURCE!$BW725,"")</f>
        <v/>
      </c>
      <c r="S725" t="str">
        <f>IF(DONNEES_SOURCE!$CA725=TRUE,DONNEES_SOURCE!$AU725,"")</f>
        <v/>
      </c>
      <c r="T725" t="str">
        <f>IF(DONNEES_SOURCE!$CA725=TRUE,DONNEES_SOURCE!$BW725,"")</f>
        <v/>
      </c>
      <c r="U725" t="str">
        <f>IF(DONNEES_SOURCE!$CA725=TRUE,IFERROR(MATCH(DONNEES_SOURCE!$B725,{"2. Très rarement (Moins d'une fois par mois)","3. Rarement (1 à 3 fois par mois)","4. Parfois (Environ une fois par semaine)","5. Régulièrement (Plusieurs fois par semaine)","6. Quotidiennement (Une fois par jour)","7. Très fréquemment (Plusieurs fois par jour)"},0)+1,""),"")</f>
        <v/>
      </c>
    </row>
    <row r="726" spans="16:21" x14ac:dyDescent="0.25">
      <c r="P726" t="str">
        <f>IF(DONNEES_SOURCE!$CA726=TRUE,DONNEES_SOURCE!$BV726,"")</f>
        <v/>
      </c>
      <c r="Q726" t="str">
        <f>IF(DONNEES_SOURCE!$CA726=TRUE,IFERROR(MATCH(DONNEES_SOURCE!$B726,{"2. Très rarement (Moins d'une fois par mois)","3. Rarement (1 à 3 fois par mois)","4. Parfois (Environ une fois par semaine)","5. Régulièrement (Plusieurs fois par semaine)","6. Quotidiennement (Une fois par jour)","7. Très fréquemment (Plusieurs fois par jour)"},0)+1,""),"")</f>
        <v/>
      </c>
      <c r="R726" t="str">
        <f>IF(DONNEES_SOURCE!$CA726=TRUE,DONNEES_SOURCE!$BW726,"")</f>
        <v/>
      </c>
      <c r="S726" t="str">
        <f>IF(DONNEES_SOURCE!$CA726=TRUE,DONNEES_SOURCE!$AU726,"")</f>
        <v/>
      </c>
      <c r="T726" t="str">
        <f>IF(DONNEES_SOURCE!$CA726=TRUE,DONNEES_SOURCE!$BW726,"")</f>
        <v/>
      </c>
      <c r="U726" t="str">
        <f>IF(DONNEES_SOURCE!$CA726=TRUE,IFERROR(MATCH(DONNEES_SOURCE!$B726,{"2. Très rarement (Moins d'une fois par mois)","3. Rarement (1 à 3 fois par mois)","4. Parfois (Environ une fois par semaine)","5. Régulièrement (Plusieurs fois par semaine)","6. Quotidiennement (Une fois par jour)","7. Très fréquemment (Plusieurs fois par jour)"},0)+1,""),"")</f>
        <v/>
      </c>
    </row>
    <row r="727" spans="16:21" x14ac:dyDescent="0.25">
      <c r="P727" t="str">
        <f>IF(DONNEES_SOURCE!$CA727=TRUE,DONNEES_SOURCE!$BV727,"")</f>
        <v/>
      </c>
      <c r="Q727" t="str">
        <f>IF(DONNEES_SOURCE!$CA727=TRUE,IFERROR(MATCH(DONNEES_SOURCE!$B727,{"2. Très rarement (Moins d'une fois par mois)","3. Rarement (1 à 3 fois par mois)","4. Parfois (Environ une fois par semaine)","5. Régulièrement (Plusieurs fois par semaine)","6. Quotidiennement (Une fois par jour)","7. Très fréquemment (Plusieurs fois par jour)"},0)+1,""),"")</f>
        <v/>
      </c>
      <c r="R727" t="str">
        <f>IF(DONNEES_SOURCE!$CA727=TRUE,DONNEES_SOURCE!$BW727,"")</f>
        <v/>
      </c>
      <c r="S727" t="str">
        <f>IF(DONNEES_SOURCE!$CA727=TRUE,DONNEES_SOURCE!$AU727,"")</f>
        <v/>
      </c>
      <c r="T727" t="str">
        <f>IF(DONNEES_SOURCE!$CA727=TRUE,DONNEES_SOURCE!$BW727,"")</f>
        <v/>
      </c>
      <c r="U727" t="str">
        <f>IF(DONNEES_SOURCE!$CA727=TRUE,IFERROR(MATCH(DONNEES_SOURCE!$B727,{"2. Très rarement (Moins d'une fois par mois)","3. Rarement (1 à 3 fois par mois)","4. Parfois (Environ une fois par semaine)","5. Régulièrement (Plusieurs fois par semaine)","6. Quotidiennement (Une fois par jour)","7. Très fréquemment (Plusieurs fois par jour)"},0)+1,""),"")</f>
        <v/>
      </c>
    </row>
    <row r="728" spans="16:21" x14ac:dyDescent="0.25">
      <c r="P728" t="str">
        <f>IF(DONNEES_SOURCE!$CA728=TRUE,DONNEES_SOURCE!$BV728,"")</f>
        <v/>
      </c>
      <c r="Q728" t="str">
        <f>IF(DONNEES_SOURCE!$CA728=TRUE,IFERROR(MATCH(DONNEES_SOURCE!$B728,{"2. Très rarement (Moins d'une fois par mois)","3. Rarement (1 à 3 fois par mois)","4. Parfois (Environ une fois par semaine)","5. Régulièrement (Plusieurs fois par semaine)","6. Quotidiennement (Une fois par jour)","7. Très fréquemment (Plusieurs fois par jour)"},0)+1,""),"")</f>
        <v/>
      </c>
      <c r="R728" t="str">
        <f>IF(DONNEES_SOURCE!$CA728=TRUE,DONNEES_SOURCE!$BW728,"")</f>
        <v/>
      </c>
      <c r="S728" t="str">
        <f>IF(DONNEES_SOURCE!$CA728=TRUE,DONNEES_SOURCE!$AU728,"")</f>
        <v/>
      </c>
      <c r="T728" t="str">
        <f>IF(DONNEES_SOURCE!$CA728=TRUE,DONNEES_SOURCE!$BW728,"")</f>
        <v/>
      </c>
      <c r="U728" t="str">
        <f>IF(DONNEES_SOURCE!$CA728=TRUE,IFERROR(MATCH(DONNEES_SOURCE!$B728,{"2. Très rarement (Moins d'une fois par mois)","3. Rarement (1 à 3 fois par mois)","4. Parfois (Environ une fois par semaine)","5. Régulièrement (Plusieurs fois par semaine)","6. Quotidiennement (Une fois par jour)","7. Très fréquemment (Plusieurs fois par jour)"},0)+1,""),"")</f>
        <v/>
      </c>
    </row>
    <row r="729" spans="16:21" x14ac:dyDescent="0.25">
      <c r="P729" t="str">
        <f>IF(DONNEES_SOURCE!$CA729=TRUE,DONNEES_SOURCE!$BV729,"")</f>
        <v/>
      </c>
      <c r="Q729" t="str">
        <f>IF(DONNEES_SOURCE!$CA729=TRUE,IFERROR(MATCH(DONNEES_SOURCE!$B729,{"2. Très rarement (Moins d'une fois par mois)","3. Rarement (1 à 3 fois par mois)","4. Parfois (Environ une fois par semaine)","5. Régulièrement (Plusieurs fois par semaine)","6. Quotidiennement (Une fois par jour)","7. Très fréquemment (Plusieurs fois par jour)"},0)+1,""),"")</f>
        <v/>
      </c>
      <c r="R729" t="str">
        <f>IF(DONNEES_SOURCE!$CA729=TRUE,DONNEES_SOURCE!$BW729,"")</f>
        <v/>
      </c>
      <c r="S729" t="str">
        <f>IF(DONNEES_SOURCE!$CA729=TRUE,DONNEES_SOURCE!$AU729,"")</f>
        <v/>
      </c>
      <c r="T729" t="str">
        <f>IF(DONNEES_SOURCE!$CA729=TRUE,DONNEES_SOURCE!$BW729,"")</f>
        <v/>
      </c>
      <c r="U729" t="str">
        <f>IF(DONNEES_SOURCE!$CA729=TRUE,IFERROR(MATCH(DONNEES_SOURCE!$B729,{"2. Très rarement (Moins d'une fois par mois)","3. Rarement (1 à 3 fois par mois)","4. Parfois (Environ une fois par semaine)","5. Régulièrement (Plusieurs fois par semaine)","6. Quotidiennement (Une fois par jour)","7. Très fréquemment (Plusieurs fois par jour)"},0)+1,""),"")</f>
        <v/>
      </c>
    </row>
    <row r="730" spans="16:21" x14ac:dyDescent="0.25">
      <c r="P730" t="str">
        <f>IF(DONNEES_SOURCE!$CA730=TRUE,DONNEES_SOURCE!$BV730,"")</f>
        <v/>
      </c>
      <c r="Q730" t="str">
        <f>IF(DONNEES_SOURCE!$CA730=TRUE,IFERROR(MATCH(DONNEES_SOURCE!$B730,{"2. Très rarement (Moins d'une fois par mois)","3. Rarement (1 à 3 fois par mois)","4. Parfois (Environ une fois par semaine)","5. Régulièrement (Plusieurs fois par semaine)","6. Quotidiennement (Une fois par jour)","7. Très fréquemment (Plusieurs fois par jour)"},0)+1,""),"")</f>
        <v/>
      </c>
      <c r="R730" t="str">
        <f>IF(DONNEES_SOURCE!$CA730=TRUE,DONNEES_SOURCE!$BW730,"")</f>
        <v/>
      </c>
      <c r="S730" t="str">
        <f>IF(DONNEES_SOURCE!$CA730=TRUE,DONNEES_SOURCE!$AU730,"")</f>
        <v/>
      </c>
      <c r="T730" t="str">
        <f>IF(DONNEES_SOURCE!$CA730=TRUE,DONNEES_SOURCE!$BW730,"")</f>
        <v/>
      </c>
      <c r="U730" t="str">
        <f>IF(DONNEES_SOURCE!$CA730=TRUE,IFERROR(MATCH(DONNEES_SOURCE!$B730,{"2. Très rarement (Moins d'une fois par mois)","3. Rarement (1 à 3 fois par mois)","4. Parfois (Environ une fois par semaine)","5. Régulièrement (Plusieurs fois par semaine)","6. Quotidiennement (Une fois par jour)","7. Très fréquemment (Plusieurs fois par jour)"},0)+1,""),"")</f>
        <v/>
      </c>
    </row>
    <row r="731" spans="16:21" x14ac:dyDescent="0.25">
      <c r="P731" t="str">
        <f>IF(DONNEES_SOURCE!$CA731=TRUE,DONNEES_SOURCE!$BV731,"")</f>
        <v/>
      </c>
      <c r="Q731" t="str">
        <f>IF(DONNEES_SOURCE!$CA731=TRUE,IFERROR(MATCH(DONNEES_SOURCE!$B731,{"2. Très rarement (Moins d'une fois par mois)","3. Rarement (1 à 3 fois par mois)","4. Parfois (Environ une fois par semaine)","5. Régulièrement (Plusieurs fois par semaine)","6. Quotidiennement (Une fois par jour)","7. Très fréquemment (Plusieurs fois par jour)"},0)+1,""),"")</f>
        <v/>
      </c>
      <c r="R731" t="str">
        <f>IF(DONNEES_SOURCE!$CA731=TRUE,DONNEES_SOURCE!$BW731,"")</f>
        <v/>
      </c>
      <c r="S731" t="str">
        <f>IF(DONNEES_SOURCE!$CA731=TRUE,DONNEES_SOURCE!$AU731,"")</f>
        <v/>
      </c>
      <c r="T731" t="str">
        <f>IF(DONNEES_SOURCE!$CA731=TRUE,DONNEES_SOURCE!$BW731,"")</f>
        <v/>
      </c>
      <c r="U731" t="str">
        <f>IF(DONNEES_SOURCE!$CA731=TRUE,IFERROR(MATCH(DONNEES_SOURCE!$B731,{"2. Très rarement (Moins d'une fois par mois)","3. Rarement (1 à 3 fois par mois)","4. Parfois (Environ une fois par semaine)","5. Régulièrement (Plusieurs fois par semaine)","6. Quotidiennement (Une fois par jour)","7. Très fréquemment (Plusieurs fois par jour)"},0)+1,""),"")</f>
        <v/>
      </c>
    </row>
    <row r="732" spans="16:21" x14ac:dyDescent="0.25">
      <c r="P732" t="str">
        <f>IF(DONNEES_SOURCE!$CA732=TRUE,DONNEES_SOURCE!$BV732,"")</f>
        <v/>
      </c>
      <c r="Q732" t="str">
        <f>IF(DONNEES_SOURCE!$CA732=TRUE,IFERROR(MATCH(DONNEES_SOURCE!$B732,{"2. Très rarement (Moins d'une fois par mois)","3. Rarement (1 à 3 fois par mois)","4. Parfois (Environ une fois par semaine)","5. Régulièrement (Plusieurs fois par semaine)","6. Quotidiennement (Une fois par jour)","7. Très fréquemment (Plusieurs fois par jour)"},0)+1,""),"")</f>
        <v/>
      </c>
      <c r="R732" t="str">
        <f>IF(DONNEES_SOURCE!$CA732=TRUE,DONNEES_SOURCE!$BW732,"")</f>
        <v/>
      </c>
      <c r="S732" t="str">
        <f>IF(DONNEES_SOURCE!$CA732=TRUE,DONNEES_SOURCE!$AU732,"")</f>
        <v/>
      </c>
      <c r="T732" t="str">
        <f>IF(DONNEES_SOURCE!$CA732=TRUE,DONNEES_SOURCE!$BW732,"")</f>
        <v/>
      </c>
      <c r="U732" t="str">
        <f>IF(DONNEES_SOURCE!$CA732=TRUE,IFERROR(MATCH(DONNEES_SOURCE!$B732,{"2. Très rarement (Moins d'une fois par mois)","3. Rarement (1 à 3 fois par mois)","4. Parfois (Environ une fois par semaine)","5. Régulièrement (Plusieurs fois par semaine)","6. Quotidiennement (Une fois par jour)","7. Très fréquemment (Plusieurs fois par jour)"},0)+1,""),"")</f>
        <v/>
      </c>
    </row>
    <row r="733" spans="16:21" x14ac:dyDescent="0.25">
      <c r="P733" t="str">
        <f>IF(DONNEES_SOURCE!$CA733=TRUE,DONNEES_SOURCE!$BV733,"")</f>
        <v/>
      </c>
      <c r="Q733" t="str">
        <f>IF(DONNEES_SOURCE!$CA733=TRUE,IFERROR(MATCH(DONNEES_SOURCE!$B733,{"2. Très rarement (Moins d'une fois par mois)","3. Rarement (1 à 3 fois par mois)","4. Parfois (Environ une fois par semaine)","5. Régulièrement (Plusieurs fois par semaine)","6. Quotidiennement (Une fois par jour)","7. Très fréquemment (Plusieurs fois par jour)"},0)+1,""),"")</f>
        <v/>
      </c>
      <c r="R733" t="str">
        <f>IF(DONNEES_SOURCE!$CA733=TRUE,DONNEES_SOURCE!$BW733,"")</f>
        <v/>
      </c>
      <c r="S733" t="str">
        <f>IF(DONNEES_SOURCE!$CA733=TRUE,DONNEES_SOURCE!$AU733,"")</f>
        <v/>
      </c>
      <c r="T733" t="str">
        <f>IF(DONNEES_SOURCE!$CA733=TRUE,DONNEES_SOURCE!$BW733,"")</f>
        <v/>
      </c>
      <c r="U733" t="str">
        <f>IF(DONNEES_SOURCE!$CA733=TRUE,IFERROR(MATCH(DONNEES_SOURCE!$B733,{"2. Très rarement (Moins d'une fois par mois)","3. Rarement (1 à 3 fois par mois)","4. Parfois (Environ une fois par semaine)","5. Régulièrement (Plusieurs fois par semaine)","6. Quotidiennement (Une fois par jour)","7. Très fréquemment (Plusieurs fois par jour)"},0)+1,""),"")</f>
        <v/>
      </c>
    </row>
    <row r="734" spans="16:21" x14ac:dyDescent="0.25">
      <c r="P734" t="str">
        <f>IF(DONNEES_SOURCE!$CA734=TRUE,DONNEES_SOURCE!$BV734,"")</f>
        <v/>
      </c>
      <c r="Q734" t="str">
        <f>IF(DONNEES_SOURCE!$CA734=TRUE,IFERROR(MATCH(DONNEES_SOURCE!$B734,{"2. Très rarement (Moins d'une fois par mois)","3. Rarement (1 à 3 fois par mois)","4. Parfois (Environ une fois par semaine)","5. Régulièrement (Plusieurs fois par semaine)","6. Quotidiennement (Une fois par jour)","7. Très fréquemment (Plusieurs fois par jour)"},0)+1,""),"")</f>
        <v/>
      </c>
      <c r="R734" t="str">
        <f>IF(DONNEES_SOURCE!$CA734=TRUE,DONNEES_SOURCE!$BW734,"")</f>
        <v/>
      </c>
      <c r="S734" t="str">
        <f>IF(DONNEES_SOURCE!$CA734=TRUE,DONNEES_SOURCE!$AU734,"")</f>
        <v/>
      </c>
      <c r="T734" t="str">
        <f>IF(DONNEES_SOURCE!$CA734=TRUE,DONNEES_SOURCE!$BW734,"")</f>
        <v/>
      </c>
      <c r="U734" t="str">
        <f>IF(DONNEES_SOURCE!$CA734=TRUE,IFERROR(MATCH(DONNEES_SOURCE!$B734,{"2. Très rarement (Moins d'une fois par mois)","3. Rarement (1 à 3 fois par mois)","4. Parfois (Environ une fois par semaine)","5. Régulièrement (Plusieurs fois par semaine)","6. Quotidiennement (Une fois par jour)","7. Très fréquemment (Plusieurs fois par jour)"},0)+1,""),"")</f>
        <v/>
      </c>
    </row>
    <row r="735" spans="16:21" x14ac:dyDescent="0.25">
      <c r="P735" t="str">
        <f>IF(DONNEES_SOURCE!$CA735=TRUE,DONNEES_SOURCE!$BV735,"")</f>
        <v/>
      </c>
      <c r="Q735" t="str">
        <f>IF(DONNEES_SOURCE!$CA735=TRUE,IFERROR(MATCH(DONNEES_SOURCE!$B735,{"2. Très rarement (Moins d'une fois par mois)","3. Rarement (1 à 3 fois par mois)","4. Parfois (Environ une fois par semaine)","5. Régulièrement (Plusieurs fois par semaine)","6. Quotidiennement (Une fois par jour)","7. Très fréquemment (Plusieurs fois par jour)"},0)+1,""),"")</f>
        <v/>
      </c>
      <c r="R735" t="str">
        <f>IF(DONNEES_SOURCE!$CA735=TRUE,DONNEES_SOURCE!$BW735,"")</f>
        <v/>
      </c>
      <c r="S735" t="str">
        <f>IF(DONNEES_SOURCE!$CA735=TRUE,DONNEES_SOURCE!$AU735,"")</f>
        <v/>
      </c>
      <c r="T735" t="str">
        <f>IF(DONNEES_SOURCE!$CA735=TRUE,DONNEES_SOURCE!$BW735,"")</f>
        <v/>
      </c>
      <c r="U735" t="str">
        <f>IF(DONNEES_SOURCE!$CA735=TRUE,IFERROR(MATCH(DONNEES_SOURCE!$B735,{"2. Très rarement (Moins d'une fois par mois)","3. Rarement (1 à 3 fois par mois)","4. Parfois (Environ une fois par semaine)","5. Régulièrement (Plusieurs fois par semaine)","6. Quotidiennement (Une fois par jour)","7. Très fréquemment (Plusieurs fois par jour)"},0)+1,""),"")</f>
        <v/>
      </c>
    </row>
    <row r="736" spans="16:21" x14ac:dyDescent="0.25">
      <c r="P736" t="str">
        <f>IF(DONNEES_SOURCE!$CA736=TRUE,DONNEES_SOURCE!$BV736,"")</f>
        <v/>
      </c>
      <c r="Q736" t="str">
        <f>IF(DONNEES_SOURCE!$CA736=TRUE,IFERROR(MATCH(DONNEES_SOURCE!$B736,{"2. Très rarement (Moins d'une fois par mois)","3. Rarement (1 à 3 fois par mois)","4. Parfois (Environ une fois par semaine)","5. Régulièrement (Plusieurs fois par semaine)","6. Quotidiennement (Une fois par jour)","7. Très fréquemment (Plusieurs fois par jour)"},0)+1,""),"")</f>
        <v/>
      </c>
      <c r="R736" t="str">
        <f>IF(DONNEES_SOURCE!$CA736=TRUE,DONNEES_SOURCE!$BW736,"")</f>
        <v/>
      </c>
      <c r="S736" t="str">
        <f>IF(DONNEES_SOURCE!$CA736=TRUE,DONNEES_SOURCE!$AU736,"")</f>
        <v/>
      </c>
      <c r="T736" t="str">
        <f>IF(DONNEES_SOURCE!$CA736=TRUE,DONNEES_SOURCE!$BW736,"")</f>
        <v/>
      </c>
      <c r="U736" t="str">
        <f>IF(DONNEES_SOURCE!$CA736=TRUE,IFERROR(MATCH(DONNEES_SOURCE!$B736,{"2. Très rarement (Moins d'une fois par mois)","3. Rarement (1 à 3 fois par mois)","4. Parfois (Environ une fois par semaine)","5. Régulièrement (Plusieurs fois par semaine)","6. Quotidiennement (Une fois par jour)","7. Très fréquemment (Plusieurs fois par jour)"},0)+1,""),"")</f>
        <v/>
      </c>
    </row>
    <row r="737" spans="16:21" x14ac:dyDescent="0.25">
      <c r="P737" t="str">
        <f>IF(DONNEES_SOURCE!$CA737=TRUE,DONNEES_SOURCE!$BV737,"")</f>
        <v/>
      </c>
      <c r="Q737" t="str">
        <f>IF(DONNEES_SOURCE!$CA737=TRUE,IFERROR(MATCH(DONNEES_SOURCE!$B737,{"2. Très rarement (Moins d'une fois par mois)","3. Rarement (1 à 3 fois par mois)","4. Parfois (Environ une fois par semaine)","5. Régulièrement (Plusieurs fois par semaine)","6. Quotidiennement (Une fois par jour)","7. Très fréquemment (Plusieurs fois par jour)"},0)+1,""),"")</f>
        <v/>
      </c>
      <c r="R737" t="str">
        <f>IF(DONNEES_SOURCE!$CA737=TRUE,DONNEES_SOURCE!$BW737,"")</f>
        <v/>
      </c>
      <c r="S737" t="str">
        <f>IF(DONNEES_SOURCE!$CA737=TRUE,DONNEES_SOURCE!$AU737,"")</f>
        <v/>
      </c>
      <c r="T737" t="str">
        <f>IF(DONNEES_SOURCE!$CA737=TRUE,DONNEES_SOURCE!$BW737,"")</f>
        <v/>
      </c>
      <c r="U737" t="str">
        <f>IF(DONNEES_SOURCE!$CA737=TRUE,IFERROR(MATCH(DONNEES_SOURCE!$B737,{"2. Très rarement (Moins d'une fois par mois)","3. Rarement (1 à 3 fois par mois)","4. Parfois (Environ une fois par semaine)","5. Régulièrement (Plusieurs fois par semaine)","6. Quotidiennement (Une fois par jour)","7. Très fréquemment (Plusieurs fois par jour)"},0)+1,""),"")</f>
        <v/>
      </c>
    </row>
    <row r="738" spans="16:21" x14ac:dyDescent="0.25">
      <c r="P738" t="str">
        <f>IF(DONNEES_SOURCE!$CA738=TRUE,DONNEES_SOURCE!$BV738,"")</f>
        <v/>
      </c>
      <c r="Q738" t="str">
        <f>IF(DONNEES_SOURCE!$CA738=TRUE,IFERROR(MATCH(DONNEES_SOURCE!$B738,{"2. Très rarement (Moins d'une fois par mois)","3. Rarement (1 à 3 fois par mois)","4. Parfois (Environ une fois par semaine)","5. Régulièrement (Plusieurs fois par semaine)","6. Quotidiennement (Une fois par jour)","7. Très fréquemment (Plusieurs fois par jour)"},0)+1,""),"")</f>
        <v/>
      </c>
      <c r="R738" t="str">
        <f>IF(DONNEES_SOURCE!$CA738=TRUE,DONNEES_SOURCE!$BW738,"")</f>
        <v/>
      </c>
      <c r="S738" t="str">
        <f>IF(DONNEES_SOURCE!$CA738=TRUE,DONNEES_SOURCE!$AU738,"")</f>
        <v/>
      </c>
      <c r="T738" t="str">
        <f>IF(DONNEES_SOURCE!$CA738=TRUE,DONNEES_SOURCE!$BW738,"")</f>
        <v/>
      </c>
      <c r="U738" t="str">
        <f>IF(DONNEES_SOURCE!$CA738=TRUE,IFERROR(MATCH(DONNEES_SOURCE!$B738,{"2. Très rarement (Moins d'une fois par mois)","3. Rarement (1 à 3 fois par mois)","4. Parfois (Environ une fois par semaine)","5. Régulièrement (Plusieurs fois par semaine)","6. Quotidiennement (Une fois par jour)","7. Très fréquemment (Plusieurs fois par jour)"},0)+1,""),"")</f>
        <v/>
      </c>
    </row>
    <row r="739" spans="16:21" x14ac:dyDescent="0.25">
      <c r="P739" t="str">
        <f>IF(DONNEES_SOURCE!$CA739=TRUE,DONNEES_SOURCE!$BV739,"")</f>
        <v/>
      </c>
      <c r="Q739" t="str">
        <f>IF(DONNEES_SOURCE!$CA739=TRUE,IFERROR(MATCH(DONNEES_SOURCE!$B739,{"2. Très rarement (Moins d'une fois par mois)","3. Rarement (1 à 3 fois par mois)","4. Parfois (Environ une fois par semaine)","5. Régulièrement (Plusieurs fois par semaine)","6. Quotidiennement (Une fois par jour)","7. Très fréquemment (Plusieurs fois par jour)"},0)+1,""),"")</f>
        <v/>
      </c>
      <c r="R739" t="str">
        <f>IF(DONNEES_SOURCE!$CA739=TRUE,DONNEES_SOURCE!$BW739,"")</f>
        <v/>
      </c>
      <c r="S739" t="str">
        <f>IF(DONNEES_SOURCE!$CA739=TRUE,DONNEES_SOURCE!$AU739,"")</f>
        <v/>
      </c>
      <c r="T739" t="str">
        <f>IF(DONNEES_SOURCE!$CA739=TRUE,DONNEES_SOURCE!$BW739,"")</f>
        <v/>
      </c>
      <c r="U739" t="str">
        <f>IF(DONNEES_SOURCE!$CA739=TRUE,IFERROR(MATCH(DONNEES_SOURCE!$B739,{"2. Très rarement (Moins d'une fois par mois)","3. Rarement (1 à 3 fois par mois)","4. Parfois (Environ une fois par semaine)","5. Régulièrement (Plusieurs fois par semaine)","6. Quotidiennement (Une fois par jour)","7. Très fréquemment (Plusieurs fois par jour)"},0)+1,""),"")</f>
        <v/>
      </c>
    </row>
    <row r="740" spans="16:21" x14ac:dyDescent="0.25">
      <c r="P740" t="str">
        <f>IF(DONNEES_SOURCE!$CA740=TRUE,DONNEES_SOURCE!$BV740,"")</f>
        <v/>
      </c>
      <c r="Q740" t="str">
        <f>IF(DONNEES_SOURCE!$CA740=TRUE,IFERROR(MATCH(DONNEES_SOURCE!$B740,{"2. Très rarement (Moins d'une fois par mois)","3. Rarement (1 à 3 fois par mois)","4. Parfois (Environ une fois par semaine)","5. Régulièrement (Plusieurs fois par semaine)","6. Quotidiennement (Une fois par jour)","7. Très fréquemment (Plusieurs fois par jour)"},0)+1,""),"")</f>
        <v/>
      </c>
      <c r="R740" t="str">
        <f>IF(DONNEES_SOURCE!$CA740=TRUE,DONNEES_SOURCE!$BW740,"")</f>
        <v/>
      </c>
      <c r="S740" t="str">
        <f>IF(DONNEES_SOURCE!$CA740=TRUE,DONNEES_SOURCE!$AU740,"")</f>
        <v/>
      </c>
      <c r="T740" t="str">
        <f>IF(DONNEES_SOURCE!$CA740=TRUE,DONNEES_SOURCE!$BW740,"")</f>
        <v/>
      </c>
      <c r="U740" t="str">
        <f>IF(DONNEES_SOURCE!$CA740=TRUE,IFERROR(MATCH(DONNEES_SOURCE!$B740,{"2. Très rarement (Moins d'une fois par mois)","3. Rarement (1 à 3 fois par mois)","4. Parfois (Environ une fois par semaine)","5. Régulièrement (Plusieurs fois par semaine)","6. Quotidiennement (Une fois par jour)","7. Très fréquemment (Plusieurs fois par jour)"},0)+1,""),"")</f>
        <v/>
      </c>
    </row>
    <row r="741" spans="16:21" x14ac:dyDescent="0.25">
      <c r="P741" t="str">
        <f>IF(DONNEES_SOURCE!$CA741=TRUE,DONNEES_SOURCE!$BV741,"")</f>
        <v/>
      </c>
      <c r="Q741" t="str">
        <f>IF(DONNEES_SOURCE!$CA741=TRUE,IFERROR(MATCH(DONNEES_SOURCE!$B741,{"2. Très rarement (Moins d'une fois par mois)","3. Rarement (1 à 3 fois par mois)","4. Parfois (Environ une fois par semaine)","5. Régulièrement (Plusieurs fois par semaine)","6. Quotidiennement (Une fois par jour)","7. Très fréquemment (Plusieurs fois par jour)"},0)+1,""),"")</f>
        <v/>
      </c>
      <c r="R741" t="str">
        <f>IF(DONNEES_SOURCE!$CA741=TRUE,DONNEES_SOURCE!$BW741,"")</f>
        <v/>
      </c>
      <c r="S741" t="str">
        <f>IF(DONNEES_SOURCE!$CA741=TRUE,DONNEES_SOURCE!$AU741,"")</f>
        <v/>
      </c>
      <c r="T741" t="str">
        <f>IF(DONNEES_SOURCE!$CA741=TRUE,DONNEES_SOURCE!$BW741,"")</f>
        <v/>
      </c>
      <c r="U741" t="str">
        <f>IF(DONNEES_SOURCE!$CA741=TRUE,IFERROR(MATCH(DONNEES_SOURCE!$B741,{"2. Très rarement (Moins d'une fois par mois)","3. Rarement (1 à 3 fois par mois)","4. Parfois (Environ une fois par semaine)","5. Régulièrement (Plusieurs fois par semaine)","6. Quotidiennement (Une fois par jour)","7. Très fréquemment (Plusieurs fois par jour)"},0)+1,""),"")</f>
        <v/>
      </c>
    </row>
    <row r="742" spans="16:21" x14ac:dyDescent="0.25">
      <c r="P742" t="str">
        <f>IF(DONNEES_SOURCE!$CA742=TRUE,DONNEES_SOURCE!$BV742,"")</f>
        <v/>
      </c>
      <c r="Q742" t="str">
        <f>IF(DONNEES_SOURCE!$CA742=TRUE,IFERROR(MATCH(DONNEES_SOURCE!$B742,{"2. Très rarement (Moins d'une fois par mois)","3. Rarement (1 à 3 fois par mois)","4. Parfois (Environ une fois par semaine)","5. Régulièrement (Plusieurs fois par semaine)","6. Quotidiennement (Une fois par jour)","7. Très fréquemment (Plusieurs fois par jour)"},0)+1,""),"")</f>
        <v/>
      </c>
      <c r="R742" t="str">
        <f>IF(DONNEES_SOURCE!$CA742=TRUE,DONNEES_SOURCE!$BW742,"")</f>
        <v/>
      </c>
      <c r="S742" t="str">
        <f>IF(DONNEES_SOURCE!$CA742=TRUE,DONNEES_SOURCE!$AU742,"")</f>
        <v/>
      </c>
      <c r="T742" t="str">
        <f>IF(DONNEES_SOURCE!$CA742=TRUE,DONNEES_SOURCE!$BW742,"")</f>
        <v/>
      </c>
      <c r="U742" t="str">
        <f>IF(DONNEES_SOURCE!$CA742=TRUE,IFERROR(MATCH(DONNEES_SOURCE!$B742,{"2. Très rarement (Moins d'une fois par mois)","3. Rarement (1 à 3 fois par mois)","4. Parfois (Environ une fois par semaine)","5. Régulièrement (Plusieurs fois par semaine)","6. Quotidiennement (Une fois par jour)","7. Très fréquemment (Plusieurs fois par jour)"},0)+1,""),"")</f>
        <v/>
      </c>
    </row>
    <row r="743" spans="16:21" x14ac:dyDescent="0.25">
      <c r="P743" t="str">
        <f>IF(DONNEES_SOURCE!$CA743=TRUE,DONNEES_SOURCE!$BV743,"")</f>
        <v/>
      </c>
      <c r="Q743" t="str">
        <f>IF(DONNEES_SOURCE!$CA743=TRUE,IFERROR(MATCH(DONNEES_SOURCE!$B743,{"2. Très rarement (Moins d'une fois par mois)","3. Rarement (1 à 3 fois par mois)","4. Parfois (Environ une fois par semaine)","5. Régulièrement (Plusieurs fois par semaine)","6. Quotidiennement (Une fois par jour)","7. Très fréquemment (Plusieurs fois par jour)"},0)+1,""),"")</f>
        <v/>
      </c>
      <c r="R743" t="str">
        <f>IF(DONNEES_SOURCE!$CA743=TRUE,DONNEES_SOURCE!$BW743,"")</f>
        <v/>
      </c>
      <c r="S743" t="str">
        <f>IF(DONNEES_SOURCE!$CA743=TRUE,DONNEES_SOURCE!$AU743,"")</f>
        <v/>
      </c>
      <c r="T743" t="str">
        <f>IF(DONNEES_SOURCE!$CA743=TRUE,DONNEES_SOURCE!$BW743,"")</f>
        <v/>
      </c>
      <c r="U743" t="str">
        <f>IF(DONNEES_SOURCE!$CA743=TRUE,IFERROR(MATCH(DONNEES_SOURCE!$B743,{"2. Très rarement (Moins d'une fois par mois)","3. Rarement (1 à 3 fois par mois)","4. Parfois (Environ une fois par semaine)","5. Régulièrement (Plusieurs fois par semaine)","6. Quotidiennement (Une fois par jour)","7. Très fréquemment (Plusieurs fois par jour)"},0)+1,""),"")</f>
        <v/>
      </c>
    </row>
    <row r="744" spans="16:21" x14ac:dyDescent="0.25">
      <c r="P744" t="str">
        <f>IF(DONNEES_SOURCE!$CA744=TRUE,DONNEES_SOURCE!$BV744,"")</f>
        <v/>
      </c>
      <c r="Q744" t="str">
        <f>IF(DONNEES_SOURCE!$CA744=TRUE,IFERROR(MATCH(DONNEES_SOURCE!$B744,{"2. Très rarement (Moins d'une fois par mois)","3. Rarement (1 à 3 fois par mois)","4. Parfois (Environ une fois par semaine)","5. Régulièrement (Plusieurs fois par semaine)","6. Quotidiennement (Une fois par jour)","7. Très fréquemment (Plusieurs fois par jour)"},0)+1,""),"")</f>
        <v/>
      </c>
      <c r="R744" t="str">
        <f>IF(DONNEES_SOURCE!$CA744=TRUE,DONNEES_SOURCE!$BW744,"")</f>
        <v/>
      </c>
      <c r="S744" t="str">
        <f>IF(DONNEES_SOURCE!$CA744=TRUE,DONNEES_SOURCE!$AU744,"")</f>
        <v/>
      </c>
      <c r="T744" t="str">
        <f>IF(DONNEES_SOURCE!$CA744=TRUE,DONNEES_SOURCE!$BW744,"")</f>
        <v/>
      </c>
      <c r="U744" t="str">
        <f>IF(DONNEES_SOURCE!$CA744=TRUE,IFERROR(MATCH(DONNEES_SOURCE!$B744,{"2. Très rarement (Moins d'une fois par mois)","3. Rarement (1 à 3 fois par mois)","4. Parfois (Environ une fois par semaine)","5. Régulièrement (Plusieurs fois par semaine)","6. Quotidiennement (Une fois par jour)","7. Très fréquemment (Plusieurs fois par jour)"},0)+1,""),"")</f>
        <v/>
      </c>
    </row>
    <row r="745" spans="16:21" x14ac:dyDescent="0.25">
      <c r="P745" t="str">
        <f>IF(DONNEES_SOURCE!$CA745=TRUE,DONNEES_SOURCE!$BV745,"")</f>
        <v/>
      </c>
      <c r="Q745" t="str">
        <f>IF(DONNEES_SOURCE!$CA745=TRUE,IFERROR(MATCH(DONNEES_SOURCE!$B745,{"2. Très rarement (Moins d'une fois par mois)","3. Rarement (1 à 3 fois par mois)","4. Parfois (Environ une fois par semaine)","5. Régulièrement (Plusieurs fois par semaine)","6. Quotidiennement (Une fois par jour)","7. Très fréquemment (Plusieurs fois par jour)"},0)+1,""),"")</f>
        <v/>
      </c>
      <c r="R745" t="str">
        <f>IF(DONNEES_SOURCE!$CA745=TRUE,DONNEES_SOURCE!$BW745,"")</f>
        <v/>
      </c>
      <c r="S745" t="str">
        <f>IF(DONNEES_SOURCE!$CA745=TRUE,DONNEES_SOURCE!$AU745,"")</f>
        <v/>
      </c>
      <c r="T745" t="str">
        <f>IF(DONNEES_SOURCE!$CA745=TRUE,DONNEES_SOURCE!$BW745,"")</f>
        <v/>
      </c>
      <c r="U745" t="str">
        <f>IF(DONNEES_SOURCE!$CA745=TRUE,IFERROR(MATCH(DONNEES_SOURCE!$B745,{"2. Très rarement (Moins d'une fois par mois)","3. Rarement (1 à 3 fois par mois)","4. Parfois (Environ une fois par semaine)","5. Régulièrement (Plusieurs fois par semaine)","6. Quotidiennement (Une fois par jour)","7. Très fréquemment (Plusieurs fois par jour)"},0)+1,""),"")</f>
        <v/>
      </c>
    </row>
    <row r="746" spans="16:21" x14ac:dyDescent="0.25">
      <c r="P746" t="str">
        <f>IF(DONNEES_SOURCE!$CA746=TRUE,DONNEES_SOURCE!$BV746,"")</f>
        <v/>
      </c>
      <c r="Q746" t="str">
        <f>IF(DONNEES_SOURCE!$CA746=TRUE,IFERROR(MATCH(DONNEES_SOURCE!$B746,{"2. Très rarement (Moins d'une fois par mois)","3. Rarement (1 à 3 fois par mois)","4. Parfois (Environ une fois par semaine)","5. Régulièrement (Plusieurs fois par semaine)","6. Quotidiennement (Une fois par jour)","7. Très fréquemment (Plusieurs fois par jour)"},0)+1,""),"")</f>
        <v/>
      </c>
      <c r="R746" t="str">
        <f>IF(DONNEES_SOURCE!$CA746=TRUE,DONNEES_SOURCE!$BW746,"")</f>
        <v/>
      </c>
      <c r="S746" t="str">
        <f>IF(DONNEES_SOURCE!$CA746=TRUE,DONNEES_SOURCE!$AU746,"")</f>
        <v/>
      </c>
      <c r="T746" t="str">
        <f>IF(DONNEES_SOURCE!$CA746=TRUE,DONNEES_SOURCE!$BW746,"")</f>
        <v/>
      </c>
      <c r="U746" t="str">
        <f>IF(DONNEES_SOURCE!$CA746=TRUE,IFERROR(MATCH(DONNEES_SOURCE!$B746,{"2. Très rarement (Moins d'une fois par mois)","3. Rarement (1 à 3 fois par mois)","4. Parfois (Environ une fois par semaine)","5. Régulièrement (Plusieurs fois par semaine)","6. Quotidiennement (Une fois par jour)","7. Très fréquemment (Plusieurs fois par jour)"},0)+1,""),"")</f>
        <v/>
      </c>
    </row>
    <row r="747" spans="16:21" x14ac:dyDescent="0.25">
      <c r="P747" t="str">
        <f>IF(DONNEES_SOURCE!$CA747=TRUE,DONNEES_SOURCE!$BV747,"")</f>
        <v/>
      </c>
      <c r="Q747" t="str">
        <f>IF(DONNEES_SOURCE!$CA747=TRUE,IFERROR(MATCH(DONNEES_SOURCE!$B747,{"2. Très rarement (Moins d'une fois par mois)","3. Rarement (1 à 3 fois par mois)","4. Parfois (Environ une fois par semaine)","5. Régulièrement (Plusieurs fois par semaine)","6. Quotidiennement (Une fois par jour)","7. Très fréquemment (Plusieurs fois par jour)"},0)+1,""),"")</f>
        <v/>
      </c>
      <c r="R747" t="str">
        <f>IF(DONNEES_SOURCE!$CA747=TRUE,DONNEES_SOURCE!$BW747,"")</f>
        <v/>
      </c>
      <c r="S747" t="str">
        <f>IF(DONNEES_SOURCE!$CA747=TRUE,DONNEES_SOURCE!$AU747,"")</f>
        <v/>
      </c>
      <c r="T747" t="str">
        <f>IF(DONNEES_SOURCE!$CA747=TRUE,DONNEES_SOURCE!$BW747,"")</f>
        <v/>
      </c>
      <c r="U747" t="str">
        <f>IF(DONNEES_SOURCE!$CA747=TRUE,IFERROR(MATCH(DONNEES_SOURCE!$B747,{"2. Très rarement (Moins d'une fois par mois)","3. Rarement (1 à 3 fois par mois)","4. Parfois (Environ une fois par semaine)","5. Régulièrement (Plusieurs fois par semaine)","6. Quotidiennement (Une fois par jour)","7. Très fréquemment (Plusieurs fois par jour)"},0)+1,""),"")</f>
        <v/>
      </c>
    </row>
    <row r="748" spans="16:21" x14ac:dyDescent="0.25">
      <c r="P748" t="str">
        <f>IF(DONNEES_SOURCE!$CA748=TRUE,DONNEES_SOURCE!$BV748,"")</f>
        <v/>
      </c>
      <c r="Q748" t="str">
        <f>IF(DONNEES_SOURCE!$CA748=TRUE,IFERROR(MATCH(DONNEES_SOURCE!$B748,{"2. Très rarement (Moins d'une fois par mois)","3. Rarement (1 à 3 fois par mois)","4. Parfois (Environ une fois par semaine)","5. Régulièrement (Plusieurs fois par semaine)","6. Quotidiennement (Une fois par jour)","7. Très fréquemment (Plusieurs fois par jour)"},0)+1,""),"")</f>
        <v/>
      </c>
      <c r="R748" t="str">
        <f>IF(DONNEES_SOURCE!$CA748=TRUE,DONNEES_SOURCE!$BW748,"")</f>
        <v/>
      </c>
      <c r="S748" t="str">
        <f>IF(DONNEES_SOURCE!$CA748=TRUE,DONNEES_SOURCE!$AU748,"")</f>
        <v/>
      </c>
      <c r="T748" t="str">
        <f>IF(DONNEES_SOURCE!$CA748=TRUE,DONNEES_SOURCE!$BW748,"")</f>
        <v/>
      </c>
      <c r="U748" t="str">
        <f>IF(DONNEES_SOURCE!$CA748=TRUE,IFERROR(MATCH(DONNEES_SOURCE!$B748,{"2. Très rarement (Moins d'une fois par mois)","3. Rarement (1 à 3 fois par mois)","4. Parfois (Environ une fois par semaine)","5. Régulièrement (Plusieurs fois par semaine)","6. Quotidiennement (Une fois par jour)","7. Très fréquemment (Plusieurs fois par jour)"},0)+1,""),"")</f>
        <v/>
      </c>
    </row>
    <row r="749" spans="16:21" x14ac:dyDescent="0.25">
      <c r="P749" t="str">
        <f>IF(DONNEES_SOURCE!$CA749=TRUE,DONNEES_SOURCE!$BV749,"")</f>
        <v/>
      </c>
      <c r="Q749" t="str">
        <f>IF(DONNEES_SOURCE!$CA749=TRUE,IFERROR(MATCH(DONNEES_SOURCE!$B749,{"2. Très rarement (Moins d'une fois par mois)","3. Rarement (1 à 3 fois par mois)","4. Parfois (Environ une fois par semaine)","5. Régulièrement (Plusieurs fois par semaine)","6. Quotidiennement (Une fois par jour)","7. Très fréquemment (Plusieurs fois par jour)"},0)+1,""),"")</f>
        <v/>
      </c>
      <c r="R749" t="str">
        <f>IF(DONNEES_SOURCE!$CA749=TRUE,DONNEES_SOURCE!$BW749,"")</f>
        <v/>
      </c>
      <c r="S749" t="str">
        <f>IF(DONNEES_SOURCE!$CA749=TRUE,DONNEES_SOURCE!$AU749,"")</f>
        <v/>
      </c>
      <c r="T749" t="str">
        <f>IF(DONNEES_SOURCE!$CA749=TRUE,DONNEES_SOURCE!$BW749,"")</f>
        <v/>
      </c>
      <c r="U749" t="str">
        <f>IF(DONNEES_SOURCE!$CA749=TRUE,IFERROR(MATCH(DONNEES_SOURCE!$B749,{"2. Très rarement (Moins d'une fois par mois)","3. Rarement (1 à 3 fois par mois)","4. Parfois (Environ une fois par semaine)","5. Régulièrement (Plusieurs fois par semaine)","6. Quotidiennement (Une fois par jour)","7. Très fréquemment (Plusieurs fois par jour)"},0)+1,""),"")</f>
        <v/>
      </c>
    </row>
    <row r="750" spans="16:21" x14ac:dyDescent="0.25">
      <c r="P750" t="str">
        <f>IF(DONNEES_SOURCE!$CA750=TRUE,DONNEES_SOURCE!$BV750,"")</f>
        <v/>
      </c>
      <c r="Q750" t="str">
        <f>IF(DONNEES_SOURCE!$CA750=TRUE,IFERROR(MATCH(DONNEES_SOURCE!$B750,{"2. Très rarement (Moins d'une fois par mois)","3. Rarement (1 à 3 fois par mois)","4. Parfois (Environ une fois par semaine)","5. Régulièrement (Plusieurs fois par semaine)","6. Quotidiennement (Une fois par jour)","7. Très fréquemment (Plusieurs fois par jour)"},0)+1,""),"")</f>
        <v/>
      </c>
      <c r="R750" t="str">
        <f>IF(DONNEES_SOURCE!$CA750=TRUE,DONNEES_SOURCE!$BW750,"")</f>
        <v/>
      </c>
      <c r="S750" t="str">
        <f>IF(DONNEES_SOURCE!$CA750=TRUE,DONNEES_SOURCE!$AU750,"")</f>
        <v/>
      </c>
      <c r="T750" t="str">
        <f>IF(DONNEES_SOURCE!$CA750=TRUE,DONNEES_SOURCE!$BW750,"")</f>
        <v/>
      </c>
      <c r="U750" t="str">
        <f>IF(DONNEES_SOURCE!$CA750=TRUE,IFERROR(MATCH(DONNEES_SOURCE!$B750,{"2. Très rarement (Moins d'une fois par mois)","3. Rarement (1 à 3 fois par mois)","4. Parfois (Environ une fois par semaine)","5. Régulièrement (Plusieurs fois par semaine)","6. Quotidiennement (Une fois par jour)","7. Très fréquemment (Plusieurs fois par jour)"},0)+1,""),"")</f>
        <v/>
      </c>
    </row>
    <row r="751" spans="16:21" x14ac:dyDescent="0.25">
      <c r="P751" t="str">
        <f>IF(DONNEES_SOURCE!$CA751=TRUE,DONNEES_SOURCE!$BV751,"")</f>
        <v/>
      </c>
      <c r="Q751" t="str">
        <f>IF(DONNEES_SOURCE!$CA751=TRUE,IFERROR(MATCH(DONNEES_SOURCE!$B751,{"2. Très rarement (Moins d'une fois par mois)","3. Rarement (1 à 3 fois par mois)","4. Parfois (Environ une fois par semaine)","5. Régulièrement (Plusieurs fois par semaine)","6. Quotidiennement (Une fois par jour)","7. Très fréquemment (Plusieurs fois par jour)"},0)+1,""),"")</f>
        <v/>
      </c>
      <c r="R751" t="str">
        <f>IF(DONNEES_SOURCE!$CA751=TRUE,DONNEES_SOURCE!$BW751,"")</f>
        <v/>
      </c>
      <c r="S751" t="str">
        <f>IF(DONNEES_SOURCE!$CA751=TRUE,DONNEES_SOURCE!$AU751,"")</f>
        <v/>
      </c>
      <c r="T751" t="str">
        <f>IF(DONNEES_SOURCE!$CA751=TRUE,DONNEES_SOURCE!$BW751,"")</f>
        <v/>
      </c>
      <c r="U751" t="str">
        <f>IF(DONNEES_SOURCE!$CA751=TRUE,IFERROR(MATCH(DONNEES_SOURCE!$B751,{"2. Très rarement (Moins d'une fois par mois)","3. Rarement (1 à 3 fois par mois)","4. Parfois (Environ une fois par semaine)","5. Régulièrement (Plusieurs fois par semaine)","6. Quotidiennement (Une fois par jour)","7. Très fréquemment (Plusieurs fois par jour)"},0)+1,""),"")</f>
        <v/>
      </c>
    </row>
    <row r="752" spans="16:21" x14ac:dyDescent="0.25">
      <c r="P752" t="str">
        <f>IF(DONNEES_SOURCE!$CA752=TRUE,DONNEES_SOURCE!$BV752,"")</f>
        <v/>
      </c>
      <c r="Q752" t="str">
        <f>IF(DONNEES_SOURCE!$CA752=TRUE,IFERROR(MATCH(DONNEES_SOURCE!$B752,{"2. Très rarement (Moins d'une fois par mois)","3. Rarement (1 à 3 fois par mois)","4. Parfois (Environ une fois par semaine)","5. Régulièrement (Plusieurs fois par semaine)","6. Quotidiennement (Une fois par jour)","7. Très fréquemment (Plusieurs fois par jour)"},0)+1,""),"")</f>
        <v/>
      </c>
      <c r="R752" t="str">
        <f>IF(DONNEES_SOURCE!$CA752=TRUE,DONNEES_SOURCE!$BW752,"")</f>
        <v/>
      </c>
      <c r="S752" t="str">
        <f>IF(DONNEES_SOURCE!$CA752=TRUE,DONNEES_SOURCE!$AU752,"")</f>
        <v/>
      </c>
      <c r="T752" t="str">
        <f>IF(DONNEES_SOURCE!$CA752=TRUE,DONNEES_SOURCE!$BW752,"")</f>
        <v/>
      </c>
      <c r="U752" t="str">
        <f>IF(DONNEES_SOURCE!$CA752=TRUE,IFERROR(MATCH(DONNEES_SOURCE!$B752,{"2. Très rarement (Moins d'une fois par mois)","3. Rarement (1 à 3 fois par mois)","4. Parfois (Environ une fois par semaine)","5. Régulièrement (Plusieurs fois par semaine)","6. Quotidiennement (Une fois par jour)","7. Très fréquemment (Plusieurs fois par jour)"},0)+1,""),"")</f>
        <v/>
      </c>
    </row>
    <row r="753" spans="16:21" x14ac:dyDescent="0.25">
      <c r="P753" t="str">
        <f>IF(DONNEES_SOURCE!$CA753=TRUE,DONNEES_SOURCE!$BV753,"")</f>
        <v/>
      </c>
      <c r="Q753" t="str">
        <f>IF(DONNEES_SOURCE!$CA753=TRUE,IFERROR(MATCH(DONNEES_SOURCE!$B753,{"2. Très rarement (Moins d'une fois par mois)","3. Rarement (1 à 3 fois par mois)","4. Parfois (Environ une fois par semaine)","5. Régulièrement (Plusieurs fois par semaine)","6. Quotidiennement (Une fois par jour)","7. Très fréquemment (Plusieurs fois par jour)"},0)+1,""),"")</f>
        <v/>
      </c>
      <c r="R753" t="str">
        <f>IF(DONNEES_SOURCE!$CA753=TRUE,DONNEES_SOURCE!$BW753,"")</f>
        <v/>
      </c>
      <c r="S753" t="str">
        <f>IF(DONNEES_SOURCE!$CA753=TRUE,DONNEES_SOURCE!$AU753,"")</f>
        <v/>
      </c>
      <c r="T753" t="str">
        <f>IF(DONNEES_SOURCE!$CA753=TRUE,DONNEES_SOURCE!$BW753,"")</f>
        <v/>
      </c>
      <c r="U753" t="str">
        <f>IF(DONNEES_SOURCE!$CA753=TRUE,IFERROR(MATCH(DONNEES_SOURCE!$B753,{"2. Très rarement (Moins d'une fois par mois)","3. Rarement (1 à 3 fois par mois)","4. Parfois (Environ une fois par semaine)","5. Régulièrement (Plusieurs fois par semaine)","6. Quotidiennement (Une fois par jour)","7. Très fréquemment (Plusieurs fois par jour)"},0)+1,""),"")</f>
        <v/>
      </c>
    </row>
    <row r="754" spans="16:21" x14ac:dyDescent="0.25">
      <c r="P754" t="str">
        <f>IF(DONNEES_SOURCE!$CA754=TRUE,DONNEES_SOURCE!$BV754,"")</f>
        <v/>
      </c>
      <c r="Q754" t="str">
        <f>IF(DONNEES_SOURCE!$CA754=TRUE,IFERROR(MATCH(DONNEES_SOURCE!$B754,{"2. Très rarement (Moins d'une fois par mois)","3. Rarement (1 à 3 fois par mois)","4. Parfois (Environ une fois par semaine)","5. Régulièrement (Plusieurs fois par semaine)","6. Quotidiennement (Une fois par jour)","7. Très fréquemment (Plusieurs fois par jour)"},0)+1,""),"")</f>
        <v/>
      </c>
      <c r="R754" t="str">
        <f>IF(DONNEES_SOURCE!$CA754=TRUE,DONNEES_SOURCE!$BW754,"")</f>
        <v/>
      </c>
      <c r="S754" t="str">
        <f>IF(DONNEES_SOURCE!$CA754=TRUE,DONNEES_SOURCE!$AU754,"")</f>
        <v/>
      </c>
      <c r="T754" t="str">
        <f>IF(DONNEES_SOURCE!$CA754=TRUE,DONNEES_SOURCE!$BW754,"")</f>
        <v/>
      </c>
      <c r="U754" t="str">
        <f>IF(DONNEES_SOURCE!$CA754=TRUE,IFERROR(MATCH(DONNEES_SOURCE!$B754,{"2. Très rarement (Moins d'une fois par mois)","3. Rarement (1 à 3 fois par mois)","4. Parfois (Environ une fois par semaine)","5. Régulièrement (Plusieurs fois par semaine)","6. Quotidiennement (Une fois par jour)","7. Très fréquemment (Plusieurs fois par jour)"},0)+1,""),"")</f>
        <v/>
      </c>
    </row>
    <row r="755" spans="16:21" x14ac:dyDescent="0.25">
      <c r="P755" t="str">
        <f>IF(DONNEES_SOURCE!$CA755=TRUE,DONNEES_SOURCE!$BV755,"")</f>
        <v/>
      </c>
      <c r="Q755" t="str">
        <f>IF(DONNEES_SOURCE!$CA755=TRUE,IFERROR(MATCH(DONNEES_SOURCE!$B755,{"2. Très rarement (Moins d'une fois par mois)","3. Rarement (1 à 3 fois par mois)","4. Parfois (Environ une fois par semaine)","5. Régulièrement (Plusieurs fois par semaine)","6. Quotidiennement (Une fois par jour)","7. Très fréquemment (Plusieurs fois par jour)"},0)+1,""),"")</f>
        <v/>
      </c>
      <c r="R755" t="str">
        <f>IF(DONNEES_SOURCE!$CA755=TRUE,DONNEES_SOURCE!$BW755,"")</f>
        <v/>
      </c>
      <c r="S755" t="str">
        <f>IF(DONNEES_SOURCE!$CA755=TRUE,DONNEES_SOURCE!$AU755,"")</f>
        <v/>
      </c>
      <c r="T755" t="str">
        <f>IF(DONNEES_SOURCE!$CA755=TRUE,DONNEES_SOURCE!$BW755,"")</f>
        <v/>
      </c>
      <c r="U755" t="str">
        <f>IF(DONNEES_SOURCE!$CA755=TRUE,IFERROR(MATCH(DONNEES_SOURCE!$B755,{"2. Très rarement (Moins d'une fois par mois)","3. Rarement (1 à 3 fois par mois)","4. Parfois (Environ une fois par semaine)","5. Régulièrement (Plusieurs fois par semaine)","6. Quotidiennement (Une fois par jour)","7. Très fréquemment (Plusieurs fois par jour)"},0)+1,""),"")</f>
        <v/>
      </c>
    </row>
    <row r="756" spans="16:21" x14ac:dyDescent="0.25">
      <c r="P756" t="str">
        <f>IF(DONNEES_SOURCE!$CA756=TRUE,DONNEES_SOURCE!$BV756,"")</f>
        <v/>
      </c>
      <c r="Q756" t="str">
        <f>IF(DONNEES_SOURCE!$CA756=TRUE,IFERROR(MATCH(DONNEES_SOURCE!$B756,{"2. Très rarement (Moins d'une fois par mois)","3. Rarement (1 à 3 fois par mois)","4. Parfois (Environ une fois par semaine)","5. Régulièrement (Plusieurs fois par semaine)","6. Quotidiennement (Une fois par jour)","7. Très fréquemment (Plusieurs fois par jour)"},0)+1,""),"")</f>
        <v/>
      </c>
      <c r="R756" t="str">
        <f>IF(DONNEES_SOURCE!$CA756=TRUE,DONNEES_SOURCE!$BW756,"")</f>
        <v/>
      </c>
      <c r="S756" t="str">
        <f>IF(DONNEES_SOURCE!$CA756=TRUE,DONNEES_SOURCE!$AU756,"")</f>
        <v/>
      </c>
      <c r="T756" t="str">
        <f>IF(DONNEES_SOURCE!$CA756=TRUE,DONNEES_SOURCE!$BW756,"")</f>
        <v/>
      </c>
      <c r="U756" t="str">
        <f>IF(DONNEES_SOURCE!$CA756=TRUE,IFERROR(MATCH(DONNEES_SOURCE!$B756,{"2. Très rarement (Moins d'une fois par mois)","3. Rarement (1 à 3 fois par mois)","4. Parfois (Environ une fois par semaine)","5. Régulièrement (Plusieurs fois par semaine)","6. Quotidiennement (Une fois par jour)","7. Très fréquemment (Plusieurs fois par jour)"},0)+1,""),"")</f>
        <v/>
      </c>
    </row>
    <row r="757" spans="16:21" x14ac:dyDescent="0.25">
      <c r="P757" t="str">
        <f>IF(DONNEES_SOURCE!$CA757=TRUE,DONNEES_SOURCE!$BV757,"")</f>
        <v/>
      </c>
      <c r="Q757" t="str">
        <f>IF(DONNEES_SOURCE!$CA757=TRUE,IFERROR(MATCH(DONNEES_SOURCE!$B757,{"2. Très rarement (Moins d'une fois par mois)","3. Rarement (1 à 3 fois par mois)","4. Parfois (Environ une fois par semaine)","5. Régulièrement (Plusieurs fois par semaine)","6. Quotidiennement (Une fois par jour)","7. Très fréquemment (Plusieurs fois par jour)"},0)+1,""),"")</f>
        <v/>
      </c>
      <c r="R757" t="str">
        <f>IF(DONNEES_SOURCE!$CA757=TRUE,DONNEES_SOURCE!$BW757,"")</f>
        <v/>
      </c>
      <c r="S757" t="str">
        <f>IF(DONNEES_SOURCE!$CA757=TRUE,DONNEES_SOURCE!$AU757,"")</f>
        <v/>
      </c>
      <c r="T757" t="str">
        <f>IF(DONNEES_SOURCE!$CA757=TRUE,DONNEES_SOURCE!$BW757,"")</f>
        <v/>
      </c>
      <c r="U757" t="str">
        <f>IF(DONNEES_SOURCE!$CA757=TRUE,IFERROR(MATCH(DONNEES_SOURCE!$B757,{"2. Très rarement (Moins d'une fois par mois)","3. Rarement (1 à 3 fois par mois)","4. Parfois (Environ une fois par semaine)","5. Régulièrement (Plusieurs fois par semaine)","6. Quotidiennement (Une fois par jour)","7. Très fréquemment (Plusieurs fois par jour)"},0)+1,""),"")</f>
        <v/>
      </c>
    </row>
    <row r="758" spans="16:21" x14ac:dyDescent="0.25">
      <c r="P758" t="str">
        <f>IF(DONNEES_SOURCE!$CA758=TRUE,DONNEES_SOURCE!$BV758,"")</f>
        <v/>
      </c>
      <c r="Q758" t="str">
        <f>IF(DONNEES_SOURCE!$CA758=TRUE,IFERROR(MATCH(DONNEES_SOURCE!$B758,{"2. Très rarement (Moins d'une fois par mois)","3. Rarement (1 à 3 fois par mois)","4. Parfois (Environ une fois par semaine)","5. Régulièrement (Plusieurs fois par semaine)","6. Quotidiennement (Une fois par jour)","7. Très fréquemment (Plusieurs fois par jour)"},0)+1,""),"")</f>
        <v/>
      </c>
      <c r="R758" t="str">
        <f>IF(DONNEES_SOURCE!$CA758=TRUE,DONNEES_SOURCE!$BW758,"")</f>
        <v/>
      </c>
      <c r="S758" t="str">
        <f>IF(DONNEES_SOURCE!$CA758=TRUE,DONNEES_SOURCE!$AU758,"")</f>
        <v/>
      </c>
      <c r="T758" t="str">
        <f>IF(DONNEES_SOURCE!$CA758=TRUE,DONNEES_SOURCE!$BW758,"")</f>
        <v/>
      </c>
      <c r="U758" t="str">
        <f>IF(DONNEES_SOURCE!$CA758=TRUE,IFERROR(MATCH(DONNEES_SOURCE!$B758,{"2. Très rarement (Moins d'une fois par mois)","3. Rarement (1 à 3 fois par mois)","4. Parfois (Environ une fois par semaine)","5. Régulièrement (Plusieurs fois par semaine)","6. Quotidiennement (Une fois par jour)","7. Très fréquemment (Plusieurs fois par jour)"},0)+1,""),"")</f>
        <v/>
      </c>
    </row>
    <row r="759" spans="16:21" x14ac:dyDescent="0.25">
      <c r="P759" t="str">
        <f>IF(DONNEES_SOURCE!$CA759=TRUE,DONNEES_SOURCE!$BV759,"")</f>
        <v/>
      </c>
      <c r="Q759" t="str">
        <f>IF(DONNEES_SOURCE!$CA759=TRUE,IFERROR(MATCH(DONNEES_SOURCE!$B759,{"2. Très rarement (Moins d'une fois par mois)","3. Rarement (1 à 3 fois par mois)","4. Parfois (Environ une fois par semaine)","5. Régulièrement (Plusieurs fois par semaine)","6. Quotidiennement (Une fois par jour)","7. Très fréquemment (Plusieurs fois par jour)"},0)+1,""),"")</f>
        <v/>
      </c>
      <c r="R759" t="str">
        <f>IF(DONNEES_SOURCE!$CA759=TRUE,DONNEES_SOURCE!$BW759,"")</f>
        <v/>
      </c>
      <c r="S759" t="str">
        <f>IF(DONNEES_SOURCE!$CA759=TRUE,DONNEES_SOURCE!$AU759,"")</f>
        <v/>
      </c>
      <c r="T759" t="str">
        <f>IF(DONNEES_SOURCE!$CA759=TRUE,DONNEES_SOURCE!$BW759,"")</f>
        <v/>
      </c>
      <c r="U759" t="str">
        <f>IF(DONNEES_SOURCE!$CA759=TRUE,IFERROR(MATCH(DONNEES_SOURCE!$B759,{"2. Très rarement (Moins d'une fois par mois)","3. Rarement (1 à 3 fois par mois)","4. Parfois (Environ une fois par semaine)","5. Régulièrement (Plusieurs fois par semaine)","6. Quotidiennement (Une fois par jour)","7. Très fréquemment (Plusieurs fois par jour)"},0)+1,""),"")</f>
        <v/>
      </c>
    </row>
    <row r="760" spans="16:21" x14ac:dyDescent="0.25">
      <c r="P760" t="str">
        <f>IF(DONNEES_SOURCE!$CA760=TRUE,DONNEES_SOURCE!$BV760,"")</f>
        <v/>
      </c>
      <c r="Q760" t="str">
        <f>IF(DONNEES_SOURCE!$CA760=TRUE,IFERROR(MATCH(DONNEES_SOURCE!$B760,{"2. Très rarement (Moins d'une fois par mois)","3. Rarement (1 à 3 fois par mois)","4. Parfois (Environ une fois par semaine)","5. Régulièrement (Plusieurs fois par semaine)","6. Quotidiennement (Une fois par jour)","7. Très fréquemment (Plusieurs fois par jour)"},0)+1,""),"")</f>
        <v/>
      </c>
      <c r="R760" t="str">
        <f>IF(DONNEES_SOURCE!$CA760=TRUE,DONNEES_SOURCE!$BW760,"")</f>
        <v/>
      </c>
      <c r="S760" t="str">
        <f>IF(DONNEES_SOURCE!$CA760=TRUE,DONNEES_SOURCE!$AU760,"")</f>
        <v/>
      </c>
      <c r="T760" t="str">
        <f>IF(DONNEES_SOURCE!$CA760=TRUE,DONNEES_SOURCE!$BW760,"")</f>
        <v/>
      </c>
      <c r="U760" t="str">
        <f>IF(DONNEES_SOURCE!$CA760=TRUE,IFERROR(MATCH(DONNEES_SOURCE!$B760,{"2. Très rarement (Moins d'une fois par mois)","3. Rarement (1 à 3 fois par mois)","4. Parfois (Environ une fois par semaine)","5. Régulièrement (Plusieurs fois par semaine)","6. Quotidiennement (Une fois par jour)","7. Très fréquemment (Plusieurs fois par jour)"},0)+1,""),"")</f>
        <v/>
      </c>
    </row>
    <row r="761" spans="16:21" x14ac:dyDescent="0.25">
      <c r="P761" t="str">
        <f>IF(DONNEES_SOURCE!$CA761=TRUE,DONNEES_SOURCE!$BV761,"")</f>
        <v/>
      </c>
      <c r="Q761" t="str">
        <f>IF(DONNEES_SOURCE!$CA761=TRUE,IFERROR(MATCH(DONNEES_SOURCE!$B761,{"2. Très rarement (Moins d'une fois par mois)","3. Rarement (1 à 3 fois par mois)","4. Parfois (Environ une fois par semaine)","5. Régulièrement (Plusieurs fois par semaine)","6. Quotidiennement (Une fois par jour)","7. Très fréquemment (Plusieurs fois par jour)"},0)+1,""),"")</f>
        <v/>
      </c>
      <c r="R761" t="str">
        <f>IF(DONNEES_SOURCE!$CA761=TRUE,DONNEES_SOURCE!$BW761,"")</f>
        <v/>
      </c>
      <c r="S761" t="str">
        <f>IF(DONNEES_SOURCE!$CA761=TRUE,DONNEES_SOURCE!$AU761,"")</f>
        <v/>
      </c>
      <c r="T761" t="str">
        <f>IF(DONNEES_SOURCE!$CA761=TRUE,DONNEES_SOURCE!$BW761,"")</f>
        <v/>
      </c>
      <c r="U761" t="str">
        <f>IF(DONNEES_SOURCE!$CA761=TRUE,IFERROR(MATCH(DONNEES_SOURCE!$B761,{"2. Très rarement (Moins d'une fois par mois)","3. Rarement (1 à 3 fois par mois)","4. Parfois (Environ une fois par semaine)","5. Régulièrement (Plusieurs fois par semaine)","6. Quotidiennement (Une fois par jour)","7. Très fréquemment (Plusieurs fois par jour)"},0)+1,""),"")</f>
        <v/>
      </c>
    </row>
    <row r="762" spans="16:21" x14ac:dyDescent="0.25">
      <c r="P762" t="str">
        <f>IF(DONNEES_SOURCE!$CA762=TRUE,DONNEES_SOURCE!$BV762,"")</f>
        <v/>
      </c>
      <c r="Q762" t="str">
        <f>IF(DONNEES_SOURCE!$CA762=TRUE,IFERROR(MATCH(DONNEES_SOURCE!$B762,{"2. Très rarement (Moins d'une fois par mois)","3. Rarement (1 à 3 fois par mois)","4. Parfois (Environ une fois par semaine)","5. Régulièrement (Plusieurs fois par semaine)","6. Quotidiennement (Une fois par jour)","7. Très fréquemment (Plusieurs fois par jour)"},0)+1,""),"")</f>
        <v/>
      </c>
      <c r="R762" t="str">
        <f>IF(DONNEES_SOURCE!$CA762=TRUE,DONNEES_SOURCE!$BW762,"")</f>
        <v/>
      </c>
      <c r="S762" t="str">
        <f>IF(DONNEES_SOURCE!$CA762=TRUE,DONNEES_SOURCE!$AU762,"")</f>
        <v/>
      </c>
      <c r="T762" t="str">
        <f>IF(DONNEES_SOURCE!$CA762=TRUE,DONNEES_SOURCE!$BW762,"")</f>
        <v/>
      </c>
      <c r="U762" t="str">
        <f>IF(DONNEES_SOURCE!$CA762=TRUE,IFERROR(MATCH(DONNEES_SOURCE!$B762,{"2. Très rarement (Moins d'une fois par mois)","3. Rarement (1 à 3 fois par mois)","4. Parfois (Environ une fois par semaine)","5. Régulièrement (Plusieurs fois par semaine)","6. Quotidiennement (Une fois par jour)","7. Très fréquemment (Plusieurs fois par jour)"},0)+1,""),"")</f>
        <v/>
      </c>
    </row>
    <row r="763" spans="16:21" x14ac:dyDescent="0.25">
      <c r="P763" t="str">
        <f>IF(DONNEES_SOURCE!$CA763=TRUE,DONNEES_SOURCE!$BV763,"")</f>
        <v/>
      </c>
      <c r="Q763" t="str">
        <f>IF(DONNEES_SOURCE!$CA763=TRUE,IFERROR(MATCH(DONNEES_SOURCE!$B763,{"2. Très rarement (Moins d'une fois par mois)","3. Rarement (1 à 3 fois par mois)","4. Parfois (Environ une fois par semaine)","5. Régulièrement (Plusieurs fois par semaine)","6. Quotidiennement (Une fois par jour)","7. Très fréquemment (Plusieurs fois par jour)"},0)+1,""),"")</f>
        <v/>
      </c>
      <c r="R763" t="str">
        <f>IF(DONNEES_SOURCE!$CA763=TRUE,DONNEES_SOURCE!$BW763,"")</f>
        <v/>
      </c>
      <c r="S763" t="str">
        <f>IF(DONNEES_SOURCE!$CA763=TRUE,DONNEES_SOURCE!$AU763,"")</f>
        <v/>
      </c>
      <c r="T763" t="str">
        <f>IF(DONNEES_SOURCE!$CA763=TRUE,DONNEES_SOURCE!$BW763,"")</f>
        <v/>
      </c>
      <c r="U763" t="str">
        <f>IF(DONNEES_SOURCE!$CA763=TRUE,IFERROR(MATCH(DONNEES_SOURCE!$B763,{"2. Très rarement (Moins d'une fois par mois)","3. Rarement (1 à 3 fois par mois)","4. Parfois (Environ une fois par semaine)","5. Régulièrement (Plusieurs fois par semaine)","6. Quotidiennement (Une fois par jour)","7. Très fréquemment (Plusieurs fois par jour)"},0)+1,""),"")</f>
        <v/>
      </c>
    </row>
    <row r="764" spans="16:21" x14ac:dyDescent="0.25">
      <c r="P764" t="str">
        <f>IF(DONNEES_SOURCE!$CA764=TRUE,DONNEES_SOURCE!$BV764,"")</f>
        <v/>
      </c>
      <c r="Q764" t="str">
        <f>IF(DONNEES_SOURCE!$CA764=TRUE,IFERROR(MATCH(DONNEES_SOURCE!$B764,{"2. Très rarement (Moins d'une fois par mois)","3. Rarement (1 à 3 fois par mois)","4. Parfois (Environ une fois par semaine)","5. Régulièrement (Plusieurs fois par semaine)","6. Quotidiennement (Une fois par jour)","7. Très fréquemment (Plusieurs fois par jour)"},0)+1,""),"")</f>
        <v/>
      </c>
      <c r="R764" t="str">
        <f>IF(DONNEES_SOURCE!$CA764=TRUE,DONNEES_SOURCE!$BW764,"")</f>
        <v/>
      </c>
      <c r="S764" t="str">
        <f>IF(DONNEES_SOURCE!$CA764=TRUE,DONNEES_SOURCE!$AU764,"")</f>
        <v/>
      </c>
      <c r="T764" t="str">
        <f>IF(DONNEES_SOURCE!$CA764=TRUE,DONNEES_SOURCE!$BW764,"")</f>
        <v/>
      </c>
      <c r="U764" t="str">
        <f>IF(DONNEES_SOURCE!$CA764=TRUE,IFERROR(MATCH(DONNEES_SOURCE!$B764,{"2. Très rarement (Moins d'une fois par mois)","3. Rarement (1 à 3 fois par mois)","4. Parfois (Environ une fois par semaine)","5. Régulièrement (Plusieurs fois par semaine)","6. Quotidiennement (Une fois par jour)","7. Très fréquemment (Plusieurs fois par jour)"},0)+1,""),"")</f>
        <v/>
      </c>
    </row>
    <row r="765" spans="16:21" x14ac:dyDescent="0.25">
      <c r="P765" t="str">
        <f>IF(DONNEES_SOURCE!$CA765=TRUE,DONNEES_SOURCE!$BV765,"")</f>
        <v/>
      </c>
      <c r="Q765" t="str">
        <f>IF(DONNEES_SOURCE!$CA765=TRUE,IFERROR(MATCH(DONNEES_SOURCE!$B765,{"2. Très rarement (Moins d'une fois par mois)","3. Rarement (1 à 3 fois par mois)","4. Parfois (Environ une fois par semaine)","5. Régulièrement (Plusieurs fois par semaine)","6. Quotidiennement (Une fois par jour)","7. Très fréquemment (Plusieurs fois par jour)"},0)+1,""),"")</f>
        <v/>
      </c>
      <c r="R765" t="str">
        <f>IF(DONNEES_SOURCE!$CA765=TRUE,DONNEES_SOURCE!$BW765,"")</f>
        <v/>
      </c>
      <c r="S765" t="str">
        <f>IF(DONNEES_SOURCE!$CA765=TRUE,DONNEES_SOURCE!$AU765,"")</f>
        <v/>
      </c>
      <c r="T765" t="str">
        <f>IF(DONNEES_SOURCE!$CA765=TRUE,DONNEES_SOURCE!$BW765,"")</f>
        <v/>
      </c>
      <c r="U765" t="str">
        <f>IF(DONNEES_SOURCE!$CA765=TRUE,IFERROR(MATCH(DONNEES_SOURCE!$B765,{"2. Très rarement (Moins d'une fois par mois)","3. Rarement (1 à 3 fois par mois)","4. Parfois (Environ une fois par semaine)","5. Régulièrement (Plusieurs fois par semaine)","6. Quotidiennement (Une fois par jour)","7. Très fréquemment (Plusieurs fois par jour)"},0)+1,""),"")</f>
        <v/>
      </c>
    </row>
    <row r="766" spans="16:21" x14ac:dyDescent="0.25">
      <c r="P766" t="str">
        <f>IF(DONNEES_SOURCE!$CA766=TRUE,DONNEES_SOURCE!$BV766,"")</f>
        <v/>
      </c>
      <c r="Q766" t="str">
        <f>IF(DONNEES_SOURCE!$CA766=TRUE,IFERROR(MATCH(DONNEES_SOURCE!$B766,{"2. Très rarement (Moins d'une fois par mois)","3. Rarement (1 à 3 fois par mois)","4. Parfois (Environ une fois par semaine)","5. Régulièrement (Plusieurs fois par semaine)","6. Quotidiennement (Une fois par jour)","7. Très fréquemment (Plusieurs fois par jour)"},0)+1,""),"")</f>
        <v/>
      </c>
      <c r="R766" t="str">
        <f>IF(DONNEES_SOURCE!$CA766=TRUE,DONNEES_SOURCE!$BW766,"")</f>
        <v/>
      </c>
      <c r="S766" t="str">
        <f>IF(DONNEES_SOURCE!$CA766=TRUE,DONNEES_SOURCE!$AU766,"")</f>
        <v/>
      </c>
      <c r="T766" t="str">
        <f>IF(DONNEES_SOURCE!$CA766=TRUE,DONNEES_SOURCE!$BW766,"")</f>
        <v/>
      </c>
      <c r="U766" t="str">
        <f>IF(DONNEES_SOURCE!$CA766=TRUE,IFERROR(MATCH(DONNEES_SOURCE!$B766,{"2. Très rarement (Moins d'une fois par mois)","3. Rarement (1 à 3 fois par mois)","4. Parfois (Environ une fois par semaine)","5. Régulièrement (Plusieurs fois par semaine)","6. Quotidiennement (Une fois par jour)","7. Très fréquemment (Plusieurs fois par jour)"},0)+1,""),"")</f>
        <v/>
      </c>
    </row>
    <row r="767" spans="16:21" x14ac:dyDescent="0.25">
      <c r="P767" t="str">
        <f>IF(DONNEES_SOURCE!$CA767=TRUE,DONNEES_SOURCE!$BV767,"")</f>
        <v/>
      </c>
      <c r="Q767" t="str">
        <f>IF(DONNEES_SOURCE!$CA767=TRUE,IFERROR(MATCH(DONNEES_SOURCE!$B767,{"2. Très rarement (Moins d'une fois par mois)","3. Rarement (1 à 3 fois par mois)","4. Parfois (Environ une fois par semaine)","5. Régulièrement (Plusieurs fois par semaine)","6. Quotidiennement (Une fois par jour)","7. Très fréquemment (Plusieurs fois par jour)"},0)+1,""),"")</f>
        <v/>
      </c>
      <c r="R767" t="str">
        <f>IF(DONNEES_SOURCE!$CA767=TRUE,DONNEES_SOURCE!$BW767,"")</f>
        <v/>
      </c>
      <c r="S767" t="str">
        <f>IF(DONNEES_SOURCE!$CA767=TRUE,DONNEES_SOURCE!$AU767,"")</f>
        <v/>
      </c>
      <c r="T767" t="str">
        <f>IF(DONNEES_SOURCE!$CA767=TRUE,DONNEES_SOURCE!$BW767,"")</f>
        <v/>
      </c>
      <c r="U767" t="str">
        <f>IF(DONNEES_SOURCE!$CA767=TRUE,IFERROR(MATCH(DONNEES_SOURCE!$B767,{"2. Très rarement (Moins d'une fois par mois)","3. Rarement (1 à 3 fois par mois)","4. Parfois (Environ une fois par semaine)","5. Régulièrement (Plusieurs fois par semaine)","6. Quotidiennement (Une fois par jour)","7. Très fréquemment (Plusieurs fois par jour)"},0)+1,""),"")</f>
        <v/>
      </c>
    </row>
    <row r="768" spans="16:21" x14ac:dyDescent="0.25">
      <c r="P768" t="str">
        <f>IF(DONNEES_SOURCE!$CA768=TRUE,DONNEES_SOURCE!$BV768,"")</f>
        <v/>
      </c>
      <c r="Q768" t="str">
        <f>IF(DONNEES_SOURCE!$CA768=TRUE,IFERROR(MATCH(DONNEES_SOURCE!$B768,{"2. Très rarement (Moins d'une fois par mois)","3. Rarement (1 à 3 fois par mois)","4. Parfois (Environ une fois par semaine)","5. Régulièrement (Plusieurs fois par semaine)","6. Quotidiennement (Une fois par jour)","7. Très fréquemment (Plusieurs fois par jour)"},0)+1,""),"")</f>
        <v/>
      </c>
      <c r="R768" t="str">
        <f>IF(DONNEES_SOURCE!$CA768=TRUE,DONNEES_SOURCE!$BW768,"")</f>
        <v/>
      </c>
      <c r="S768" t="str">
        <f>IF(DONNEES_SOURCE!$CA768=TRUE,DONNEES_SOURCE!$AU768,"")</f>
        <v/>
      </c>
      <c r="T768" t="str">
        <f>IF(DONNEES_SOURCE!$CA768=TRUE,DONNEES_SOURCE!$BW768,"")</f>
        <v/>
      </c>
      <c r="U768" t="str">
        <f>IF(DONNEES_SOURCE!$CA768=TRUE,IFERROR(MATCH(DONNEES_SOURCE!$B768,{"2. Très rarement (Moins d'une fois par mois)","3. Rarement (1 à 3 fois par mois)","4. Parfois (Environ une fois par semaine)","5. Régulièrement (Plusieurs fois par semaine)","6. Quotidiennement (Une fois par jour)","7. Très fréquemment (Plusieurs fois par jour)"},0)+1,""),"")</f>
        <v/>
      </c>
    </row>
    <row r="769" spans="16:21" x14ac:dyDescent="0.25">
      <c r="P769" t="str">
        <f>IF(DONNEES_SOURCE!$CA769=TRUE,DONNEES_SOURCE!$BV769,"")</f>
        <v/>
      </c>
      <c r="Q769" t="str">
        <f>IF(DONNEES_SOURCE!$CA769=TRUE,IFERROR(MATCH(DONNEES_SOURCE!$B769,{"2. Très rarement (Moins d'une fois par mois)","3. Rarement (1 à 3 fois par mois)","4. Parfois (Environ une fois par semaine)","5. Régulièrement (Plusieurs fois par semaine)","6. Quotidiennement (Une fois par jour)","7. Très fréquemment (Plusieurs fois par jour)"},0)+1,""),"")</f>
        <v/>
      </c>
      <c r="R769" t="str">
        <f>IF(DONNEES_SOURCE!$CA769=TRUE,DONNEES_SOURCE!$BW769,"")</f>
        <v/>
      </c>
      <c r="S769" t="str">
        <f>IF(DONNEES_SOURCE!$CA769=TRUE,DONNEES_SOURCE!$AU769,"")</f>
        <v/>
      </c>
      <c r="T769" t="str">
        <f>IF(DONNEES_SOURCE!$CA769=TRUE,DONNEES_SOURCE!$BW769,"")</f>
        <v/>
      </c>
      <c r="U769" t="str">
        <f>IF(DONNEES_SOURCE!$CA769=TRUE,IFERROR(MATCH(DONNEES_SOURCE!$B769,{"2. Très rarement (Moins d'une fois par mois)","3. Rarement (1 à 3 fois par mois)","4. Parfois (Environ une fois par semaine)","5. Régulièrement (Plusieurs fois par semaine)","6. Quotidiennement (Une fois par jour)","7. Très fréquemment (Plusieurs fois par jour)"},0)+1,""),"")</f>
        <v/>
      </c>
    </row>
    <row r="770" spans="16:21" x14ac:dyDescent="0.25">
      <c r="P770" t="str">
        <f>IF(DONNEES_SOURCE!$CA770=TRUE,DONNEES_SOURCE!$BV770,"")</f>
        <v/>
      </c>
      <c r="Q770" t="str">
        <f>IF(DONNEES_SOURCE!$CA770=TRUE,IFERROR(MATCH(DONNEES_SOURCE!$B770,{"2. Très rarement (Moins d'une fois par mois)","3. Rarement (1 à 3 fois par mois)","4. Parfois (Environ une fois par semaine)","5. Régulièrement (Plusieurs fois par semaine)","6. Quotidiennement (Une fois par jour)","7. Très fréquemment (Plusieurs fois par jour)"},0)+1,""),"")</f>
        <v/>
      </c>
      <c r="R770" t="str">
        <f>IF(DONNEES_SOURCE!$CA770=TRUE,DONNEES_SOURCE!$BW770,"")</f>
        <v/>
      </c>
      <c r="S770" t="str">
        <f>IF(DONNEES_SOURCE!$CA770=TRUE,DONNEES_SOURCE!$AU770,"")</f>
        <v/>
      </c>
      <c r="T770" t="str">
        <f>IF(DONNEES_SOURCE!$CA770=TRUE,DONNEES_SOURCE!$BW770,"")</f>
        <v/>
      </c>
      <c r="U770" t="str">
        <f>IF(DONNEES_SOURCE!$CA770=TRUE,IFERROR(MATCH(DONNEES_SOURCE!$B770,{"2. Très rarement (Moins d'une fois par mois)","3. Rarement (1 à 3 fois par mois)","4. Parfois (Environ une fois par semaine)","5. Régulièrement (Plusieurs fois par semaine)","6. Quotidiennement (Une fois par jour)","7. Très fréquemment (Plusieurs fois par jour)"},0)+1,""),"")</f>
        <v/>
      </c>
    </row>
    <row r="771" spans="16:21" x14ac:dyDescent="0.25">
      <c r="P771" t="str">
        <f>IF(DONNEES_SOURCE!$CA771=TRUE,DONNEES_SOURCE!$BV771,"")</f>
        <v/>
      </c>
      <c r="Q771" t="str">
        <f>IF(DONNEES_SOURCE!$CA771=TRUE,IFERROR(MATCH(DONNEES_SOURCE!$B771,{"2. Très rarement (Moins d'une fois par mois)","3. Rarement (1 à 3 fois par mois)","4. Parfois (Environ une fois par semaine)","5. Régulièrement (Plusieurs fois par semaine)","6. Quotidiennement (Une fois par jour)","7. Très fréquemment (Plusieurs fois par jour)"},0)+1,""),"")</f>
        <v/>
      </c>
      <c r="R771" t="str">
        <f>IF(DONNEES_SOURCE!$CA771=TRUE,DONNEES_SOURCE!$BW771,"")</f>
        <v/>
      </c>
      <c r="S771" t="str">
        <f>IF(DONNEES_SOURCE!$CA771=TRUE,DONNEES_SOURCE!$AU771,"")</f>
        <v/>
      </c>
      <c r="T771" t="str">
        <f>IF(DONNEES_SOURCE!$CA771=TRUE,DONNEES_SOURCE!$BW771,"")</f>
        <v/>
      </c>
      <c r="U771" t="str">
        <f>IF(DONNEES_SOURCE!$CA771=TRUE,IFERROR(MATCH(DONNEES_SOURCE!$B771,{"2. Très rarement (Moins d'une fois par mois)","3. Rarement (1 à 3 fois par mois)","4. Parfois (Environ une fois par semaine)","5. Régulièrement (Plusieurs fois par semaine)","6. Quotidiennement (Une fois par jour)","7. Très fréquemment (Plusieurs fois par jour)"},0)+1,""),"")</f>
        <v/>
      </c>
    </row>
    <row r="772" spans="16:21" x14ac:dyDescent="0.25">
      <c r="P772" t="str">
        <f>IF(DONNEES_SOURCE!$CA772=TRUE,DONNEES_SOURCE!$BV772,"")</f>
        <v/>
      </c>
      <c r="Q772" t="str">
        <f>IF(DONNEES_SOURCE!$CA772=TRUE,IFERROR(MATCH(DONNEES_SOURCE!$B772,{"2. Très rarement (Moins d'une fois par mois)","3. Rarement (1 à 3 fois par mois)","4. Parfois (Environ une fois par semaine)","5. Régulièrement (Plusieurs fois par semaine)","6. Quotidiennement (Une fois par jour)","7. Très fréquemment (Plusieurs fois par jour)"},0)+1,""),"")</f>
        <v/>
      </c>
      <c r="R772" t="str">
        <f>IF(DONNEES_SOURCE!$CA772=TRUE,DONNEES_SOURCE!$BW772,"")</f>
        <v/>
      </c>
      <c r="S772" t="str">
        <f>IF(DONNEES_SOURCE!$CA772=TRUE,DONNEES_SOURCE!$AU772,"")</f>
        <v/>
      </c>
      <c r="T772" t="str">
        <f>IF(DONNEES_SOURCE!$CA772=TRUE,DONNEES_SOURCE!$BW772,"")</f>
        <v/>
      </c>
      <c r="U772" t="str">
        <f>IF(DONNEES_SOURCE!$CA772=TRUE,IFERROR(MATCH(DONNEES_SOURCE!$B772,{"2. Très rarement (Moins d'une fois par mois)","3. Rarement (1 à 3 fois par mois)","4. Parfois (Environ une fois par semaine)","5. Régulièrement (Plusieurs fois par semaine)","6. Quotidiennement (Une fois par jour)","7. Très fréquemment (Plusieurs fois par jour)"},0)+1,""),"")</f>
        <v/>
      </c>
    </row>
    <row r="773" spans="16:21" x14ac:dyDescent="0.25">
      <c r="P773" t="str">
        <f>IF(DONNEES_SOURCE!$CA773=TRUE,DONNEES_SOURCE!$BV773,"")</f>
        <v/>
      </c>
      <c r="Q773" t="str">
        <f>IF(DONNEES_SOURCE!$CA773=TRUE,IFERROR(MATCH(DONNEES_SOURCE!$B773,{"2. Très rarement (Moins d'une fois par mois)","3. Rarement (1 à 3 fois par mois)","4. Parfois (Environ une fois par semaine)","5. Régulièrement (Plusieurs fois par semaine)","6. Quotidiennement (Une fois par jour)","7. Très fréquemment (Plusieurs fois par jour)"},0)+1,""),"")</f>
        <v/>
      </c>
      <c r="R773" t="str">
        <f>IF(DONNEES_SOURCE!$CA773=TRUE,DONNEES_SOURCE!$BW773,"")</f>
        <v/>
      </c>
      <c r="S773" t="str">
        <f>IF(DONNEES_SOURCE!$CA773=TRUE,DONNEES_SOURCE!$AU773,"")</f>
        <v/>
      </c>
      <c r="T773" t="str">
        <f>IF(DONNEES_SOURCE!$CA773=TRUE,DONNEES_SOURCE!$BW773,"")</f>
        <v/>
      </c>
      <c r="U773" t="str">
        <f>IF(DONNEES_SOURCE!$CA773=TRUE,IFERROR(MATCH(DONNEES_SOURCE!$B773,{"2. Très rarement (Moins d'une fois par mois)","3. Rarement (1 à 3 fois par mois)","4. Parfois (Environ une fois par semaine)","5. Régulièrement (Plusieurs fois par semaine)","6. Quotidiennement (Une fois par jour)","7. Très fréquemment (Plusieurs fois par jour)"},0)+1,""),"")</f>
        <v/>
      </c>
    </row>
    <row r="774" spans="16:21" x14ac:dyDescent="0.25">
      <c r="P774" t="str">
        <f>IF(DONNEES_SOURCE!$CA774=TRUE,DONNEES_SOURCE!$BV774,"")</f>
        <v/>
      </c>
      <c r="Q774" t="str">
        <f>IF(DONNEES_SOURCE!$CA774=TRUE,IFERROR(MATCH(DONNEES_SOURCE!$B774,{"2. Très rarement (Moins d'une fois par mois)","3. Rarement (1 à 3 fois par mois)","4. Parfois (Environ une fois par semaine)","5. Régulièrement (Plusieurs fois par semaine)","6. Quotidiennement (Une fois par jour)","7. Très fréquemment (Plusieurs fois par jour)"},0)+1,""),"")</f>
        <v/>
      </c>
      <c r="R774" t="str">
        <f>IF(DONNEES_SOURCE!$CA774=TRUE,DONNEES_SOURCE!$BW774,"")</f>
        <v/>
      </c>
      <c r="S774" t="str">
        <f>IF(DONNEES_SOURCE!$CA774=TRUE,DONNEES_SOURCE!$AU774,"")</f>
        <v/>
      </c>
      <c r="T774" t="str">
        <f>IF(DONNEES_SOURCE!$CA774=TRUE,DONNEES_SOURCE!$BW774,"")</f>
        <v/>
      </c>
      <c r="U774" t="str">
        <f>IF(DONNEES_SOURCE!$CA774=TRUE,IFERROR(MATCH(DONNEES_SOURCE!$B774,{"2. Très rarement (Moins d'une fois par mois)","3. Rarement (1 à 3 fois par mois)","4. Parfois (Environ une fois par semaine)","5. Régulièrement (Plusieurs fois par semaine)","6. Quotidiennement (Une fois par jour)","7. Très fréquemment (Plusieurs fois par jour)"},0)+1,""),"")</f>
        <v/>
      </c>
    </row>
    <row r="775" spans="16:21" x14ac:dyDescent="0.25">
      <c r="P775" t="str">
        <f>IF(DONNEES_SOURCE!$CA775=TRUE,DONNEES_SOURCE!$BV775,"")</f>
        <v/>
      </c>
      <c r="Q775" t="str">
        <f>IF(DONNEES_SOURCE!$CA775=TRUE,IFERROR(MATCH(DONNEES_SOURCE!$B775,{"2. Très rarement (Moins d'une fois par mois)","3. Rarement (1 à 3 fois par mois)","4. Parfois (Environ une fois par semaine)","5. Régulièrement (Plusieurs fois par semaine)","6. Quotidiennement (Une fois par jour)","7. Très fréquemment (Plusieurs fois par jour)"},0)+1,""),"")</f>
        <v/>
      </c>
      <c r="R775" t="str">
        <f>IF(DONNEES_SOURCE!$CA775=TRUE,DONNEES_SOURCE!$BW775,"")</f>
        <v/>
      </c>
      <c r="S775" t="str">
        <f>IF(DONNEES_SOURCE!$CA775=TRUE,DONNEES_SOURCE!$AU775,"")</f>
        <v/>
      </c>
      <c r="T775" t="str">
        <f>IF(DONNEES_SOURCE!$CA775=TRUE,DONNEES_SOURCE!$BW775,"")</f>
        <v/>
      </c>
      <c r="U775" t="str">
        <f>IF(DONNEES_SOURCE!$CA775=TRUE,IFERROR(MATCH(DONNEES_SOURCE!$B775,{"2. Très rarement (Moins d'une fois par mois)","3. Rarement (1 à 3 fois par mois)","4. Parfois (Environ une fois par semaine)","5. Régulièrement (Plusieurs fois par semaine)","6. Quotidiennement (Une fois par jour)","7. Très fréquemment (Plusieurs fois par jour)"},0)+1,""),"")</f>
        <v/>
      </c>
    </row>
    <row r="776" spans="16:21" x14ac:dyDescent="0.25">
      <c r="P776" t="str">
        <f>IF(DONNEES_SOURCE!$CA776=TRUE,DONNEES_SOURCE!$BV776,"")</f>
        <v/>
      </c>
      <c r="Q776" t="str">
        <f>IF(DONNEES_SOURCE!$CA776=TRUE,IFERROR(MATCH(DONNEES_SOURCE!$B776,{"2. Très rarement (Moins d'une fois par mois)","3. Rarement (1 à 3 fois par mois)","4. Parfois (Environ une fois par semaine)","5. Régulièrement (Plusieurs fois par semaine)","6. Quotidiennement (Une fois par jour)","7. Très fréquemment (Plusieurs fois par jour)"},0)+1,""),"")</f>
        <v/>
      </c>
      <c r="R776" t="str">
        <f>IF(DONNEES_SOURCE!$CA776=TRUE,DONNEES_SOURCE!$BW776,"")</f>
        <v/>
      </c>
      <c r="S776" t="str">
        <f>IF(DONNEES_SOURCE!$CA776=TRUE,DONNEES_SOURCE!$AU776,"")</f>
        <v/>
      </c>
      <c r="T776" t="str">
        <f>IF(DONNEES_SOURCE!$CA776=TRUE,DONNEES_SOURCE!$BW776,"")</f>
        <v/>
      </c>
      <c r="U776" t="str">
        <f>IF(DONNEES_SOURCE!$CA776=TRUE,IFERROR(MATCH(DONNEES_SOURCE!$B776,{"2. Très rarement (Moins d'une fois par mois)","3. Rarement (1 à 3 fois par mois)","4. Parfois (Environ une fois par semaine)","5. Régulièrement (Plusieurs fois par semaine)","6. Quotidiennement (Une fois par jour)","7. Très fréquemment (Plusieurs fois par jour)"},0)+1,""),"")</f>
        <v/>
      </c>
    </row>
    <row r="777" spans="16:21" x14ac:dyDescent="0.25">
      <c r="P777" t="str">
        <f>IF(DONNEES_SOURCE!$CA777=TRUE,DONNEES_SOURCE!$BV777,"")</f>
        <v/>
      </c>
      <c r="Q777" t="str">
        <f>IF(DONNEES_SOURCE!$CA777=TRUE,IFERROR(MATCH(DONNEES_SOURCE!$B777,{"2. Très rarement (Moins d'une fois par mois)","3. Rarement (1 à 3 fois par mois)","4. Parfois (Environ une fois par semaine)","5. Régulièrement (Plusieurs fois par semaine)","6. Quotidiennement (Une fois par jour)","7. Très fréquemment (Plusieurs fois par jour)"},0)+1,""),"")</f>
        <v/>
      </c>
      <c r="R777" t="str">
        <f>IF(DONNEES_SOURCE!$CA777=TRUE,DONNEES_SOURCE!$BW777,"")</f>
        <v/>
      </c>
      <c r="S777" t="str">
        <f>IF(DONNEES_SOURCE!$CA777=TRUE,DONNEES_SOURCE!$AU777,"")</f>
        <v/>
      </c>
      <c r="T777" t="str">
        <f>IF(DONNEES_SOURCE!$CA777=TRUE,DONNEES_SOURCE!$BW777,"")</f>
        <v/>
      </c>
      <c r="U777" t="str">
        <f>IF(DONNEES_SOURCE!$CA777=TRUE,IFERROR(MATCH(DONNEES_SOURCE!$B777,{"2. Très rarement (Moins d'une fois par mois)","3. Rarement (1 à 3 fois par mois)","4. Parfois (Environ une fois par semaine)","5. Régulièrement (Plusieurs fois par semaine)","6. Quotidiennement (Une fois par jour)","7. Très fréquemment (Plusieurs fois par jour)"},0)+1,""),"")</f>
        <v/>
      </c>
    </row>
    <row r="778" spans="16:21" x14ac:dyDescent="0.25">
      <c r="P778" t="str">
        <f>IF(DONNEES_SOURCE!$CA778=TRUE,DONNEES_SOURCE!$BV778,"")</f>
        <v/>
      </c>
      <c r="Q778" t="str">
        <f>IF(DONNEES_SOURCE!$CA778=TRUE,IFERROR(MATCH(DONNEES_SOURCE!$B778,{"2. Très rarement (Moins d'une fois par mois)","3. Rarement (1 à 3 fois par mois)","4. Parfois (Environ une fois par semaine)","5. Régulièrement (Plusieurs fois par semaine)","6. Quotidiennement (Une fois par jour)","7. Très fréquemment (Plusieurs fois par jour)"},0)+1,""),"")</f>
        <v/>
      </c>
      <c r="R778" t="str">
        <f>IF(DONNEES_SOURCE!$CA778=TRUE,DONNEES_SOURCE!$BW778,"")</f>
        <v/>
      </c>
      <c r="S778" t="str">
        <f>IF(DONNEES_SOURCE!$CA778=TRUE,DONNEES_SOURCE!$AU778,"")</f>
        <v/>
      </c>
      <c r="T778" t="str">
        <f>IF(DONNEES_SOURCE!$CA778=TRUE,DONNEES_SOURCE!$BW778,"")</f>
        <v/>
      </c>
      <c r="U778" t="str">
        <f>IF(DONNEES_SOURCE!$CA778=TRUE,IFERROR(MATCH(DONNEES_SOURCE!$B778,{"2. Très rarement (Moins d'une fois par mois)","3. Rarement (1 à 3 fois par mois)","4. Parfois (Environ une fois par semaine)","5. Régulièrement (Plusieurs fois par semaine)","6. Quotidiennement (Une fois par jour)","7. Très fréquemment (Plusieurs fois par jour)"},0)+1,""),"")</f>
        <v/>
      </c>
    </row>
    <row r="779" spans="16:21" x14ac:dyDescent="0.25">
      <c r="P779" t="str">
        <f>IF(DONNEES_SOURCE!$CA779=TRUE,DONNEES_SOURCE!$BV779,"")</f>
        <v/>
      </c>
      <c r="Q779" t="str">
        <f>IF(DONNEES_SOURCE!$CA779=TRUE,IFERROR(MATCH(DONNEES_SOURCE!$B779,{"2. Très rarement (Moins d'une fois par mois)","3. Rarement (1 à 3 fois par mois)","4. Parfois (Environ une fois par semaine)","5. Régulièrement (Plusieurs fois par semaine)","6. Quotidiennement (Une fois par jour)","7. Très fréquemment (Plusieurs fois par jour)"},0)+1,""),"")</f>
        <v/>
      </c>
      <c r="R779" t="str">
        <f>IF(DONNEES_SOURCE!$CA779=TRUE,DONNEES_SOURCE!$BW779,"")</f>
        <v/>
      </c>
      <c r="S779" t="str">
        <f>IF(DONNEES_SOURCE!$CA779=TRUE,DONNEES_SOURCE!$AU779,"")</f>
        <v/>
      </c>
      <c r="T779" t="str">
        <f>IF(DONNEES_SOURCE!$CA779=TRUE,DONNEES_SOURCE!$BW779,"")</f>
        <v/>
      </c>
      <c r="U779" t="str">
        <f>IF(DONNEES_SOURCE!$CA779=TRUE,IFERROR(MATCH(DONNEES_SOURCE!$B779,{"2. Très rarement (Moins d'une fois par mois)","3. Rarement (1 à 3 fois par mois)","4. Parfois (Environ une fois par semaine)","5. Régulièrement (Plusieurs fois par semaine)","6. Quotidiennement (Une fois par jour)","7. Très fréquemment (Plusieurs fois par jour)"},0)+1,""),"")</f>
        <v/>
      </c>
    </row>
    <row r="780" spans="16:21" x14ac:dyDescent="0.25">
      <c r="P780" t="str">
        <f>IF(DONNEES_SOURCE!$CA780=TRUE,DONNEES_SOURCE!$BV780,"")</f>
        <v/>
      </c>
      <c r="Q780" t="str">
        <f>IF(DONNEES_SOURCE!$CA780=TRUE,IFERROR(MATCH(DONNEES_SOURCE!$B780,{"2. Très rarement (Moins d'une fois par mois)","3. Rarement (1 à 3 fois par mois)","4. Parfois (Environ une fois par semaine)","5. Régulièrement (Plusieurs fois par semaine)","6. Quotidiennement (Une fois par jour)","7. Très fréquemment (Plusieurs fois par jour)"},0)+1,""),"")</f>
        <v/>
      </c>
      <c r="R780" t="str">
        <f>IF(DONNEES_SOURCE!$CA780=TRUE,DONNEES_SOURCE!$BW780,"")</f>
        <v/>
      </c>
      <c r="S780" t="str">
        <f>IF(DONNEES_SOURCE!$CA780=TRUE,DONNEES_SOURCE!$AU780,"")</f>
        <v/>
      </c>
      <c r="T780" t="str">
        <f>IF(DONNEES_SOURCE!$CA780=TRUE,DONNEES_SOURCE!$BW780,"")</f>
        <v/>
      </c>
      <c r="U780" t="str">
        <f>IF(DONNEES_SOURCE!$CA780=TRUE,IFERROR(MATCH(DONNEES_SOURCE!$B780,{"2. Très rarement (Moins d'une fois par mois)","3. Rarement (1 à 3 fois par mois)","4. Parfois (Environ une fois par semaine)","5. Régulièrement (Plusieurs fois par semaine)","6. Quotidiennement (Une fois par jour)","7. Très fréquemment (Plusieurs fois par jour)"},0)+1,""),"")</f>
        <v/>
      </c>
    </row>
    <row r="781" spans="16:21" x14ac:dyDescent="0.25">
      <c r="P781" t="str">
        <f>IF(DONNEES_SOURCE!$CA781=TRUE,DONNEES_SOURCE!$BV781,"")</f>
        <v/>
      </c>
      <c r="Q781" t="str">
        <f>IF(DONNEES_SOURCE!$CA781=TRUE,IFERROR(MATCH(DONNEES_SOURCE!$B781,{"2. Très rarement (Moins d'une fois par mois)","3. Rarement (1 à 3 fois par mois)","4. Parfois (Environ une fois par semaine)","5. Régulièrement (Plusieurs fois par semaine)","6. Quotidiennement (Une fois par jour)","7. Très fréquemment (Plusieurs fois par jour)"},0)+1,""),"")</f>
        <v/>
      </c>
      <c r="R781" t="str">
        <f>IF(DONNEES_SOURCE!$CA781=TRUE,DONNEES_SOURCE!$BW781,"")</f>
        <v/>
      </c>
      <c r="S781" t="str">
        <f>IF(DONNEES_SOURCE!$CA781=TRUE,DONNEES_SOURCE!$AU781,"")</f>
        <v/>
      </c>
      <c r="T781" t="str">
        <f>IF(DONNEES_SOURCE!$CA781=TRUE,DONNEES_SOURCE!$BW781,"")</f>
        <v/>
      </c>
      <c r="U781" t="str">
        <f>IF(DONNEES_SOURCE!$CA781=TRUE,IFERROR(MATCH(DONNEES_SOURCE!$B781,{"2. Très rarement (Moins d'une fois par mois)","3. Rarement (1 à 3 fois par mois)","4. Parfois (Environ une fois par semaine)","5. Régulièrement (Plusieurs fois par semaine)","6. Quotidiennement (Une fois par jour)","7. Très fréquemment (Plusieurs fois par jour)"},0)+1,""),"")</f>
        <v/>
      </c>
    </row>
    <row r="782" spans="16:21" x14ac:dyDescent="0.25">
      <c r="P782" t="str">
        <f>IF(DONNEES_SOURCE!$CA782=TRUE,DONNEES_SOURCE!$BV782,"")</f>
        <v/>
      </c>
      <c r="Q782" t="str">
        <f>IF(DONNEES_SOURCE!$CA782=TRUE,IFERROR(MATCH(DONNEES_SOURCE!$B782,{"2. Très rarement (Moins d'une fois par mois)","3. Rarement (1 à 3 fois par mois)","4. Parfois (Environ une fois par semaine)","5. Régulièrement (Plusieurs fois par semaine)","6. Quotidiennement (Une fois par jour)","7. Très fréquemment (Plusieurs fois par jour)"},0)+1,""),"")</f>
        <v/>
      </c>
      <c r="R782" t="str">
        <f>IF(DONNEES_SOURCE!$CA782=TRUE,DONNEES_SOURCE!$BW782,"")</f>
        <v/>
      </c>
      <c r="S782" t="str">
        <f>IF(DONNEES_SOURCE!$CA782=TRUE,DONNEES_SOURCE!$AU782,"")</f>
        <v/>
      </c>
      <c r="T782" t="str">
        <f>IF(DONNEES_SOURCE!$CA782=TRUE,DONNEES_SOURCE!$BW782,"")</f>
        <v/>
      </c>
      <c r="U782" t="str">
        <f>IF(DONNEES_SOURCE!$CA782=TRUE,IFERROR(MATCH(DONNEES_SOURCE!$B782,{"2. Très rarement (Moins d'une fois par mois)","3. Rarement (1 à 3 fois par mois)","4. Parfois (Environ une fois par semaine)","5. Régulièrement (Plusieurs fois par semaine)","6. Quotidiennement (Une fois par jour)","7. Très fréquemment (Plusieurs fois par jour)"},0)+1,""),"")</f>
        <v/>
      </c>
    </row>
    <row r="783" spans="16:21" x14ac:dyDescent="0.25">
      <c r="P783" t="str">
        <f>IF(DONNEES_SOURCE!$CA783=TRUE,DONNEES_SOURCE!$BV783,"")</f>
        <v/>
      </c>
      <c r="Q783" t="str">
        <f>IF(DONNEES_SOURCE!$CA783=TRUE,IFERROR(MATCH(DONNEES_SOURCE!$B783,{"2. Très rarement (Moins d'une fois par mois)","3. Rarement (1 à 3 fois par mois)","4. Parfois (Environ une fois par semaine)","5. Régulièrement (Plusieurs fois par semaine)","6. Quotidiennement (Une fois par jour)","7. Très fréquemment (Plusieurs fois par jour)"},0)+1,""),"")</f>
        <v/>
      </c>
      <c r="R783" t="str">
        <f>IF(DONNEES_SOURCE!$CA783=TRUE,DONNEES_SOURCE!$BW783,"")</f>
        <v/>
      </c>
      <c r="S783" t="str">
        <f>IF(DONNEES_SOURCE!$CA783=TRUE,DONNEES_SOURCE!$AU783,"")</f>
        <v/>
      </c>
      <c r="T783" t="str">
        <f>IF(DONNEES_SOURCE!$CA783=TRUE,DONNEES_SOURCE!$BW783,"")</f>
        <v/>
      </c>
      <c r="U783" t="str">
        <f>IF(DONNEES_SOURCE!$CA783=TRUE,IFERROR(MATCH(DONNEES_SOURCE!$B783,{"2. Très rarement (Moins d'une fois par mois)","3. Rarement (1 à 3 fois par mois)","4. Parfois (Environ une fois par semaine)","5. Régulièrement (Plusieurs fois par semaine)","6. Quotidiennement (Une fois par jour)","7. Très fréquemment (Plusieurs fois par jour)"},0)+1,""),"")</f>
        <v/>
      </c>
    </row>
    <row r="784" spans="16:21" x14ac:dyDescent="0.25">
      <c r="P784" t="str">
        <f>IF(DONNEES_SOURCE!$CA784=TRUE,DONNEES_SOURCE!$BV784,"")</f>
        <v/>
      </c>
      <c r="Q784" t="str">
        <f>IF(DONNEES_SOURCE!$CA784=TRUE,IFERROR(MATCH(DONNEES_SOURCE!$B784,{"2. Très rarement (Moins d'une fois par mois)","3. Rarement (1 à 3 fois par mois)","4. Parfois (Environ une fois par semaine)","5. Régulièrement (Plusieurs fois par semaine)","6. Quotidiennement (Une fois par jour)","7. Très fréquemment (Plusieurs fois par jour)"},0)+1,""),"")</f>
        <v/>
      </c>
      <c r="R784" t="str">
        <f>IF(DONNEES_SOURCE!$CA784=TRUE,DONNEES_SOURCE!$BW784,"")</f>
        <v/>
      </c>
      <c r="S784" t="str">
        <f>IF(DONNEES_SOURCE!$CA784=TRUE,DONNEES_SOURCE!$AU784,"")</f>
        <v/>
      </c>
      <c r="T784" t="str">
        <f>IF(DONNEES_SOURCE!$CA784=TRUE,DONNEES_SOURCE!$BW784,"")</f>
        <v/>
      </c>
      <c r="U784" t="str">
        <f>IF(DONNEES_SOURCE!$CA784=TRUE,IFERROR(MATCH(DONNEES_SOURCE!$B784,{"2. Très rarement (Moins d'une fois par mois)","3. Rarement (1 à 3 fois par mois)","4. Parfois (Environ une fois par semaine)","5. Régulièrement (Plusieurs fois par semaine)","6. Quotidiennement (Une fois par jour)","7. Très fréquemment (Plusieurs fois par jour)"},0)+1,""),"")</f>
        <v/>
      </c>
    </row>
    <row r="785" spans="16:21" x14ac:dyDescent="0.25">
      <c r="P785" t="str">
        <f>IF(DONNEES_SOURCE!$CA785=TRUE,DONNEES_SOURCE!$BV785,"")</f>
        <v/>
      </c>
      <c r="Q785" t="str">
        <f>IF(DONNEES_SOURCE!$CA785=TRUE,IFERROR(MATCH(DONNEES_SOURCE!$B785,{"2. Très rarement (Moins d'une fois par mois)","3. Rarement (1 à 3 fois par mois)","4. Parfois (Environ une fois par semaine)","5. Régulièrement (Plusieurs fois par semaine)","6. Quotidiennement (Une fois par jour)","7. Très fréquemment (Plusieurs fois par jour)"},0)+1,""),"")</f>
        <v/>
      </c>
      <c r="R785" t="str">
        <f>IF(DONNEES_SOURCE!$CA785=TRUE,DONNEES_SOURCE!$BW785,"")</f>
        <v/>
      </c>
      <c r="S785" t="str">
        <f>IF(DONNEES_SOURCE!$CA785=TRUE,DONNEES_SOURCE!$AU785,"")</f>
        <v/>
      </c>
      <c r="T785" t="str">
        <f>IF(DONNEES_SOURCE!$CA785=TRUE,DONNEES_SOURCE!$BW785,"")</f>
        <v/>
      </c>
      <c r="U785" t="str">
        <f>IF(DONNEES_SOURCE!$CA785=TRUE,IFERROR(MATCH(DONNEES_SOURCE!$B785,{"2. Très rarement (Moins d'une fois par mois)","3. Rarement (1 à 3 fois par mois)","4. Parfois (Environ une fois par semaine)","5. Régulièrement (Plusieurs fois par semaine)","6. Quotidiennement (Une fois par jour)","7. Très fréquemment (Plusieurs fois par jour)"},0)+1,""),"")</f>
        <v/>
      </c>
    </row>
    <row r="786" spans="16:21" x14ac:dyDescent="0.25">
      <c r="P786" t="str">
        <f>IF(DONNEES_SOURCE!$CA786=TRUE,DONNEES_SOURCE!$BV786,"")</f>
        <v/>
      </c>
      <c r="Q786" t="str">
        <f>IF(DONNEES_SOURCE!$CA786=TRUE,IFERROR(MATCH(DONNEES_SOURCE!$B786,{"2. Très rarement (Moins d'une fois par mois)","3. Rarement (1 à 3 fois par mois)","4. Parfois (Environ une fois par semaine)","5. Régulièrement (Plusieurs fois par semaine)","6. Quotidiennement (Une fois par jour)","7. Très fréquemment (Plusieurs fois par jour)"},0)+1,""),"")</f>
        <v/>
      </c>
      <c r="R786" t="str">
        <f>IF(DONNEES_SOURCE!$CA786=TRUE,DONNEES_SOURCE!$BW786,"")</f>
        <v/>
      </c>
      <c r="S786" t="str">
        <f>IF(DONNEES_SOURCE!$CA786=TRUE,DONNEES_SOURCE!$AU786,"")</f>
        <v/>
      </c>
      <c r="T786" t="str">
        <f>IF(DONNEES_SOURCE!$CA786=TRUE,DONNEES_SOURCE!$BW786,"")</f>
        <v/>
      </c>
      <c r="U786" t="str">
        <f>IF(DONNEES_SOURCE!$CA786=TRUE,IFERROR(MATCH(DONNEES_SOURCE!$B786,{"2. Très rarement (Moins d'une fois par mois)","3. Rarement (1 à 3 fois par mois)","4. Parfois (Environ une fois par semaine)","5. Régulièrement (Plusieurs fois par semaine)","6. Quotidiennement (Une fois par jour)","7. Très fréquemment (Plusieurs fois par jour)"},0)+1,""),"")</f>
        <v/>
      </c>
    </row>
    <row r="787" spans="16:21" x14ac:dyDescent="0.25">
      <c r="P787" t="str">
        <f>IF(DONNEES_SOURCE!$CA787=TRUE,DONNEES_SOURCE!$BV787,"")</f>
        <v/>
      </c>
      <c r="Q787" t="str">
        <f>IF(DONNEES_SOURCE!$CA787=TRUE,IFERROR(MATCH(DONNEES_SOURCE!$B787,{"2. Très rarement (Moins d'une fois par mois)","3. Rarement (1 à 3 fois par mois)","4. Parfois (Environ une fois par semaine)","5. Régulièrement (Plusieurs fois par semaine)","6. Quotidiennement (Une fois par jour)","7. Très fréquemment (Plusieurs fois par jour)"},0)+1,""),"")</f>
        <v/>
      </c>
      <c r="R787" t="str">
        <f>IF(DONNEES_SOURCE!$CA787=TRUE,DONNEES_SOURCE!$BW787,"")</f>
        <v/>
      </c>
      <c r="S787" t="str">
        <f>IF(DONNEES_SOURCE!$CA787=TRUE,DONNEES_SOURCE!$AU787,"")</f>
        <v/>
      </c>
      <c r="T787" t="str">
        <f>IF(DONNEES_SOURCE!$CA787=TRUE,DONNEES_SOURCE!$BW787,"")</f>
        <v/>
      </c>
      <c r="U787" t="str">
        <f>IF(DONNEES_SOURCE!$CA787=TRUE,IFERROR(MATCH(DONNEES_SOURCE!$B787,{"2. Très rarement (Moins d'une fois par mois)","3. Rarement (1 à 3 fois par mois)","4. Parfois (Environ une fois par semaine)","5. Régulièrement (Plusieurs fois par semaine)","6. Quotidiennement (Une fois par jour)","7. Très fréquemment (Plusieurs fois par jour)"},0)+1,""),"")</f>
        <v/>
      </c>
    </row>
    <row r="788" spans="16:21" x14ac:dyDescent="0.25">
      <c r="P788" t="str">
        <f>IF(DONNEES_SOURCE!$CA788=TRUE,DONNEES_SOURCE!$BV788,"")</f>
        <v/>
      </c>
      <c r="Q788" t="str">
        <f>IF(DONNEES_SOURCE!$CA788=TRUE,IFERROR(MATCH(DONNEES_SOURCE!$B788,{"2. Très rarement (Moins d'une fois par mois)","3. Rarement (1 à 3 fois par mois)","4. Parfois (Environ une fois par semaine)","5. Régulièrement (Plusieurs fois par semaine)","6. Quotidiennement (Une fois par jour)","7. Très fréquemment (Plusieurs fois par jour)"},0)+1,""),"")</f>
        <v/>
      </c>
      <c r="R788" t="str">
        <f>IF(DONNEES_SOURCE!$CA788=TRUE,DONNEES_SOURCE!$BW788,"")</f>
        <v/>
      </c>
      <c r="S788" t="str">
        <f>IF(DONNEES_SOURCE!$CA788=TRUE,DONNEES_SOURCE!$AU788,"")</f>
        <v/>
      </c>
      <c r="T788" t="str">
        <f>IF(DONNEES_SOURCE!$CA788=TRUE,DONNEES_SOURCE!$BW788,"")</f>
        <v/>
      </c>
      <c r="U788" t="str">
        <f>IF(DONNEES_SOURCE!$CA788=TRUE,IFERROR(MATCH(DONNEES_SOURCE!$B788,{"2. Très rarement (Moins d'une fois par mois)","3. Rarement (1 à 3 fois par mois)","4. Parfois (Environ une fois par semaine)","5. Régulièrement (Plusieurs fois par semaine)","6. Quotidiennement (Une fois par jour)","7. Très fréquemment (Plusieurs fois par jour)"},0)+1,""),"")</f>
        <v/>
      </c>
    </row>
    <row r="789" spans="16:21" x14ac:dyDescent="0.25">
      <c r="P789" t="str">
        <f>IF(DONNEES_SOURCE!$CA789=TRUE,DONNEES_SOURCE!$BV789,"")</f>
        <v/>
      </c>
      <c r="Q789" t="str">
        <f>IF(DONNEES_SOURCE!$CA789=TRUE,IFERROR(MATCH(DONNEES_SOURCE!$B789,{"2. Très rarement (Moins d'une fois par mois)","3. Rarement (1 à 3 fois par mois)","4. Parfois (Environ une fois par semaine)","5. Régulièrement (Plusieurs fois par semaine)","6. Quotidiennement (Une fois par jour)","7. Très fréquemment (Plusieurs fois par jour)"},0)+1,""),"")</f>
        <v/>
      </c>
      <c r="R789" t="str">
        <f>IF(DONNEES_SOURCE!$CA789=TRUE,DONNEES_SOURCE!$BW789,"")</f>
        <v/>
      </c>
      <c r="S789" t="str">
        <f>IF(DONNEES_SOURCE!$CA789=TRUE,DONNEES_SOURCE!$AU789,"")</f>
        <v/>
      </c>
      <c r="T789" t="str">
        <f>IF(DONNEES_SOURCE!$CA789=TRUE,DONNEES_SOURCE!$BW789,"")</f>
        <v/>
      </c>
      <c r="U789" t="str">
        <f>IF(DONNEES_SOURCE!$CA789=TRUE,IFERROR(MATCH(DONNEES_SOURCE!$B789,{"2. Très rarement (Moins d'une fois par mois)","3. Rarement (1 à 3 fois par mois)","4. Parfois (Environ une fois par semaine)","5. Régulièrement (Plusieurs fois par semaine)","6. Quotidiennement (Une fois par jour)","7. Très fréquemment (Plusieurs fois par jour)"},0)+1,""),"")</f>
        <v/>
      </c>
    </row>
    <row r="790" spans="16:21" x14ac:dyDescent="0.25">
      <c r="P790" t="str">
        <f>IF(DONNEES_SOURCE!$CA790=TRUE,DONNEES_SOURCE!$BV790,"")</f>
        <v/>
      </c>
      <c r="Q790" t="str">
        <f>IF(DONNEES_SOURCE!$CA790=TRUE,IFERROR(MATCH(DONNEES_SOURCE!$B790,{"2. Très rarement (Moins d'une fois par mois)","3. Rarement (1 à 3 fois par mois)","4. Parfois (Environ une fois par semaine)","5. Régulièrement (Plusieurs fois par semaine)","6. Quotidiennement (Une fois par jour)","7. Très fréquemment (Plusieurs fois par jour)"},0)+1,""),"")</f>
        <v/>
      </c>
      <c r="R790" t="str">
        <f>IF(DONNEES_SOURCE!$CA790=TRUE,DONNEES_SOURCE!$BW790,"")</f>
        <v/>
      </c>
      <c r="S790" t="str">
        <f>IF(DONNEES_SOURCE!$CA790=TRUE,DONNEES_SOURCE!$AU790,"")</f>
        <v/>
      </c>
      <c r="T790" t="str">
        <f>IF(DONNEES_SOURCE!$CA790=TRUE,DONNEES_SOURCE!$BW790,"")</f>
        <v/>
      </c>
      <c r="U790" t="str">
        <f>IF(DONNEES_SOURCE!$CA790=TRUE,IFERROR(MATCH(DONNEES_SOURCE!$B790,{"2. Très rarement (Moins d'une fois par mois)","3. Rarement (1 à 3 fois par mois)","4. Parfois (Environ une fois par semaine)","5. Régulièrement (Plusieurs fois par semaine)","6. Quotidiennement (Une fois par jour)","7. Très fréquemment (Plusieurs fois par jour)"},0)+1,""),"")</f>
        <v/>
      </c>
    </row>
    <row r="791" spans="16:21" x14ac:dyDescent="0.25">
      <c r="P791" t="str">
        <f>IF(DONNEES_SOURCE!$CA791=TRUE,DONNEES_SOURCE!$BV791,"")</f>
        <v/>
      </c>
      <c r="Q791" t="str">
        <f>IF(DONNEES_SOURCE!$CA791=TRUE,IFERROR(MATCH(DONNEES_SOURCE!$B791,{"2. Très rarement (Moins d'une fois par mois)","3. Rarement (1 à 3 fois par mois)","4. Parfois (Environ une fois par semaine)","5. Régulièrement (Plusieurs fois par semaine)","6. Quotidiennement (Une fois par jour)","7. Très fréquemment (Plusieurs fois par jour)"},0)+1,""),"")</f>
        <v/>
      </c>
      <c r="R791" t="str">
        <f>IF(DONNEES_SOURCE!$CA791=TRUE,DONNEES_SOURCE!$BW791,"")</f>
        <v/>
      </c>
      <c r="S791" t="str">
        <f>IF(DONNEES_SOURCE!$CA791=TRUE,DONNEES_SOURCE!$AU791,"")</f>
        <v/>
      </c>
      <c r="T791" t="str">
        <f>IF(DONNEES_SOURCE!$CA791=TRUE,DONNEES_SOURCE!$BW791,"")</f>
        <v/>
      </c>
      <c r="U791" t="str">
        <f>IF(DONNEES_SOURCE!$CA791=TRUE,IFERROR(MATCH(DONNEES_SOURCE!$B791,{"2. Très rarement (Moins d'une fois par mois)","3. Rarement (1 à 3 fois par mois)","4. Parfois (Environ une fois par semaine)","5. Régulièrement (Plusieurs fois par semaine)","6. Quotidiennement (Une fois par jour)","7. Très fréquemment (Plusieurs fois par jour)"},0)+1,""),"")</f>
        <v/>
      </c>
    </row>
    <row r="792" spans="16:21" x14ac:dyDescent="0.25">
      <c r="P792" t="str">
        <f>IF(DONNEES_SOURCE!$CA792=TRUE,DONNEES_SOURCE!$BV792,"")</f>
        <v/>
      </c>
      <c r="Q792" t="str">
        <f>IF(DONNEES_SOURCE!$CA792=TRUE,IFERROR(MATCH(DONNEES_SOURCE!$B792,{"2. Très rarement (Moins d'une fois par mois)","3. Rarement (1 à 3 fois par mois)","4. Parfois (Environ une fois par semaine)","5. Régulièrement (Plusieurs fois par semaine)","6. Quotidiennement (Une fois par jour)","7. Très fréquemment (Plusieurs fois par jour)"},0)+1,""),"")</f>
        <v/>
      </c>
      <c r="R792" t="str">
        <f>IF(DONNEES_SOURCE!$CA792=TRUE,DONNEES_SOURCE!$BW792,"")</f>
        <v/>
      </c>
      <c r="S792" t="str">
        <f>IF(DONNEES_SOURCE!$CA792=TRUE,DONNEES_SOURCE!$AU792,"")</f>
        <v/>
      </c>
      <c r="T792" t="str">
        <f>IF(DONNEES_SOURCE!$CA792=TRUE,DONNEES_SOURCE!$BW792,"")</f>
        <v/>
      </c>
      <c r="U792" t="str">
        <f>IF(DONNEES_SOURCE!$CA792=TRUE,IFERROR(MATCH(DONNEES_SOURCE!$B792,{"2. Très rarement (Moins d'une fois par mois)","3. Rarement (1 à 3 fois par mois)","4. Parfois (Environ une fois par semaine)","5. Régulièrement (Plusieurs fois par semaine)","6. Quotidiennement (Une fois par jour)","7. Très fréquemment (Plusieurs fois par jour)"},0)+1,""),"")</f>
        <v/>
      </c>
    </row>
    <row r="793" spans="16:21" x14ac:dyDescent="0.25">
      <c r="P793" t="str">
        <f>IF(DONNEES_SOURCE!$CA793=TRUE,DONNEES_SOURCE!$BV793,"")</f>
        <v/>
      </c>
      <c r="Q793" t="str">
        <f>IF(DONNEES_SOURCE!$CA793=TRUE,IFERROR(MATCH(DONNEES_SOURCE!$B793,{"2. Très rarement (Moins d'une fois par mois)","3. Rarement (1 à 3 fois par mois)","4. Parfois (Environ une fois par semaine)","5. Régulièrement (Plusieurs fois par semaine)","6. Quotidiennement (Une fois par jour)","7. Très fréquemment (Plusieurs fois par jour)"},0)+1,""),"")</f>
        <v/>
      </c>
      <c r="R793" t="str">
        <f>IF(DONNEES_SOURCE!$CA793=TRUE,DONNEES_SOURCE!$BW793,"")</f>
        <v/>
      </c>
      <c r="S793" t="str">
        <f>IF(DONNEES_SOURCE!$CA793=TRUE,DONNEES_SOURCE!$AU793,"")</f>
        <v/>
      </c>
      <c r="T793" t="str">
        <f>IF(DONNEES_SOURCE!$CA793=TRUE,DONNEES_SOURCE!$BW793,"")</f>
        <v/>
      </c>
      <c r="U793" t="str">
        <f>IF(DONNEES_SOURCE!$CA793=TRUE,IFERROR(MATCH(DONNEES_SOURCE!$B793,{"2. Très rarement (Moins d'une fois par mois)","3. Rarement (1 à 3 fois par mois)","4. Parfois (Environ une fois par semaine)","5. Régulièrement (Plusieurs fois par semaine)","6. Quotidiennement (Une fois par jour)","7. Très fréquemment (Plusieurs fois par jour)"},0)+1,""),"")</f>
        <v/>
      </c>
    </row>
    <row r="794" spans="16:21" x14ac:dyDescent="0.25">
      <c r="P794" t="str">
        <f>IF(DONNEES_SOURCE!$CA794=TRUE,DONNEES_SOURCE!$BV794,"")</f>
        <v/>
      </c>
      <c r="Q794" t="str">
        <f>IF(DONNEES_SOURCE!$CA794=TRUE,IFERROR(MATCH(DONNEES_SOURCE!$B794,{"2. Très rarement (Moins d'une fois par mois)","3. Rarement (1 à 3 fois par mois)","4. Parfois (Environ une fois par semaine)","5. Régulièrement (Plusieurs fois par semaine)","6. Quotidiennement (Une fois par jour)","7. Très fréquemment (Plusieurs fois par jour)"},0)+1,""),"")</f>
        <v/>
      </c>
      <c r="R794" t="str">
        <f>IF(DONNEES_SOURCE!$CA794=TRUE,DONNEES_SOURCE!$BW794,"")</f>
        <v/>
      </c>
      <c r="S794" t="str">
        <f>IF(DONNEES_SOURCE!$CA794=TRUE,DONNEES_SOURCE!$AU794,"")</f>
        <v/>
      </c>
      <c r="T794" t="str">
        <f>IF(DONNEES_SOURCE!$CA794=TRUE,DONNEES_SOURCE!$BW794,"")</f>
        <v/>
      </c>
      <c r="U794" t="str">
        <f>IF(DONNEES_SOURCE!$CA794=TRUE,IFERROR(MATCH(DONNEES_SOURCE!$B794,{"2. Très rarement (Moins d'une fois par mois)","3. Rarement (1 à 3 fois par mois)","4. Parfois (Environ une fois par semaine)","5. Régulièrement (Plusieurs fois par semaine)","6. Quotidiennement (Une fois par jour)","7. Très fréquemment (Plusieurs fois par jour)"},0)+1,""),"")</f>
        <v/>
      </c>
    </row>
    <row r="795" spans="16:21" x14ac:dyDescent="0.25">
      <c r="P795" t="str">
        <f>IF(DONNEES_SOURCE!$CA795=TRUE,DONNEES_SOURCE!$BV795,"")</f>
        <v/>
      </c>
      <c r="Q795" t="str">
        <f>IF(DONNEES_SOURCE!$CA795=TRUE,IFERROR(MATCH(DONNEES_SOURCE!$B795,{"2. Très rarement (Moins d'une fois par mois)","3. Rarement (1 à 3 fois par mois)","4. Parfois (Environ une fois par semaine)","5. Régulièrement (Plusieurs fois par semaine)","6. Quotidiennement (Une fois par jour)","7. Très fréquemment (Plusieurs fois par jour)"},0)+1,""),"")</f>
        <v/>
      </c>
      <c r="R795" t="str">
        <f>IF(DONNEES_SOURCE!$CA795=TRUE,DONNEES_SOURCE!$BW795,"")</f>
        <v/>
      </c>
      <c r="S795" t="str">
        <f>IF(DONNEES_SOURCE!$CA795=TRUE,DONNEES_SOURCE!$AU795,"")</f>
        <v/>
      </c>
      <c r="T795" t="str">
        <f>IF(DONNEES_SOURCE!$CA795=TRUE,DONNEES_SOURCE!$BW795,"")</f>
        <v/>
      </c>
      <c r="U795" t="str">
        <f>IF(DONNEES_SOURCE!$CA795=TRUE,IFERROR(MATCH(DONNEES_SOURCE!$B795,{"2. Très rarement (Moins d'une fois par mois)","3. Rarement (1 à 3 fois par mois)","4. Parfois (Environ une fois par semaine)","5. Régulièrement (Plusieurs fois par semaine)","6. Quotidiennement (Une fois par jour)","7. Très fréquemment (Plusieurs fois par jour)"},0)+1,""),"")</f>
        <v/>
      </c>
    </row>
    <row r="796" spans="16:21" x14ac:dyDescent="0.25">
      <c r="P796" t="str">
        <f>IF(DONNEES_SOURCE!$CA796=TRUE,DONNEES_SOURCE!$BV796,"")</f>
        <v/>
      </c>
      <c r="Q796" t="str">
        <f>IF(DONNEES_SOURCE!$CA796=TRUE,IFERROR(MATCH(DONNEES_SOURCE!$B796,{"2. Très rarement (Moins d'une fois par mois)","3. Rarement (1 à 3 fois par mois)","4. Parfois (Environ une fois par semaine)","5. Régulièrement (Plusieurs fois par semaine)","6. Quotidiennement (Une fois par jour)","7. Très fréquemment (Plusieurs fois par jour)"},0)+1,""),"")</f>
        <v/>
      </c>
      <c r="R796" t="str">
        <f>IF(DONNEES_SOURCE!$CA796=TRUE,DONNEES_SOURCE!$BW796,"")</f>
        <v/>
      </c>
      <c r="S796" t="str">
        <f>IF(DONNEES_SOURCE!$CA796=TRUE,DONNEES_SOURCE!$AU796,"")</f>
        <v/>
      </c>
      <c r="T796" t="str">
        <f>IF(DONNEES_SOURCE!$CA796=TRUE,DONNEES_SOURCE!$BW796,"")</f>
        <v/>
      </c>
      <c r="U796" t="str">
        <f>IF(DONNEES_SOURCE!$CA796=TRUE,IFERROR(MATCH(DONNEES_SOURCE!$B796,{"2. Très rarement (Moins d'une fois par mois)","3. Rarement (1 à 3 fois par mois)","4. Parfois (Environ une fois par semaine)","5. Régulièrement (Plusieurs fois par semaine)","6. Quotidiennement (Une fois par jour)","7. Très fréquemment (Plusieurs fois par jour)"},0)+1,""),"")</f>
        <v/>
      </c>
    </row>
    <row r="797" spans="16:21" x14ac:dyDescent="0.25">
      <c r="P797" t="str">
        <f>IF(DONNEES_SOURCE!$CA797=TRUE,DONNEES_SOURCE!$BV797,"")</f>
        <v/>
      </c>
      <c r="Q797" t="str">
        <f>IF(DONNEES_SOURCE!$CA797=TRUE,IFERROR(MATCH(DONNEES_SOURCE!$B797,{"2. Très rarement (Moins d'une fois par mois)","3. Rarement (1 à 3 fois par mois)","4. Parfois (Environ une fois par semaine)","5. Régulièrement (Plusieurs fois par semaine)","6. Quotidiennement (Une fois par jour)","7. Très fréquemment (Plusieurs fois par jour)"},0)+1,""),"")</f>
        <v/>
      </c>
      <c r="R797" t="str">
        <f>IF(DONNEES_SOURCE!$CA797=TRUE,DONNEES_SOURCE!$BW797,"")</f>
        <v/>
      </c>
      <c r="S797" t="str">
        <f>IF(DONNEES_SOURCE!$CA797=TRUE,DONNEES_SOURCE!$AU797,"")</f>
        <v/>
      </c>
      <c r="T797" t="str">
        <f>IF(DONNEES_SOURCE!$CA797=TRUE,DONNEES_SOURCE!$BW797,"")</f>
        <v/>
      </c>
      <c r="U797" t="str">
        <f>IF(DONNEES_SOURCE!$CA797=TRUE,IFERROR(MATCH(DONNEES_SOURCE!$B797,{"2. Très rarement (Moins d'une fois par mois)","3. Rarement (1 à 3 fois par mois)","4. Parfois (Environ une fois par semaine)","5. Régulièrement (Plusieurs fois par semaine)","6. Quotidiennement (Une fois par jour)","7. Très fréquemment (Plusieurs fois par jour)"},0)+1,""),"")</f>
        <v/>
      </c>
    </row>
    <row r="798" spans="16:21" x14ac:dyDescent="0.25">
      <c r="P798" t="str">
        <f>IF(DONNEES_SOURCE!$CA798=TRUE,DONNEES_SOURCE!$BV798,"")</f>
        <v/>
      </c>
      <c r="Q798" t="str">
        <f>IF(DONNEES_SOURCE!$CA798=TRUE,IFERROR(MATCH(DONNEES_SOURCE!$B798,{"2. Très rarement (Moins d'une fois par mois)","3. Rarement (1 à 3 fois par mois)","4. Parfois (Environ une fois par semaine)","5. Régulièrement (Plusieurs fois par semaine)","6. Quotidiennement (Une fois par jour)","7. Très fréquemment (Plusieurs fois par jour)"},0)+1,""),"")</f>
        <v/>
      </c>
      <c r="R798" t="str">
        <f>IF(DONNEES_SOURCE!$CA798=TRUE,DONNEES_SOURCE!$BW798,"")</f>
        <v/>
      </c>
      <c r="S798" t="str">
        <f>IF(DONNEES_SOURCE!$CA798=TRUE,DONNEES_SOURCE!$AU798,"")</f>
        <v/>
      </c>
      <c r="T798" t="str">
        <f>IF(DONNEES_SOURCE!$CA798=TRUE,DONNEES_SOURCE!$BW798,"")</f>
        <v/>
      </c>
      <c r="U798" t="str">
        <f>IF(DONNEES_SOURCE!$CA798=TRUE,IFERROR(MATCH(DONNEES_SOURCE!$B798,{"2. Très rarement (Moins d'une fois par mois)","3. Rarement (1 à 3 fois par mois)","4. Parfois (Environ une fois par semaine)","5. Régulièrement (Plusieurs fois par semaine)","6. Quotidiennement (Une fois par jour)","7. Très fréquemment (Plusieurs fois par jour)"},0)+1,""),"")</f>
        <v/>
      </c>
    </row>
    <row r="799" spans="16:21" x14ac:dyDescent="0.25">
      <c r="P799" t="str">
        <f>IF(DONNEES_SOURCE!$CA799=TRUE,DONNEES_SOURCE!$BV799,"")</f>
        <v/>
      </c>
      <c r="Q799" t="str">
        <f>IF(DONNEES_SOURCE!$CA799=TRUE,IFERROR(MATCH(DONNEES_SOURCE!$B799,{"2. Très rarement (Moins d'une fois par mois)","3. Rarement (1 à 3 fois par mois)","4. Parfois (Environ une fois par semaine)","5. Régulièrement (Plusieurs fois par semaine)","6. Quotidiennement (Une fois par jour)","7. Très fréquemment (Plusieurs fois par jour)"},0)+1,""),"")</f>
        <v/>
      </c>
      <c r="R799" t="str">
        <f>IF(DONNEES_SOURCE!$CA799=TRUE,DONNEES_SOURCE!$BW799,"")</f>
        <v/>
      </c>
      <c r="S799" t="str">
        <f>IF(DONNEES_SOURCE!$CA799=TRUE,DONNEES_SOURCE!$AU799,"")</f>
        <v/>
      </c>
      <c r="T799" t="str">
        <f>IF(DONNEES_SOURCE!$CA799=TRUE,DONNEES_SOURCE!$BW799,"")</f>
        <v/>
      </c>
      <c r="U799" t="str">
        <f>IF(DONNEES_SOURCE!$CA799=TRUE,IFERROR(MATCH(DONNEES_SOURCE!$B799,{"2. Très rarement (Moins d'une fois par mois)","3. Rarement (1 à 3 fois par mois)","4. Parfois (Environ une fois par semaine)","5. Régulièrement (Plusieurs fois par semaine)","6. Quotidiennement (Une fois par jour)","7. Très fréquemment (Plusieurs fois par jour)"},0)+1,""),"")</f>
        <v/>
      </c>
    </row>
    <row r="800" spans="16:21" x14ac:dyDescent="0.25">
      <c r="P800" t="str">
        <f>IF(DONNEES_SOURCE!$CA800=TRUE,DONNEES_SOURCE!$BV800,"")</f>
        <v/>
      </c>
      <c r="Q800" t="str">
        <f>IF(DONNEES_SOURCE!$CA800=TRUE,IFERROR(MATCH(DONNEES_SOURCE!$B800,{"2. Très rarement (Moins d'une fois par mois)","3. Rarement (1 à 3 fois par mois)","4. Parfois (Environ une fois par semaine)","5. Régulièrement (Plusieurs fois par semaine)","6. Quotidiennement (Une fois par jour)","7. Très fréquemment (Plusieurs fois par jour)"},0)+1,""),"")</f>
        <v/>
      </c>
      <c r="R800" t="str">
        <f>IF(DONNEES_SOURCE!$CA800=TRUE,DONNEES_SOURCE!$BW800,"")</f>
        <v/>
      </c>
      <c r="S800" t="str">
        <f>IF(DONNEES_SOURCE!$CA800=TRUE,DONNEES_SOURCE!$AU800,"")</f>
        <v/>
      </c>
      <c r="T800" t="str">
        <f>IF(DONNEES_SOURCE!$CA800=TRUE,DONNEES_SOURCE!$BW800,"")</f>
        <v/>
      </c>
      <c r="U800" t="str">
        <f>IF(DONNEES_SOURCE!$CA800=TRUE,IFERROR(MATCH(DONNEES_SOURCE!$B800,{"2. Très rarement (Moins d'une fois par mois)","3. Rarement (1 à 3 fois par mois)","4. Parfois (Environ une fois par semaine)","5. Régulièrement (Plusieurs fois par semaine)","6. Quotidiennement (Une fois par jour)","7. Très fréquemment (Plusieurs fois par jour)"},0)+1,""),"")</f>
        <v/>
      </c>
    </row>
    <row r="801" spans="16:21" x14ac:dyDescent="0.25">
      <c r="P801" t="str">
        <f>IF(DONNEES_SOURCE!$CA801=TRUE,DONNEES_SOURCE!$BV801,"")</f>
        <v/>
      </c>
      <c r="Q801" t="str">
        <f>IF(DONNEES_SOURCE!$CA801=TRUE,IFERROR(MATCH(DONNEES_SOURCE!$B801,{"2. Très rarement (Moins d'une fois par mois)","3. Rarement (1 à 3 fois par mois)","4. Parfois (Environ une fois par semaine)","5. Régulièrement (Plusieurs fois par semaine)","6. Quotidiennement (Une fois par jour)","7. Très fréquemment (Plusieurs fois par jour)"},0)+1,""),"")</f>
        <v/>
      </c>
      <c r="R801" t="str">
        <f>IF(DONNEES_SOURCE!$CA801=TRUE,DONNEES_SOURCE!$BW801,"")</f>
        <v/>
      </c>
      <c r="S801" t="str">
        <f>IF(DONNEES_SOURCE!$CA801=TRUE,DONNEES_SOURCE!$AU801,"")</f>
        <v/>
      </c>
      <c r="T801" t="str">
        <f>IF(DONNEES_SOURCE!$CA801=TRUE,DONNEES_SOURCE!$BW801,"")</f>
        <v/>
      </c>
      <c r="U801" t="str">
        <f>IF(DONNEES_SOURCE!$CA801=TRUE,IFERROR(MATCH(DONNEES_SOURCE!$B801,{"2. Très rarement (Moins d'une fois par mois)","3. Rarement (1 à 3 fois par mois)","4. Parfois (Environ une fois par semaine)","5. Régulièrement (Plusieurs fois par semaine)","6. Quotidiennement (Une fois par jour)","7. Très fréquemment (Plusieurs fois par jour)"},0)+1,""),"")</f>
        <v/>
      </c>
    </row>
    <row r="802" spans="16:21" x14ac:dyDescent="0.25">
      <c r="P802" t="str">
        <f>IF(DONNEES_SOURCE!$CA802=TRUE,DONNEES_SOURCE!$BV802,"")</f>
        <v/>
      </c>
      <c r="Q802" t="str">
        <f>IF(DONNEES_SOURCE!$CA802=TRUE,IFERROR(MATCH(DONNEES_SOURCE!$B802,{"2. Très rarement (Moins d'une fois par mois)","3. Rarement (1 à 3 fois par mois)","4. Parfois (Environ une fois par semaine)","5. Régulièrement (Plusieurs fois par semaine)","6. Quotidiennement (Une fois par jour)","7. Très fréquemment (Plusieurs fois par jour)"},0)+1,""),"")</f>
        <v/>
      </c>
      <c r="R802" t="str">
        <f>IF(DONNEES_SOURCE!$CA802=TRUE,DONNEES_SOURCE!$BW802,"")</f>
        <v/>
      </c>
      <c r="S802" t="str">
        <f>IF(DONNEES_SOURCE!$CA802=TRUE,DONNEES_SOURCE!$AU802,"")</f>
        <v/>
      </c>
      <c r="T802" t="str">
        <f>IF(DONNEES_SOURCE!$CA802=TRUE,DONNEES_SOURCE!$BW802,"")</f>
        <v/>
      </c>
      <c r="U802" t="str">
        <f>IF(DONNEES_SOURCE!$CA802=TRUE,IFERROR(MATCH(DONNEES_SOURCE!$B802,{"2. Très rarement (Moins d'une fois par mois)","3. Rarement (1 à 3 fois par mois)","4. Parfois (Environ une fois par semaine)","5. Régulièrement (Plusieurs fois par semaine)","6. Quotidiennement (Une fois par jour)","7. Très fréquemment (Plusieurs fois par jour)"},0)+1,""),"")</f>
        <v/>
      </c>
    </row>
    <row r="803" spans="16:21" x14ac:dyDescent="0.25">
      <c r="P803" t="str">
        <f>IF(DONNEES_SOURCE!$CA803=TRUE,DONNEES_SOURCE!$BV803,"")</f>
        <v/>
      </c>
      <c r="Q803" t="str">
        <f>IF(DONNEES_SOURCE!$CA803=TRUE,IFERROR(MATCH(DONNEES_SOURCE!$B803,{"2. Très rarement (Moins d'une fois par mois)","3. Rarement (1 à 3 fois par mois)","4. Parfois (Environ une fois par semaine)","5. Régulièrement (Plusieurs fois par semaine)","6. Quotidiennement (Une fois par jour)","7. Très fréquemment (Plusieurs fois par jour)"},0)+1,""),"")</f>
        <v/>
      </c>
      <c r="R803" t="str">
        <f>IF(DONNEES_SOURCE!$CA803=TRUE,DONNEES_SOURCE!$BW803,"")</f>
        <v/>
      </c>
      <c r="S803" t="str">
        <f>IF(DONNEES_SOURCE!$CA803=TRUE,DONNEES_SOURCE!$AU803,"")</f>
        <v/>
      </c>
      <c r="T803" t="str">
        <f>IF(DONNEES_SOURCE!$CA803=TRUE,DONNEES_SOURCE!$BW803,"")</f>
        <v/>
      </c>
      <c r="U803" t="str">
        <f>IF(DONNEES_SOURCE!$CA803=TRUE,IFERROR(MATCH(DONNEES_SOURCE!$B803,{"2. Très rarement (Moins d'une fois par mois)","3. Rarement (1 à 3 fois par mois)","4. Parfois (Environ une fois par semaine)","5. Régulièrement (Plusieurs fois par semaine)","6. Quotidiennement (Une fois par jour)","7. Très fréquemment (Plusieurs fois par jour)"},0)+1,""),"")</f>
        <v/>
      </c>
    </row>
    <row r="804" spans="16:21" x14ac:dyDescent="0.25">
      <c r="P804" t="str">
        <f>IF(DONNEES_SOURCE!$CA804=TRUE,DONNEES_SOURCE!$BV804,"")</f>
        <v/>
      </c>
      <c r="Q804" t="str">
        <f>IF(DONNEES_SOURCE!$CA804=TRUE,IFERROR(MATCH(DONNEES_SOURCE!$B804,{"2. Très rarement (Moins d'une fois par mois)","3. Rarement (1 à 3 fois par mois)","4. Parfois (Environ une fois par semaine)","5. Régulièrement (Plusieurs fois par semaine)","6. Quotidiennement (Une fois par jour)","7. Très fréquemment (Plusieurs fois par jour)"},0)+1,""),"")</f>
        <v/>
      </c>
      <c r="R804" t="str">
        <f>IF(DONNEES_SOURCE!$CA804=TRUE,DONNEES_SOURCE!$BW804,"")</f>
        <v/>
      </c>
      <c r="S804" t="str">
        <f>IF(DONNEES_SOURCE!$CA804=TRUE,DONNEES_SOURCE!$AU804,"")</f>
        <v/>
      </c>
      <c r="T804" t="str">
        <f>IF(DONNEES_SOURCE!$CA804=TRUE,DONNEES_SOURCE!$BW804,"")</f>
        <v/>
      </c>
      <c r="U804" t="str">
        <f>IF(DONNEES_SOURCE!$CA804=TRUE,IFERROR(MATCH(DONNEES_SOURCE!$B804,{"2. Très rarement (Moins d'une fois par mois)","3. Rarement (1 à 3 fois par mois)","4. Parfois (Environ une fois par semaine)","5. Régulièrement (Plusieurs fois par semaine)","6. Quotidiennement (Une fois par jour)","7. Très fréquemment (Plusieurs fois par jour)"},0)+1,""),"")</f>
        <v/>
      </c>
    </row>
    <row r="805" spans="16:21" x14ac:dyDescent="0.25">
      <c r="P805" t="str">
        <f>IF(DONNEES_SOURCE!$CA805=TRUE,DONNEES_SOURCE!$BV805,"")</f>
        <v/>
      </c>
      <c r="Q805" t="str">
        <f>IF(DONNEES_SOURCE!$CA805=TRUE,IFERROR(MATCH(DONNEES_SOURCE!$B805,{"2. Très rarement (Moins d'une fois par mois)","3. Rarement (1 à 3 fois par mois)","4. Parfois (Environ une fois par semaine)","5. Régulièrement (Plusieurs fois par semaine)","6. Quotidiennement (Une fois par jour)","7. Très fréquemment (Plusieurs fois par jour)"},0)+1,""),"")</f>
        <v/>
      </c>
      <c r="R805" t="str">
        <f>IF(DONNEES_SOURCE!$CA805=TRUE,DONNEES_SOURCE!$BW805,"")</f>
        <v/>
      </c>
      <c r="S805" t="str">
        <f>IF(DONNEES_SOURCE!$CA805=TRUE,DONNEES_SOURCE!$AU805,"")</f>
        <v/>
      </c>
      <c r="T805" t="str">
        <f>IF(DONNEES_SOURCE!$CA805=TRUE,DONNEES_SOURCE!$BW805,"")</f>
        <v/>
      </c>
      <c r="U805" t="str">
        <f>IF(DONNEES_SOURCE!$CA805=TRUE,IFERROR(MATCH(DONNEES_SOURCE!$B805,{"2. Très rarement (Moins d'une fois par mois)","3. Rarement (1 à 3 fois par mois)","4. Parfois (Environ une fois par semaine)","5. Régulièrement (Plusieurs fois par semaine)","6. Quotidiennement (Une fois par jour)","7. Très fréquemment (Plusieurs fois par jour)"},0)+1,""),"")</f>
        <v/>
      </c>
    </row>
    <row r="806" spans="16:21" x14ac:dyDescent="0.25">
      <c r="P806" t="str">
        <f>IF(DONNEES_SOURCE!$CA806=TRUE,DONNEES_SOURCE!$BV806,"")</f>
        <v/>
      </c>
      <c r="Q806" t="str">
        <f>IF(DONNEES_SOURCE!$CA806=TRUE,IFERROR(MATCH(DONNEES_SOURCE!$B806,{"2. Très rarement (Moins d'une fois par mois)","3. Rarement (1 à 3 fois par mois)","4. Parfois (Environ une fois par semaine)","5. Régulièrement (Plusieurs fois par semaine)","6. Quotidiennement (Une fois par jour)","7. Très fréquemment (Plusieurs fois par jour)"},0)+1,""),"")</f>
        <v/>
      </c>
      <c r="R806" t="str">
        <f>IF(DONNEES_SOURCE!$CA806=TRUE,DONNEES_SOURCE!$BW806,"")</f>
        <v/>
      </c>
      <c r="S806" t="str">
        <f>IF(DONNEES_SOURCE!$CA806=TRUE,DONNEES_SOURCE!$AU806,"")</f>
        <v/>
      </c>
      <c r="T806" t="str">
        <f>IF(DONNEES_SOURCE!$CA806=TRUE,DONNEES_SOURCE!$BW806,"")</f>
        <v/>
      </c>
      <c r="U806" t="str">
        <f>IF(DONNEES_SOURCE!$CA806=TRUE,IFERROR(MATCH(DONNEES_SOURCE!$B806,{"2. Très rarement (Moins d'une fois par mois)","3. Rarement (1 à 3 fois par mois)","4. Parfois (Environ une fois par semaine)","5. Régulièrement (Plusieurs fois par semaine)","6. Quotidiennement (Une fois par jour)","7. Très fréquemment (Plusieurs fois par jour)"},0)+1,""),"")</f>
        <v/>
      </c>
    </row>
    <row r="807" spans="16:21" x14ac:dyDescent="0.25">
      <c r="P807" t="str">
        <f>IF(DONNEES_SOURCE!$CA807=TRUE,DONNEES_SOURCE!$BV807,"")</f>
        <v/>
      </c>
      <c r="Q807" t="str">
        <f>IF(DONNEES_SOURCE!$CA807=TRUE,IFERROR(MATCH(DONNEES_SOURCE!$B807,{"2. Très rarement (Moins d'une fois par mois)","3. Rarement (1 à 3 fois par mois)","4. Parfois (Environ une fois par semaine)","5. Régulièrement (Plusieurs fois par semaine)","6. Quotidiennement (Une fois par jour)","7. Très fréquemment (Plusieurs fois par jour)"},0)+1,""),"")</f>
        <v/>
      </c>
      <c r="R807" t="str">
        <f>IF(DONNEES_SOURCE!$CA807=TRUE,DONNEES_SOURCE!$BW807,"")</f>
        <v/>
      </c>
      <c r="S807" t="str">
        <f>IF(DONNEES_SOURCE!$CA807=TRUE,DONNEES_SOURCE!$AU807,"")</f>
        <v/>
      </c>
      <c r="T807" t="str">
        <f>IF(DONNEES_SOURCE!$CA807=TRUE,DONNEES_SOURCE!$BW807,"")</f>
        <v/>
      </c>
      <c r="U807" t="str">
        <f>IF(DONNEES_SOURCE!$CA807=TRUE,IFERROR(MATCH(DONNEES_SOURCE!$B807,{"2. Très rarement (Moins d'une fois par mois)","3. Rarement (1 à 3 fois par mois)","4. Parfois (Environ une fois par semaine)","5. Régulièrement (Plusieurs fois par semaine)","6. Quotidiennement (Une fois par jour)","7. Très fréquemment (Plusieurs fois par jour)"},0)+1,""),"")</f>
        <v/>
      </c>
    </row>
    <row r="808" spans="16:21" x14ac:dyDescent="0.25">
      <c r="P808" t="str">
        <f>IF(DONNEES_SOURCE!$CA808=TRUE,DONNEES_SOURCE!$BV808,"")</f>
        <v/>
      </c>
      <c r="Q808" t="str">
        <f>IF(DONNEES_SOURCE!$CA808=TRUE,IFERROR(MATCH(DONNEES_SOURCE!$B808,{"2. Très rarement (Moins d'une fois par mois)","3. Rarement (1 à 3 fois par mois)","4. Parfois (Environ une fois par semaine)","5. Régulièrement (Plusieurs fois par semaine)","6. Quotidiennement (Une fois par jour)","7. Très fréquemment (Plusieurs fois par jour)"},0)+1,""),"")</f>
        <v/>
      </c>
      <c r="R808" t="str">
        <f>IF(DONNEES_SOURCE!$CA808=TRUE,DONNEES_SOURCE!$BW808,"")</f>
        <v/>
      </c>
      <c r="S808" t="str">
        <f>IF(DONNEES_SOURCE!$CA808=TRUE,DONNEES_SOURCE!$AU808,"")</f>
        <v/>
      </c>
      <c r="T808" t="str">
        <f>IF(DONNEES_SOURCE!$CA808=TRUE,DONNEES_SOURCE!$BW808,"")</f>
        <v/>
      </c>
      <c r="U808" t="str">
        <f>IF(DONNEES_SOURCE!$CA808=TRUE,IFERROR(MATCH(DONNEES_SOURCE!$B808,{"2. Très rarement (Moins d'une fois par mois)","3. Rarement (1 à 3 fois par mois)","4. Parfois (Environ une fois par semaine)","5. Régulièrement (Plusieurs fois par semaine)","6. Quotidiennement (Une fois par jour)","7. Très fréquemment (Plusieurs fois par jour)"},0)+1,""),"")</f>
        <v/>
      </c>
    </row>
    <row r="809" spans="16:21" x14ac:dyDescent="0.25">
      <c r="P809" t="str">
        <f>IF(DONNEES_SOURCE!$CA809=TRUE,DONNEES_SOURCE!$BV809,"")</f>
        <v/>
      </c>
      <c r="Q809" t="str">
        <f>IF(DONNEES_SOURCE!$CA809=TRUE,IFERROR(MATCH(DONNEES_SOURCE!$B809,{"2. Très rarement (Moins d'une fois par mois)","3. Rarement (1 à 3 fois par mois)","4. Parfois (Environ une fois par semaine)","5. Régulièrement (Plusieurs fois par semaine)","6. Quotidiennement (Une fois par jour)","7. Très fréquemment (Plusieurs fois par jour)"},0)+1,""),"")</f>
        <v/>
      </c>
      <c r="R809" t="str">
        <f>IF(DONNEES_SOURCE!$CA809=TRUE,DONNEES_SOURCE!$BW809,"")</f>
        <v/>
      </c>
      <c r="S809" t="str">
        <f>IF(DONNEES_SOURCE!$CA809=TRUE,DONNEES_SOURCE!$AU809,"")</f>
        <v/>
      </c>
      <c r="T809" t="str">
        <f>IF(DONNEES_SOURCE!$CA809=TRUE,DONNEES_SOURCE!$BW809,"")</f>
        <v/>
      </c>
      <c r="U809" t="str">
        <f>IF(DONNEES_SOURCE!$CA809=TRUE,IFERROR(MATCH(DONNEES_SOURCE!$B809,{"2. Très rarement (Moins d'une fois par mois)","3. Rarement (1 à 3 fois par mois)","4. Parfois (Environ une fois par semaine)","5. Régulièrement (Plusieurs fois par semaine)","6. Quotidiennement (Une fois par jour)","7. Très fréquemment (Plusieurs fois par jour)"},0)+1,""),"")</f>
        <v/>
      </c>
    </row>
    <row r="810" spans="16:21" x14ac:dyDescent="0.25">
      <c r="P810" t="str">
        <f>IF(DONNEES_SOURCE!$CA810=TRUE,DONNEES_SOURCE!$BV810,"")</f>
        <v/>
      </c>
      <c r="Q810" t="str">
        <f>IF(DONNEES_SOURCE!$CA810=TRUE,IFERROR(MATCH(DONNEES_SOURCE!$B810,{"2. Très rarement (Moins d'une fois par mois)","3. Rarement (1 à 3 fois par mois)","4. Parfois (Environ une fois par semaine)","5. Régulièrement (Plusieurs fois par semaine)","6. Quotidiennement (Une fois par jour)","7. Très fréquemment (Plusieurs fois par jour)"},0)+1,""),"")</f>
        <v/>
      </c>
      <c r="R810" t="str">
        <f>IF(DONNEES_SOURCE!$CA810=TRUE,DONNEES_SOURCE!$BW810,"")</f>
        <v/>
      </c>
      <c r="S810" t="str">
        <f>IF(DONNEES_SOURCE!$CA810=TRUE,DONNEES_SOURCE!$AU810,"")</f>
        <v/>
      </c>
      <c r="T810" t="str">
        <f>IF(DONNEES_SOURCE!$CA810=TRUE,DONNEES_SOURCE!$BW810,"")</f>
        <v/>
      </c>
      <c r="U810" t="str">
        <f>IF(DONNEES_SOURCE!$CA810=TRUE,IFERROR(MATCH(DONNEES_SOURCE!$B810,{"2. Très rarement (Moins d'une fois par mois)","3. Rarement (1 à 3 fois par mois)","4. Parfois (Environ une fois par semaine)","5. Régulièrement (Plusieurs fois par semaine)","6. Quotidiennement (Une fois par jour)","7. Très fréquemment (Plusieurs fois par jour)"},0)+1,""),"")</f>
        <v/>
      </c>
    </row>
    <row r="811" spans="16:21" x14ac:dyDescent="0.25">
      <c r="P811" t="str">
        <f>IF(DONNEES_SOURCE!$CA811=TRUE,DONNEES_SOURCE!$BV811,"")</f>
        <v/>
      </c>
      <c r="Q811" t="str">
        <f>IF(DONNEES_SOURCE!$CA811=TRUE,IFERROR(MATCH(DONNEES_SOURCE!$B811,{"2. Très rarement (Moins d'une fois par mois)","3. Rarement (1 à 3 fois par mois)","4. Parfois (Environ une fois par semaine)","5. Régulièrement (Plusieurs fois par semaine)","6. Quotidiennement (Une fois par jour)","7. Très fréquemment (Plusieurs fois par jour)"},0)+1,""),"")</f>
        <v/>
      </c>
      <c r="R811" t="str">
        <f>IF(DONNEES_SOURCE!$CA811=TRUE,DONNEES_SOURCE!$BW811,"")</f>
        <v/>
      </c>
      <c r="S811" t="str">
        <f>IF(DONNEES_SOURCE!$CA811=TRUE,DONNEES_SOURCE!$AU811,"")</f>
        <v/>
      </c>
      <c r="T811" t="str">
        <f>IF(DONNEES_SOURCE!$CA811=TRUE,DONNEES_SOURCE!$BW811,"")</f>
        <v/>
      </c>
      <c r="U811" t="str">
        <f>IF(DONNEES_SOURCE!$CA811=TRUE,IFERROR(MATCH(DONNEES_SOURCE!$B811,{"2. Très rarement (Moins d'une fois par mois)","3. Rarement (1 à 3 fois par mois)","4. Parfois (Environ une fois par semaine)","5. Régulièrement (Plusieurs fois par semaine)","6. Quotidiennement (Une fois par jour)","7. Très fréquemment (Plusieurs fois par jour)"},0)+1,""),"")</f>
        <v/>
      </c>
    </row>
    <row r="812" spans="16:21" x14ac:dyDescent="0.25">
      <c r="P812" t="str">
        <f>IF(DONNEES_SOURCE!$CA812=TRUE,DONNEES_SOURCE!$BV812,"")</f>
        <v/>
      </c>
      <c r="Q812" t="str">
        <f>IF(DONNEES_SOURCE!$CA812=TRUE,IFERROR(MATCH(DONNEES_SOURCE!$B812,{"2. Très rarement (Moins d'une fois par mois)","3. Rarement (1 à 3 fois par mois)","4. Parfois (Environ une fois par semaine)","5. Régulièrement (Plusieurs fois par semaine)","6. Quotidiennement (Une fois par jour)","7. Très fréquemment (Plusieurs fois par jour)"},0)+1,""),"")</f>
        <v/>
      </c>
      <c r="R812" t="str">
        <f>IF(DONNEES_SOURCE!$CA812=TRUE,DONNEES_SOURCE!$BW812,"")</f>
        <v/>
      </c>
      <c r="S812" t="str">
        <f>IF(DONNEES_SOURCE!$CA812=TRUE,DONNEES_SOURCE!$AU812,"")</f>
        <v/>
      </c>
      <c r="T812" t="str">
        <f>IF(DONNEES_SOURCE!$CA812=TRUE,DONNEES_SOURCE!$BW812,"")</f>
        <v/>
      </c>
      <c r="U812" t="str">
        <f>IF(DONNEES_SOURCE!$CA812=TRUE,IFERROR(MATCH(DONNEES_SOURCE!$B812,{"2. Très rarement (Moins d'une fois par mois)","3. Rarement (1 à 3 fois par mois)","4. Parfois (Environ une fois par semaine)","5. Régulièrement (Plusieurs fois par semaine)","6. Quotidiennement (Une fois par jour)","7. Très fréquemment (Plusieurs fois par jour)"},0)+1,""),"")</f>
        <v/>
      </c>
    </row>
    <row r="813" spans="16:21" x14ac:dyDescent="0.25">
      <c r="P813" t="str">
        <f>IF(DONNEES_SOURCE!$CA813=TRUE,DONNEES_SOURCE!$BV813,"")</f>
        <v/>
      </c>
      <c r="Q813" t="str">
        <f>IF(DONNEES_SOURCE!$CA813=TRUE,IFERROR(MATCH(DONNEES_SOURCE!$B813,{"2. Très rarement (Moins d'une fois par mois)","3. Rarement (1 à 3 fois par mois)","4. Parfois (Environ une fois par semaine)","5. Régulièrement (Plusieurs fois par semaine)","6. Quotidiennement (Une fois par jour)","7. Très fréquemment (Plusieurs fois par jour)"},0)+1,""),"")</f>
        <v/>
      </c>
      <c r="R813" t="str">
        <f>IF(DONNEES_SOURCE!$CA813=TRUE,DONNEES_SOURCE!$BW813,"")</f>
        <v/>
      </c>
      <c r="S813" t="str">
        <f>IF(DONNEES_SOURCE!$CA813=TRUE,DONNEES_SOURCE!$AU813,"")</f>
        <v/>
      </c>
      <c r="T813" t="str">
        <f>IF(DONNEES_SOURCE!$CA813=TRUE,DONNEES_SOURCE!$BW813,"")</f>
        <v/>
      </c>
      <c r="U813" t="str">
        <f>IF(DONNEES_SOURCE!$CA813=TRUE,IFERROR(MATCH(DONNEES_SOURCE!$B813,{"2. Très rarement (Moins d'une fois par mois)","3. Rarement (1 à 3 fois par mois)","4. Parfois (Environ une fois par semaine)","5. Régulièrement (Plusieurs fois par semaine)","6. Quotidiennement (Une fois par jour)","7. Très fréquemment (Plusieurs fois par jour)"},0)+1,""),"")</f>
        <v/>
      </c>
    </row>
    <row r="814" spans="16:21" x14ac:dyDescent="0.25">
      <c r="P814" t="str">
        <f>IF(DONNEES_SOURCE!$CA814=TRUE,DONNEES_SOURCE!$BV814,"")</f>
        <v/>
      </c>
      <c r="Q814" t="str">
        <f>IF(DONNEES_SOURCE!$CA814=TRUE,IFERROR(MATCH(DONNEES_SOURCE!$B814,{"2. Très rarement (Moins d'une fois par mois)","3. Rarement (1 à 3 fois par mois)","4. Parfois (Environ une fois par semaine)","5. Régulièrement (Plusieurs fois par semaine)","6. Quotidiennement (Une fois par jour)","7. Très fréquemment (Plusieurs fois par jour)"},0)+1,""),"")</f>
        <v/>
      </c>
      <c r="R814" t="str">
        <f>IF(DONNEES_SOURCE!$CA814=TRUE,DONNEES_SOURCE!$BW814,"")</f>
        <v/>
      </c>
      <c r="S814" t="str">
        <f>IF(DONNEES_SOURCE!$CA814=TRUE,DONNEES_SOURCE!$AU814,"")</f>
        <v/>
      </c>
      <c r="T814" t="str">
        <f>IF(DONNEES_SOURCE!$CA814=TRUE,DONNEES_SOURCE!$BW814,"")</f>
        <v/>
      </c>
      <c r="U814" t="str">
        <f>IF(DONNEES_SOURCE!$CA814=TRUE,IFERROR(MATCH(DONNEES_SOURCE!$B814,{"2. Très rarement (Moins d'une fois par mois)","3. Rarement (1 à 3 fois par mois)","4. Parfois (Environ une fois par semaine)","5. Régulièrement (Plusieurs fois par semaine)","6. Quotidiennement (Une fois par jour)","7. Très fréquemment (Plusieurs fois par jour)"},0)+1,""),"")</f>
        <v/>
      </c>
    </row>
    <row r="815" spans="16:21" x14ac:dyDescent="0.25">
      <c r="P815" t="str">
        <f>IF(DONNEES_SOURCE!$CA815=TRUE,DONNEES_SOURCE!$BV815,"")</f>
        <v/>
      </c>
      <c r="Q815" t="str">
        <f>IF(DONNEES_SOURCE!$CA815=TRUE,IFERROR(MATCH(DONNEES_SOURCE!$B815,{"2. Très rarement (Moins d'une fois par mois)","3. Rarement (1 à 3 fois par mois)","4. Parfois (Environ une fois par semaine)","5. Régulièrement (Plusieurs fois par semaine)","6. Quotidiennement (Une fois par jour)","7. Très fréquemment (Plusieurs fois par jour)"},0)+1,""),"")</f>
        <v/>
      </c>
      <c r="R815" t="str">
        <f>IF(DONNEES_SOURCE!$CA815=TRUE,DONNEES_SOURCE!$BW815,"")</f>
        <v/>
      </c>
      <c r="S815" t="str">
        <f>IF(DONNEES_SOURCE!$CA815=TRUE,DONNEES_SOURCE!$AU815,"")</f>
        <v/>
      </c>
      <c r="T815" t="str">
        <f>IF(DONNEES_SOURCE!$CA815=TRUE,DONNEES_SOURCE!$BW815,"")</f>
        <v/>
      </c>
      <c r="U815" t="str">
        <f>IF(DONNEES_SOURCE!$CA815=TRUE,IFERROR(MATCH(DONNEES_SOURCE!$B815,{"2. Très rarement (Moins d'une fois par mois)","3. Rarement (1 à 3 fois par mois)","4. Parfois (Environ une fois par semaine)","5. Régulièrement (Plusieurs fois par semaine)","6. Quotidiennement (Une fois par jour)","7. Très fréquemment (Plusieurs fois par jour)"},0)+1,""),"")</f>
        <v/>
      </c>
    </row>
    <row r="816" spans="16:21" x14ac:dyDescent="0.25">
      <c r="P816" t="str">
        <f>IF(DONNEES_SOURCE!$CA816=TRUE,DONNEES_SOURCE!$BV816,"")</f>
        <v/>
      </c>
      <c r="Q816" t="str">
        <f>IF(DONNEES_SOURCE!$CA816=TRUE,IFERROR(MATCH(DONNEES_SOURCE!$B816,{"2. Très rarement (Moins d'une fois par mois)","3. Rarement (1 à 3 fois par mois)","4. Parfois (Environ une fois par semaine)","5. Régulièrement (Plusieurs fois par semaine)","6. Quotidiennement (Une fois par jour)","7. Très fréquemment (Plusieurs fois par jour)"},0)+1,""),"")</f>
        <v/>
      </c>
      <c r="R816" t="str">
        <f>IF(DONNEES_SOURCE!$CA816=TRUE,DONNEES_SOURCE!$BW816,"")</f>
        <v/>
      </c>
      <c r="S816" t="str">
        <f>IF(DONNEES_SOURCE!$CA816=TRUE,DONNEES_SOURCE!$AU816,"")</f>
        <v/>
      </c>
      <c r="T816" t="str">
        <f>IF(DONNEES_SOURCE!$CA816=TRUE,DONNEES_SOURCE!$BW816,"")</f>
        <v/>
      </c>
      <c r="U816" t="str">
        <f>IF(DONNEES_SOURCE!$CA816=TRUE,IFERROR(MATCH(DONNEES_SOURCE!$B816,{"2. Très rarement (Moins d'une fois par mois)","3. Rarement (1 à 3 fois par mois)","4. Parfois (Environ une fois par semaine)","5. Régulièrement (Plusieurs fois par semaine)","6. Quotidiennement (Une fois par jour)","7. Très fréquemment (Plusieurs fois par jour)"},0)+1,""),"")</f>
        <v/>
      </c>
    </row>
    <row r="817" spans="16:21" x14ac:dyDescent="0.25">
      <c r="P817" t="str">
        <f>IF(DONNEES_SOURCE!$CA817=TRUE,DONNEES_SOURCE!$BV817,"")</f>
        <v/>
      </c>
      <c r="Q817" t="str">
        <f>IF(DONNEES_SOURCE!$CA817=TRUE,IFERROR(MATCH(DONNEES_SOURCE!$B817,{"2. Très rarement (Moins d'une fois par mois)","3. Rarement (1 à 3 fois par mois)","4. Parfois (Environ une fois par semaine)","5. Régulièrement (Plusieurs fois par semaine)","6. Quotidiennement (Une fois par jour)","7. Très fréquemment (Plusieurs fois par jour)"},0)+1,""),"")</f>
        <v/>
      </c>
      <c r="R817" t="str">
        <f>IF(DONNEES_SOURCE!$CA817=TRUE,DONNEES_SOURCE!$BW817,"")</f>
        <v/>
      </c>
      <c r="S817" t="str">
        <f>IF(DONNEES_SOURCE!$CA817=TRUE,DONNEES_SOURCE!$AU817,"")</f>
        <v/>
      </c>
      <c r="T817" t="str">
        <f>IF(DONNEES_SOURCE!$CA817=TRUE,DONNEES_SOURCE!$BW817,"")</f>
        <v/>
      </c>
      <c r="U817" t="str">
        <f>IF(DONNEES_SOURCE!$CA817=TRUE,IFERROR(MATCH(DONNEES_SOURCE!$B817,{"2. Très rarement (Moins d'une fois par mois)","3. Rarement (1 à 3 fois par mois)","4. Parfois (Environ une fois par semaine)","5. Régulièrement (Plusieurs fois par semaine)","6. Quotidiennement (Une fois par jour)","7. Très fréquemment (Plusieurs fois par jour)"},0)+1,""),"")</f>
        <v/>
      </c>
    </row>
    <row r="818" spans="16:21" x14ac:dyDescent="0.25">
      <c r="P818" t="str">
        <f>IF(DONNEES_SOURCE!$CA818=TRUE,DONNEES_SOURCE!$BV818,"")</f>
        <v/>
      </c>
      <c r="Q818" t="str">
        <f>IF(DONNEES_SOURCE!$CA818=TRUE,IFERROR(MATCH(DONNEES_SOURCE!$B818,{"2. Très rarement (Moins d'une fois par mois)","3. Rarement (1 à 3 fois par mois)","4. Parfois (Environ une fois par semaine)","5. Régulièrement (Plusieurs fois par semaine)","6. Quotidiennement (Une fois par jour)","7. Très fréquemment (Plusieurs fois par jour)"},0)+1,""),"")</f>
        <v/>
      </c>
      <c r="R818" t="str">
        <f>IF(DONNEES_SOURCE!$CA818=TRUE,DONNEES_SOURCE!$BW818,"")</f>
        <v/>
      </c>
      <c r="S818" t="str">
        <f>IF(DONNEES_SOURCE!$CA818=TRUE,DONNEES_SOURCE!$AU818,"")</f>
        <v/>
      </c>
      <c r="T818" t="str">
        <f>IF(DONNEES_SOURCE!$CA818=TRUE,DONNEES_SOURCE!$BW818,"")</f>
        <v/>
      </c>
      <c r="U818" t="str">
        <f>IF(DONNEES_SOURCE!$CA818=TRUE,IFERROR(MATCH(DONNEES_SOURCE!$B818,{"2. Très rarement (Moins d'une fois par mois)","3. Rarement (1 à 3 fois par mois)","4. Parfois (Environ une fois par semaine)","5. Régulièrement (Plusieurs fois par semaine)","6. Quotidiennement (Une fois par jour)","7. Très fréquemment (Plusieurs fois par jour)"},0)+1,""),"")</f>
        <v/>
      </c>
    </row>
    <row r="819" spans="16:21" x14ac:dyDescent="0.25">
      <c r="P819" t="str">
        <f>IF(DONNEES_SOURCE!$CA819=TRUE,DONNEES_SOURCE!$BV819,"")</f>
        <v/>
      </c>
      <c r="Q819" t="str">
        <f>IF(DONNEES_SOURCE!$CA819=TRUE,IFERROR(MATCH(DONNEES_SOURCE!$B819,{"2. Très rarement (Moins d'une fois par mois)","3. Rarement (1 à 3 fois par mois)","4. Parfois (Environ une fois par semaine)","5. Régulièrement (Plusieurs fois par semaine)","6. Quotidiennement (Une fois par jour)","7. Très fréquemment (Plusieurs fois par jour)"},0)+1,""),"")</f>
        <v/>
      </c>
      <c r="R819" t="str">
        <f>IF(DONNEES_SOURCE!$CA819=TRUE,DONNEES_SOURCE!$BW819,"")</f>
        <v/>
      </c>
      <c r="S819" t="str">
        <f>IF(DONNEES_SOURCE!$CA819=TRUE,DONNEES_SOURCE!$AU819,"")</f>
        <v/>
      </c>
      <c r="T819" t="str">
        <f>IF(DONNEES_SOURCE!$CA819=TRUE,DONNEES_SOURCE!$BW819,"")</f>
        <v/>
      </c>
      <c r="U819" t="str">
        <f>IF(DONNEES_SOURCE!$CA819=TRUE,IFERROR(MATCH(DONNEES_SOURCE!$B819,{"2. Très rarement (Moins d'une fois par mois)","3. Rarement (1 à 3 fois par mois)","4. Parfois (Environ une fois par semaine)","5. Régulièrement (Plusieurs fois par semaine)","6. Quotidiennement (Une fois par jour)","7. Très fréquemment (Plusieurs fois par jour)"},0)+1,""),"")</f>
        <v/>
      </c>
    </row>
    <row r="820" spans="16:21" x14ac:dyDescent="0.25">
      <c r="P820" t="str">
        <f>IF(DONNEES_SOURCE!$CA820=TRUE,DONNEES_SOURCE!$BV820,"")</f>
        <v/>
      </c>
      <c r="Q820" t="str">
        <f>IF(DONNEES_SOURCE!$CA820=TRUE,IFERROR(MATCH(DONNEES_SOURCE!$B820,{"2. Très rarement (Moins d'une fois par mois)","3. Rarement (1 à 3 fois par mois)","4. Parfois (Environ une fois par semaine)","5. Régulièrement (Plusieurs fois par semaine)","6. Quotidiennement (Une fois par jour)","7. Très fréquemment (Plusieurs fois par jour)"},0)+1,""),"")</f>
        <v/>
      </c>
      <c r="R820" t="str">
        <f>IF(DONNEES_SOURCE!$CA820=TRUE,DONNEES_SOURCE!$BW820,"")</f>
        <v/>
      </c>
      <c r="S820" t="str">
        <f>IF(DONNEES_SOURCE!$CA820=TRUE,DONNEES_SOURCE!$AU820,"")</f>
        <v/>
      </c>
      <c r="T820" t="str">
        <f>IF(DONNEES_SOURCE!$CA820=TRUE,DONNEES_SOURCE!$BW820,"")</f>
        <v/>
      </c>
      <c r="U820" t="str">
        <f>IF(DONNEES_SOURCE!$CA820=TRUE,IFERROR(MATCH(DONNEES_SOURCE!$B820,{"2. Très rarement (Moins d'une fois par mois)","3. Rarement (1 à 3 fois par mois)","4. Parfois (Environ une fois par semaine)","5. Régulièrement (Plusieurs fois par semaine)","6. Quotidiennement (Une fois par jour)","7. Très fréquemment (Plusieurs fois par jour)"},0)+1,""),"")</f>
        <v/>
      </c>
    </row>
    <row r="821" spans="16:21" x14ac:dyDescent="0.25">
      <c r="P821" t="str">
        <f>IF(DONNEES_SOURCE!$CA821=TRUE,DONNEES_SOURCE!$BV821,"")</f>
        <v/>
      </c>
      <c r="Q821" t="str">
        <f>IF(DONNEES_SOURCE!$CA821=TRUE,IFERROR(MATCH(DONNEES_SOURCE!$B821,{"2. Très rarement (Moins d'une fois par mois)","3. Rarement (1 à 3 fois par mois)","4. Parfois (Environ une fois par semaine)","5. Régulièrement (Plusieurs fois par semaine)","6. Quotidiennement (Une fois par jour)","7. Très fréquemment (Plusieurs fois par jour)"},0)+1,""),"")</f>
        <v/>
      </c>
      <c r="R821" t="str">
        <f>IF(DONNEES_SOURCE!$CA821=TRUE,DONNEES_SOURCE!$BW821,"")</f>
        <v/>
      </c>
      <c r="S821" t="str">
        <f>IF(DONNEES_SOURCE!$CA821=TRUE,DONNEES_SOURCE!$AU821,"")</f>
        <v/>
      </c>
      <c r="T821" t="str">
        <f>IF(DONNEES_SOURCE!$CA821=TRUE,DONNEES_SOURCE!$BW821,"")</f>
        <v/>
      </c>
      <c r="U821" t="str">
        <f>IF(DONNEES_SOURCE!$CA821=TRUE,IFERROR(MATCH(DONNEES_SOURCE!$B821,{"2. Très rarement (Moins d'une fois par mois)","3. Rarement (1 à 3 fois par mois)","4. Parfois (Environ une fois par semaine)","5. Régulièrement (Plusieurs fois par semaine)","6. Quotidiennement (Une fois par jour)","7. Très fréquemment (Plusieurs fois par jour)"},0)+1,""),"")</f>
        <v/>
      </c>
    </row>
    <row r="822" spans="16:21" x14ac:dyDescent="0.25">
      <c r="P822" t="str">
        <f>IF(DONNEES_SOURCE!$CA822=TRUE,DONNEES_SOURCE!$BV822,"")</f>
        <v/>
      </c>
      <c r="Q822" t="str">
        <f>IF(DONNEES_SOURCE!$CA822=TRUE,IFERROR(MATCH(DONNEES_SOURCE!$B822,{"2. Très rarement (Moins d'une fois par mois)","3. Rarement (1 à 3 fois par mois)","4. Parfois (Environ une fois par semaine)","5. Régulièrement (Plusieurs fois par semaine)","6. Quotidiennement (Une fois par jour)","7. Très fréquemment (Plusieurs fois par jour)"},0)+1,""),"")</f>
        <v/>
      </c>
      <c r="R822" t="str">
        <f>IF(DONNEES_SOURCE!$CA822=TRUE,DONNEES_SOURCE!$BW822,"")</f>
        <v/>
      </c>
      <c r="S822" t="str">
        <f>IF(DONNEES_SOURCE!$CA822=TRUE,DONNEES_SOURCE!$AU822,"")</f>
        <v/>
      </c>
      <c r="T822" t="str">
        <f>IF(DONNEES_SOURCE!$CA822=TRUE,DONNEES_SOURCE!$BW822,"")</f>
        <v/>
      </c>
      <c r="U822" t="str">
        <f>IF(DONNEES_SOURCE!$CA822=TRUE,IFERROR(MATCH(DONNEES_SOURCE!$B822,{"2. Très rarement (Moins d'une fois par mois)","3. Rarement (1 à 3 fois par mois)","4. Parfois (Environ une fois par semaine)","5. Régulièrement (Plusieurs fois par semaine)","6. Quotidiennement (Une fois par jour)","7. Très fréquemment (Plusieurs fois par jour)"},0)+1,""),"")</f>
        <v/>
      </c>
    </row>
    <row r="823" spans="16:21" x14ac:dyDescent="0.25">
      <c r="P823" t="str">
        <f>IF(DONNEES_SOURCE!$CA823=TRUE,DONNEES_SOURCE!$BV823,"")</f>
        <v/>
      </c>
      <c r="Q823" t="str">
        <f>IF(DONNEES_SOURCE!$CA823=TRUE,IFERROR(MATCH(DONNEES_SOURCE!$B823,{"2. Très rarement (Moins d'une fois par mois)","3. Rarement (1 à 3 fois par mois)","4. Parfois (Environ une fois par semaine)","5. Régulièrement (Plusieurs fois par semaine)","6. Quotidiennement (Une fois par jour)","7. Très fréquemment (Plusieurs fois par jour)"},0)+1,""),"")</f>
        <v/>
      </c>
      <c r="R823" t="str">
        <f>IF(DONNEES_SOURCE!$CA823=TRUE,DONNEES_SOURCE!$BW823,"")</f>
        <v/>
      </c>
      <c r="S823" t="str">
        <f>IF(DONNEES_SOURCE!$CA823=TRUE,DONNEES_SOURCE!$AU823,"")</f>
        <v/>
      </c>
      <c r="T823" t="str">
        <f>IF(DONNEES_SOURCE!$CA823=TRUE,DONNEES_SOURCE!$BW823,"")</f>
        <v/>
      </c>
      <c r="U823" t="str">
        <f>IF(DONNEES_SOURCE!$CA823=TRUE,IFERROR(MATCH(DONNEES_SOURCE!$B823,{"2. Très rarement (Moins d'une fois par mois)","3. Rarement (1 à 3 fois par mois)","4. Parfois (Environ une fois par semaine)","5. Régulièrement (Plusieurs fois par semaine)","6. Quotidiennement (Une fois par jour)","7. Très fréquemment (Plusieurs fois par jour)"},0)+1,""),"")</f>
        <v/>
      </c>
    </row>
    <row r="824" spans="16:21" x14ac:dyDescent="0.25">
      <c r="P824" t="str">
        <f>IF(DONNEES_SOURCE!$CA824=TRUE,DONNEES_SOURCE!$BV824,"")</f>
        <v/>
      </c>
      <c r="Q824" t="str">
        <f>IF(DONNEES_SOURCE!$CA824=TRUE,IFERROR(MATCH(DONNEES_SOURCE!$B824,{"2. Très rarement (Moins d'une fois par mois)","3. Rarement (1 à 3 fois par mois)","4. Parfois (Environ une fois par semaine)","5. Régulièrement (Plusieurs fois par semaine)","6. Quotidiennement (Une fois par jour)","7. Très fréquemment (Plusieurs fois par jour)"},0)+1,""),"")</f>
        <v/>
      </c>
      <c r="R824" t="str">
        <f>IF(DONNEES_SOURCE!$CA824=TRUE,DONNEES_SOURCE!$BW824,"")</f>
        <v/>
      </c>
      <c r="S824" t="str">
        <f>IF(DONNEES_SOURCE!$CA824=TRUE,DONNEES_SOURCE!$AU824,"")</f>
        <v/>
      </c>
      <c r="T824" t="str">
        <f>IF(DONNEES_SOURCE!$CA824=TRUE,DONNEES_SOURCE!$BW824,"")</f>
        <v/>
      </c>
      <c r="U824" t="str">
        <f>IF(DONNEES_SOURCE!$CA824=TRUE,IFERROR(MATCH(DONNEES_SOURCE!$B824,{"2. Très rarement (Moins d'une fois par mois)","3. Rarement (1 à 3 fois par mois)","4. Parfois (Environ une fois par semaine)","5. Régulièrement (Plusieurs fois par semaine)","6. Quotidiennement (Une fois par jour)","7. Très fréquemment (Plusieurs fois par jour)"},0)+1,""),"")</f>
        <v/>
      </c>
    </row>
    <row r="825" spans="16:21" x14ac:dyDescent="0.25">
      <c r="P825" t="str">
        <f>IF(DONNEES_SOURCE!$CA825=TRUE,DONNEES_SOURCE!$BV825,"")</f>
        <v/>
      </c>
      <c r="Q825" t="str">
        <f>IF(DONNEES_SOURCE!$CA825=TRUE,IFERROR(MATCH(DONNEES_SOURCE!$B825,{"2. Très rarement (Moins d'une fois par mois)","3. Rarement (1 à 3 fois par mois)","4. Parfois (Environ une fois par semaine)","5. Régulièrement (Plusieurs fois par semaine)","6. Quotidiennement (Une fois par jour)","7. Très fréquemment (Plusieurs fois par jour)"},0)+1,""),"")</f>
        <v/>
      </c>
      <c r="R825" t="str">
        <f>IF(DONNEES_SOURCE!$CA825=TRUE,DONNEES_SOURCE!$BW825,"")</f>
        <v/>
      </c>
      <c r="S825" t="str">
        <f>IF(DONNEES_SOURCE!$CA825=TRUE,DONNEES_SOURCE!$AU825,"")</f>
        <v/>
      </c>
      <c r="T825" t="str">
        <f>IF(DONNEES_SOURCE!$CA825=TRUE,DONNEES_SOURCE!$BW825,"")</f>
        <v/>
      </c>
      <c r="U825" t="str">
        <f>IF(DONNEES_SOURCE!$CA825=TRUE,IFERROR(MATCH(DONNEES_SOURCE!$B825,{"2. Très rarement (Moins d'une fois par mois)","3. Rarement (1 à 3 fois par mois)","4. Parfois (Environ une fois par semaine)","5. Régulièrement (Plusieurs fois par semaine)","6. Quotidiennement (Une fois par jour)","7. Très fréquemment (Plusieurs fois par jour)"},0)+1,""),"")</f>
        <v/>
      </c>
    </row>
    <row r="826" spans="16:21" x14ac:dyDescent="0.25">
      <c r="P826" t="str">
        <f>IF(DONNEES_SOURCE!$CA826=TRUE,DONNEES_SOURCE!$BV826,"")</f>
        <v/>
      </c>
      <c r="Q826" t="str">
        <f>IF(DONNEES_SOURCE!$CA826=TRUE,IFERROR(MATCH(DONNEES_SOURCE!$B826,{"2. Très rarement (Moins d'une fois par mois)","3. Rarement (1 à 3 fois par mois)","4. Parfois (Environ une fois par semaine)","5. Régulièrement (Plusieurs fois par semaine)","6. Quotidiennement (Une fois par jour)","7. Très fréquemment (Plusieurs fois par jour)"},0)+1,""),"")</f>
        <v/>
      </c>
      <c r="R826" t="str">
        <f>IF(DONNEES_SOURCE!$CA826=TRUE,DONNEES_SOURCE!$BW826,"")</f>
        <v/>
      </c>
      <c r="S826" t="str">
        <f>IF(DONNEES_SOURCE!$CA826=TRUE,DONNEES_SOURCE!$AU826,"")</f>
        <v/>
      </c>
      <c r="T826" t="str">
        <f>IF(DONNEES_SOURCE!$CA826=TRUE,DONNEES_SOURCE!$BW826,"")</f>
        <v/>
      </c>
      <c r="U826" t="str">
        <f>IF(DONNEES_SOURCE!$CA826=TRUE,IFERROR(MATCH(DONNEES_SOURCE!$B826,{"2. Très rarement (Moins d'une fois par mois)","3. Rarement (1 à 3 fois par mois)","4. Parfois (Environ une fois par semaine)","5. Régulièrement (Plusieurs fois par semaine)","6. Quotidiennement (Une fois par jour)","7. Très fréquemment (Plusieurs fois par jour)"},0)+1,""),"")</f>
        <v/>
      </c>
    </row>
    <row r="827" spans="16:21" x14ac:dyDescent="0.25">
      <c r="P827" t="str">
        <f>IF(DONNEES_SOURCE!$CA827=TRUE,DONNEES_SOURCE!$BV827,"")</f>
        <v/>
      </c>
      <c r="Q827" t="str">
        <f>IF(DONNEES_SOURCE!$CA827=TRUE,IFERROR(MATCH(DONNEES_SOURCE!$B827,{"2. Très rarement (Moins d'une fois par mois)","3. Rarement (1 à 3 fois par mois)","4. Parfois (Environ une fois par semaine)","5. Régulièrement (Plusieurs fois par semaine)","6. Quotidiennement (Une fois par jour)","7. Très fréquemment (Plusieurs fois par jour)"},0)+1,""),"")</f>
        <v/>
      </c>
      <c r="R827" t="str">
        <f>IF(DONNEES_SOURCE!$CA827=TRUE,DONNEES_SOURCE!$BW827,"")</f>
        <v/>
      </c>
      <c r="S827" t="str">
        <f>IF(DONNEES_SOURCE!$CA827=TRUE,DONNEES_SOURCE!$AU827,"")</f>
        <v/>
      </c>
      <c r="T827" t="str">
        <f>IF(DONNEES_SOURCE!$CA827=TRUE,DONNEES_SOURCE!$BW827,"")</f>
        <v/>
      </c>
      <c r="U827" t="str">
        <f>IF(DONNEES_SOURCE!$CA827=TRUE,IFERROR(MATCH(DONNEES_SOURCE!$B827,{"2. Très rarement (Moins d'une fois par mois)","3. Rarement (1 à 3 fois par mois)","4. Parfois (Environ une fois par semaine)","5. Régulièrement (Plusieurs fois par semaine)","6. Quotidiennement (Une fois par jour)","7. Très fréquemment (Plusieurs fois par jour)"},0)+1,""),"")</f>
        <v/>
      </c>
    </row>
    <row r="828" spans="16:21" x14ac:dyDescent="0.25">
      <c r="P828" t="str">
        <f>IF(DONNEES_SOURCE!$CA828=TRUE,DONNEES_SOURCE!$BV828,"")</f>
        <v/>
      </c>
      <c r="Q828" t="str">
        <f>IF(DONNEES_SOURCE!$CA828=TRUE,IFERROR(MATCH(DONNEES_SOURCE!$B828,{"2. Très rarement (Moins d'une fois par mois)","3. Rarement (1 à 3 fois par mois)","4. Parfois (Environ une fois par semaine)","5. Régulièrement (Plusieurs fois par semaine)","6. Quotidiennement (Une fois par jour)","7. Très fréquemment (Plusieurs fois par jour)"},0)+1,""),"")</f>
        <v/>
      </c>
      <c r="R828" t="str">
        <f>IF(DONNEES_SOURCE!$CA828=TRUE,DONNEES_SOURCE!$BW828,"")</f>
        <v/>
      </c>
      <c r="S828" t="str">
        <f>IF(DONNEES_SOURCE!$CA828=TRUE,DONNEES_SOURCE!$AU828,"")</f>
        <v/>
      </c>
      <c r="T828" t="str">
        <f>IF(DONNEES_SOURCE!$CA828=TRUE,DONNEES_SOURCE!$BW828,"")</f>
        <v/>
      </c>
      <c r="U828" t="str">
        <f>IF(DONNEES_SOURCE!$CA828=TRUE,IFERROR(MATCH(DONNEES_SOURCE!$B828,{"2. Très rarement (Moins d'une fois par mois)","3. Rarement (1 à 3 fois par mois)","4. Parfois (Environ une fois par semaine)","5. Régulièrement (Plusieurs fois par semaine)","6. Quotidiennement (Une fois par jour)","7. Très fréquemment (Plusieurs fois par jour)"},0)+1,""),"")</f>
        <v/>
      </c>
    </row>
    <row r="829" spans="16:21" x14ac:dyDescent="0.25">
      <c r="P829" t="str">
        <f>IF(DONNEES_SOURCE!$CA829=TRUE,DONNEES_SOURCE!$BV829,"")</f>
        <v/>
      </c>
      <c r="Q829" t="str">
        <f>IF(DONNEES_SOURCE!$CA829=TRUE,IFERROR(MATCH(DONNEES_SOURCE!$B829,{"2. Très rarement (Moins d'une fois par mois)","3. Rarement (1 à 3 fois par mois)","4. Parfois (Environ une fois par semaine)","5. Régulièrement (Plusieurs fois par semaine)","6. Quotidiennement (Une fois par jour)","7. Très fréquemment (Plusieurs fois par jour)"},0)+1,""),"")</f>
        <v/>
      </c>
      <c r="R829" t="str">
        <f>IF(DONNEES_SOURCE!$CA829=TRUE,DONNEES_SOURCE!$BW829,"")</f>
        <v/>
      </c>
      <c r="S829" t="str">
        <f>IF(DONNEES_SOURCE!$CA829=TRUE,DONNEES_SOURCE!$AU829,"")</f>
        <v/>
      </c>
      <c r="T829" t="str">
        <f>IF(DONNEES_SOURCE!$CA829=TRUE,DONNEES_SOURCE!$BW829,"")</f>
        <v/>
      </c>
      <c r="U829" t="str">
        <f>IF(DONNEES_SOURCE!$CA829=TRUE,IFERROR(MATCH(DONNEES_SOURCE!$B829,{"2. Très rarement (Moins d'une fois par mois)","3. Rarement (1 à 3 fois par mois)","4. Parfois (Environ une fois par semaine)","5. Régulièrement (Plusieurs fois par semaine)","6. Quotidiennement (Une fois par jour)","7. Très fréquemment (Plusieurs fois par jour)"},0)+1,""),"")</f>
        <v/>
      </c>
    </row>
    <row r="830" spans="16:21" x14ac:dyDescent="0.25">
      <c r="P830" t="str">
        <f>IF(DONNEES_SOURCE!$CA830=TRUE,DONNEES_SOURCE!$BV830,"")</f>
        <v/>
      </c>
      <c r="Q830" t="str">
        <f>IF(DONNEES_SOURCE!$CA830=TRUE,IFERROR(MATCH(DONNEES_SOURCE!$B830,{"2. Très rarement (Moins d'une fois par mois)","3. Rarement (1 à 3 fois par mois)","4. Parfois (Environ une fois par semaine)","5. Régulièrement (Plusieurs fois par semaine)","6. Quotidiennement (Une fois par jour)","7. Très fréquemment (Plusieurs fois par jour)"},0)+1,""),"")</f>
        <v/>
      </c>
      <c r="R830" t="str">
        <f>IF(DONNEES_SOURCE!$CA830=TRUE,DONNEES_SOURCE!$BW830,"")</f>
        <v/>
      </c>
      <c r="S830" t="str">
        <f>IF(DONNEES_SOURCE!$CA830=TRUE,DONNEES_SOURCE!$AU830,"")</f>
        <v/>
      </c>
      <c r="T830" t="str">
        <f>IF(DONNEES_SOURCE!$CA830=TRUE,DONNEES_SOURCE!$BW830,"")</f>
        <v/>
      </c>
      <c r="U830" t="str">
        <f>IF(DONNEES_SOURCE!$CA830=TRUE,IFERROR(MATCH(DONNEES_SOURCE!$B830,{"2. Très rarement (Moins d'une fois par mois)","3. Rarement (1 à 3 fois par mois)","4. Parfois (Environ une fois par semaine)","5. Régulièrement (Plusieurs fois par semaine)","6. Quotidiennement (Une fois par jour)","7. Très fréquemment (Plusieurs fois par jour)"},0)+1,""),"")</f>
        <v/>
      </c>
    </row>
    <row r="831" spans="16:21" x14ac:dyDescent="0.25">
      <c r="P831" t="str">
        <f>IF(DONNEES_SOURCE!$CA831=TRUE,DONNEES_SOURCE!$BV831,"")</f>
        <v/>
      </c>
      <c r="Q831" t="str">
        <f>IF(DONNEES_SOURCE!$CA831=TRUE,IFERROR(MATCH(DONNEES_SOURCE!$B831,{"2. Très rarement (Moins d'une fois par mois)","3. Rarement (1 à 3 fois par mois)","4. Parfois (Environ une fois par semaine)","5. Régulièrement (Plusieurs fois par semaine)","6. Quotidiennement (Une fois par jour)","7. Très fréquemment (Plusieurs fois par jour)"},0)+1,""),"")</f>
        <v/>
      </c>
      <c r="R831" t="str">
        <f>IF(DONNEES_SOURCE!$CA831=TRUE,DONNEES_SOURCE!$BW831,"")</f>
        <v/>
      </c>
      <c r="S831" t="str">
        <f>IF(DONNEES_SOURCE!$CA831=TRUE,DONNEES_SOURCE!$AU831,"")</f>
        <v/>
      </c>
      <c r="T831" t="str">
        <f>IF(DONNEES_SOURCE!$CA831=TRUE,DONNEES_SOURCE!$BW831,"")</f>
        <v/>
      </c>
      <c r="U831" t="str">
        <f>IF(DONNEES_SOURCE!$CA831=TRUE,IFERROR(MATCH(DONNEES_SOURCE!$B831,{"2. Très rarement (Moins d'une fois par mois)","3. Rarement (1 à 3 fois par mois)","4. Parfois (Environ une fois par semaine)","5. Régulièrement (Plusieurs fois par semaine)","6. Quotidiennement (Une fois par jour)","7. Très fréquemment (Plusieurs fois par jour)"},0)+1,""),"")</f>
        <v/>
      </c>
    </row>
    <row r="832" spans="16:21" x14ac:dyDescent="0.25">
      <c r="P832" t="str">
        <f>IF(DONNEES_SOURCE!$CA832=TRUE,DONNEES_SOURCE!$BV832,"")</f>
        <v/>
      </c>
      <c r="Q832" t="str">
        <f>IF(DONNEES_SOURCE!$CA832=TRUE,IFERROR(MATCH(DONNEES_SOURCE!$B832,{"2. Très rarement (Moins d'une fois par mois)","3. Rarement (1 à 3 fois par mois)","4. Parfois (Environ une fois par semaine)","5. Régulièrement (Plusieurs fois par semaine)","6. Quotidiennement (Une fois par jour)","7. Très fréquemment (Plusieurs fois par jour)"},0)+1,""),"")</f>
        <v/>
      </c>
      <c r="R832" t="str">
        <f>IF(DONNEES_SOURCE!$CA832=TRUE,DONNEES_SOURCE!$BW832,"")</f>
        <v/>
      </c>
      <c r="S832" t="str">
        <f>IF(DONNEES_SOURCE!$CA832=TRUE,DONNEES_SOURCE!$AU832,"")</f>
        <v/>
      </c>
      <c r="T832" t="str">
        <f>IF(DONNEES_SOURCE!$CA832=TRUE,DONNEES_SOURCE!$BW832,"")</f>
        <v/>
      </c>
      <c r="U832" t="str">
        <f>IF(DONNEES_SOURCE!$CA832=TRUE,IFERROR(MATCH(DONNEES_SOURCE!$B832,{"2. Très rarement (Moins d'une fois par mois)","3. Rarement (1 à 3 fois par mois)","4. Parfois (Environ une fois par semaine)","5. Régulièrement (Plusieurs fois par semaine)","6. Quotidiennement (Une fois par jour)","7. Très fréquemment (Plusieurs fois par jour)"},0)+1,""),"")</f>
        <v/>
      </c>
    </row>
    <row r="833" spans="16:21" x14ac:dyDescent="0.25">
      <c r="P833" t="str">
        <f>IF(DONNEES_SOURCE!$CA833=TRUE,DONNEES_SOURCE!$BV833,"")</f>
        <v/>
      </c>
      <c r="Q833" t="str">
        <f>IF(DONNEES_SOURCE!$CA833=TRUE,IFERROR(MATCH(DONNEES_SOURCE!$B833,{"2. Très rarement (Moins d'une fois par mois)","3. Rarement (1 à 3 fois par mois)","4. Parfois (Environ une fois par semaine)","5. Régulièrement (Plusieurs fois par semaine)","6. Quotidiennement (Une fois par jour)","7. Très fréquemment (Plusieurs fois par jour)"},0)+1,""),"")</f>
        <v/>
      </c>
      <c r="R833" t="str">
        <f>IF(DONNEES_SOURCE!$CA833=TRUE,DONNEES_SOURCE!$BW833,"")</f>
        <v/>
      </c>
      <c r="S833" t="str">
        <f>IF(DONNEES_SOURCE!$CA833=TRUE,DONNEES_SOURCE!$AU833,"")</f>
        <v/>
      </c>
      <c r="T833" t="str">
        <f>IF(DONNEES_SOURCE!$CA833=TRUE,DONNEES_SOURCE!$BW833,"")</f>
        <v/>
      </c>
      <c r="U833" t="str">
        <f>IF(DONNEES_SOURCE!$CA833=TRUE,IFERROR(MATCH(DONNEES_SOURCE!$B833,{"2. Très rarement (Moins d'une fois par mois)","3. Rarement (1 à 3 fois par mois)","4. Parfois (Environ une fois par semaine)","5. Régulièrement (Plusieurs fois par semaine)","6. Quotidiennement (Une fois par jour)","7. Très fréquemment (Plusieurs fois par jour)"},0)+1,""),"")</f>
        <v/>
      </c>
    </row>
    <row r="834" spans="16:21" x14ac:dyDescent="0.25">
      <c r="P834" t="str">
        <f>IF(DONNEES_SOURCE!$CA834=TRUE,DONNEES_SOURCE!$BV834,"")</f>
        <v/>
      </c>
      <c r="Q834" t="str">
        <f>IF(DONNEES_SOURCE!$CA834=TRUE,IFERROR(MATCH(DONNEES_SOURCE!$B834,{"2. Très rarement (Moins d'une fois par mois)","3. Rarement (1 à 3 fois par mois)","4. Parfois (Environ une fois par semaine)","5. Régulièrement (Plusieurs fois par semaine)","6. Quotidiennement (Une fois par jour)","7. Très fréquemment (Plusieurs fois par jour)"},0)+1,""),"")</f>
        <v/>
      </c>
      <c r="R834" t="str">
        <f>IF(DONNEES_SOURCE!$CA834=TRUE,DONNEES_SOURCE!$BW834,"")</f>
        <v/>
      </c>
      <c r="S834" t="str">
        <f>IF(DONNEES_SOURCE!$CA834=TRUE,DONNEES_SOURCE!$AU834,"")</f>
        <v/>
      </c>
      <c r="T834" t="str">
        <f>IF(DONNEES_SOURCE!$CA834=TRUE,DONNEES_SOURCE!$BW834,"")</f>
        <v/>
      </c>
      <c r="U834" t="str">
        <f>IF(DONNEES_SOURCE!$CA834=TRUE,IFERROR(MATCH(DONNEES_SOURCE!$B834,{"2. Très rarement (Moins d'une fois par mois)","3. Rarement (1 à 3 fois par mois)","4. Parfois (Environ une fois par semaine)","5. Régulièrement (Plusieurs fois par semaine)","6. Quotidiennement (Une fois par jour)","7. Très fréquemment (Plusieurs fois par jour)"},0)+1,""),"")</f>
        <v/>
      </c>
    </row>
    <row r="835" spans="16:21" x14ac:dyDescent="0.25">
      <c r="P835" t="str">
        <f>IF(DONNEES_SOURCE!$CA835=TRUE,DONNEES_SOURCE!$BV835,"")</f>
        <v/>
      </c>
      <c r="Q835" t="str">
        <f>IF(DONNEES_SOURCE!$CA835=TRUE,IFERROR(MATCH(DONNEES_SOURCE!$B835,{"2. Très rarement (Moins d'une fois par mois)","3. Rarement (1 à 3 fois par mois)","4. Parfois (Environ une fois par semaine)","5. Régulièrement (Plusieurs fois par semaine)","6. Quotidiennement (Une fois par jour)","7. Très fréquemment (Plusieurs fois par jour)"},0)+1,""),"")</f>
        <v/>
      </c>
      <c r="R835" t="str">
        <f>IF(DONNEES_SOURCE!$CA835=TRUE,DONNEES_SOURCE!$BW835,"")</f>
        <v/>
      </c>
      <c r="S835" t="str">
        <f>IF(DONNEES_SOURCE!$CA835=TRUE,DONNEES_SOURCE!$AU835,"")</f>
        <v/>
      </c>
      <c r="T835" t="str">
        <f>IF(DONNEES_SOURCE!$CA835=TRUE,DONNEES_SOURCE!$BW835,"")</f>
        <v/>
      </c>
      <c r="U835" t="str">
        <f>IF(DONNEES_SOURCE!$CA835=TRUE,IFERROR(MATCH(DONNEES_SOURCE!$B835,{"2. Très rarement (Moins d'une fois par mois)","3. Rarement (1 à 3 fois par mois)","4. Parfois (Environ une fois par semaine)","5. Régulièrement (Plusieurs fois par semaine)","6. Quotidiennement (Une fois par jour)","7. Très fréquemment (Plusieurs fois par jour)"},0)+1,""),"")</f>
        <v/>
      </c>
    </row>
    <row r="836" spans="16:21" x14ac:dyDescent="0.25">
      <c r="P836" t="str">
        <f>IF(DONNEES_SOURCE!$CA836=TRUE,DONNEES_SOURCE!$BV836,"")</f>
        <v/>
      </c>
      <c r="Q836" t="str">
        <f>IF(DONNEES_SOURCE!$CA836=TRUE,IFERROR(MATCH(DONNEES_SOURCE!$B836,{"2. Très rarement (Moins d'une fois par mois)","3. Rarement (1 à 3 fois par mois)","4. Parfois (Environ une fois par semaine)","5. Régulièrement (Plusieurs fois par semaine)","6. Quotidiennement (Une fois par jour)","7. Très fréquemment (Plusieurs fois par jour)"},0)+1,""),"")</f>
        <v/>
      </c>
      <c r="R836" t="str">
        <f>IF(DONNEES_SOURCE!$CA836=TRUE,DONNEES_SOURCE!$BW836,"")</f>
        <v/>
      </c>
      <c r="S836" t="str">
        <f>IF(DONNEES_SOURCE!$CA836=TRUE,DONNEES_SOURCE!$AU836,"")</f>
        <v/>
      </c>
      <c r="T836" t="str">
        <f>IF(DONNEES_SOURCE!$CA836=TRUE,DONNEES_SOURCE!$BW836,"")</f>
        <v/>
      </c>
      <c r="U836" t="str">
        <f>IF(DONNEES_SOURCE!$CA836=TRUE,IFERROR(MATCH(DONNEES_SOURCE!$B836,{"2. Très rarement (Moins d'une fois par mois)","3. Rarement (1 à 3 fois par mois)","4. Parfois (Environ une fois par semaine)","5. Régulièrement (Plusieurs fois par semaine)","6. Quotidiennement (Une fois par jour)","7. Très fréquemment (Plusieurs fois par jour)"},0)+1,""),"")</f>
        <v/>
      </c>
    </row>
    <row r="837" spans="16:21" x14ac:dyDescent="0.25">
      <c r="P837" t="str">
        <f>IF(DONNEES_SOURCE!$CA837=TRUE,DONNEES_SOURCE!$BV837,"")</f>
        <v/>
      </c>
      <c r="Q837" t="str">
        <f>IF(DONNEES_SOURCE!$CA837=TRUE,IFERROR(MATCH(DONNEES_SOURCE!$B837,{"2. Très rarement (Moins d'une fois par mois)","3. Rarement (1 à 3 fois par mois)","4. Parfois (Environ une fois par semaine)","5. Régulièrement (Plusieurs fois par semaine)","6. Quotidiennement (Une fois par jour)","7. Très fréquemment (Plusieurs fois par jour)"},0)+1,""),"")</f>
        <v/>
      </c>
      <c r="R837" t="str">
        <f>IF(DONNEES_SOURCE!$CA837=TRUE,DONNEES_SOURCE!$BW837,"")</f>
        <v/>
      </c>
      <c r="S837" t="str">
        <f>IF(DONNEES_SOURCE!$CA837=TRUE,DONNEES_SOURCE!$AU837,"")</f>
        <v/>
      </c>
      <c r="T837" t="str">
        <f>IF(DONNEES_SOURCE!$CA837=TRUE,DONNEES_SOURCE!$BW837,"")</f>
        <v/>
      </c>
      <c r="U837" t="str">
        <f>IF(DONNEES_SOURCE!$CA837=TRUE,IFERROR(MATCH(DONNEES_SOURCE!$B837,{"2. Très rarement (Moins d'une fois par mois)","3. Rarement (1 à 3 fois par mois)","4. Parfois (Environ une fois par semaine)","5. Régulièrement (Plusieurs fois par semaine)","6. Quotidiennement (Une fois par jour)","7. Très fréquemment (Plusieurs fois par jour)"},0)+1,""),"")</f>
        <v/>
      </c>
    </row>
    <row r="838" spans="16:21" x14ac:dyDescent="0.25">
      <c r="P838" t="str">
        <f>IF(DONNEES_SOURCE!$CA838=TRUE,DONNEES_SOURCE!$BV838,"")</f>
        <v/>
      </c>
      <c r="Q838" t="str">
        <f>IF(DONNEES_SOURCE!$CA838=TRUE,IFERROR(MATCH(DONNEES_SOURCE!$B838,{"2. Très rarement (Moins d'une fois par mois)","3. Rarement (1 à 3 fois par mois)","4. Parfois (Environ une fois par semaine)","5. Régulièrement (Plusieurs fois par semaine)","6. Quotidiennement (Une fois par jour)","7. Très fréquemment (Plusieurs fois par jour)"},0)+1,""),"")</f>
        <v/>
      </c>
      <c r="R838" t="str">
        <f>IF(DONNEES_SOURCE!$CA838=TRUE,DONNEES_SOURCE!$BW838,"")</f>
        <v/>
      </c>
      <c r="S838" t="str">
        <f>IF(DONNEES_SOURCE!$CA838=TRUE,DONNEES_SOURCE!$AU838,"")</f>
        <v/>
      </c>
      <c r="T838" t="str">
        <f>IF(DONNEES_SOURCE!$CA838=TRUE,DONNEES_SOURCE!$BW838,"")</f>
        <v/>
      </c>
      <c r="U838" t="str">
        <f>IF(DONNEES_SOURCE!$CA838=TRUE,IFERROR(MATCH(DONNEES_SOURCE!$B838,{"2. Très rarement (Moins d'une fois par mois)","3. Rarement (1 à 3 fois par mois)","4. Parfois (Environ une fois par semaine)","5. Régulièrement (Plusieurs fois par semaine)","6. Quotidiennement (Une fois par jour)","7. Très fréquemment (Plusieurs fois par jour)"},0)+1,""),"")</f>
        <v/>
      </c>
    </row>
    <row r="839" spans="16:21" x14ac:dyDescent="0.25">
      <c r="P839" t="str">
        <f>IF(DONNEES_SOURCE!$CA839=TRUE,DONNEES_SOURCE!$BV839,"")</f>
        <v/>
      </c>
      <c r="Q839" t="str">
        <f>IF(DONNEES_SOURCE!$CA839=TRUE,IFERROR(MATCH(DONNEES_SOURCE!$B839,{"2. Très rarement (Moins d'une fois par mois)","3. Rarement (1 à 3 fois par mois)","4. Parfois (Environ une fois par semaine)","5. Régulièrement (Plusieurs fois par semaine)","6. Quotidiennement (Une fois par jour)","7. Très fréquemment (Plusieurs fois par jour)"},0)+1,""),"")</f>
        <v/>
      </c>
      <c r="R839" t="str">
        <f>IF(DONNEES_SOURCE!$CA839=TRUE,DONNEES_SOURCE!$BW839,"")</f>
        <v/>
      </c>
      <c r="S839" t="str">
        <f>IF(DONNEES_SOURCE!$CA839=TRUE,DONNEES_SOURCE!$AU839,"")</f>
        <v/>
      </c>
      <c r="T839" t="str">
        <f>IF(DONNEES_SOURCE!$CA839=TRUE,DONNEES_SOURCE!$BW839,"")</f>
        <v/>
      </c>
      <c r="U839" t="str">
        <f>IF(DONNEES_SOURCE!$CA839=TRUE,IFERROR(MATCH(DONNEES_SOURCE!$B839,{"2. Très rarement (Moins d'une fois par mois)","3. Rarement (1 à 3 fois par mois)","4. Parfois (Environ une fois par semaine)","5. Régulièrement (Plusieurs fois par semaine)","6. Quotidiennement (Une fois par jour)","7. Très fréquemment (Plusieurs fois par jour)"},0)+1,""),"")</f>
        <v/>
      </c>
    </row>
    <row r="840" spans="16:21" x14ac:dyDescent="0.25">
      <c r="P840" t="str">
        <f>IF(DONNEES_SOURCE!$CA840=TRUE,DONNEES_SOURCE!$BV840,"")</f>
        <v/>
      </c>
      <c r="Q840" t="str">
        <f>IF(DONNEES_SOURCE!$CA840=TRUE,IFERROR(MATCH(DONNEES_SOURCE!$B840,{"2. Très rarement (Moins d'une fois par mois)","3. Rarement (1 à 3 fois par mois)","4. Parfois (Environ une fois par semaine)","5. Régulièrement (Plusieurs fois par semaine)","6. Quotidiennement (Une fois par jour)","7. Très fréquemment (Plusieurs fois par jour)"},0)+1,""),"")</f>
        <v/>
      </c>
      <c r="R840" t="str">
        <f>IF(DONNEES_SOURCE!$CA840=TRUE,DONNEES_SOURCE!$BW840,"")</f>
        <v/>
      </c>
      <c r="S840" t="str">
        <f>IF(DONNEES_SOURCE!$CA840=TRUE,DONNEES_SOURCE!$AU840,"")</f>
        <v/>
      </c>
      <c r="T840" t="str">
        <f>IF(DONNEES_SOURCE!$CA840=TRUE,DONNEES_SOURCE!$BW840,"")</f>
        <v/>
      </c>
      <c r="U840" t="str">
        <f>IF(DONNEES_SOURCE!$CA840=TRUE,IFERROR(MATCH(DONNEES_SOURCE!$B840,{"2. Très rarement (Moins d'une fois par mois)","3. Rarement (1 à 3 fois par mois)","4. Parfois (Environ une fois par semaine)","5. Régulièrement (Plusieurs fois par semaine)","6. Quotidiennement (Une fois par jour)","7. Très fréquemment (Plusieurs fois par jour)"},0)+1,""),"")</f>
        <v/>
      </c>
    </row>
    <row r="841" spans="16:21" x14ac:dyDescent="0.25">
      <c r="P841" t="str">
        <f>IF(DONNEES_SOURCE!$CA841=TRUE,DONNEES_SOURCE!$BV841,"")</f>
        <v/>
      </c>
      <c r="Q841" t="str">
        <f>IF(DONNEES_SOURCE!$CA841=TRUE,IFERROR(MATCH(DONNEES_SOURCE!$B841,{"2. Très rarement (Moins d'une fois par mois)","3. Rarement (1 à 3 fois par mois)","4. Parfois (Environ une fois par semaine)","5. Régulièrement (Plusieurs fois par semaine)","6. Quotidiennement (Une fois par jour)","7. Très fréquemment (Plusieurs fois par jour)"},0)+1,""),"")</f>
        <v/>
      </c>
      <c r="R841" t="str">
        <f>IF(DONNEES_SOURCE!$CA841=TRUE,DONNEES_SOURCE!$BW841,"")</f>
        <v/>
      </c>
      <c r="S841" t="str">
        <f>IF(DONNEES_SOURCE!$CA841=TRUE,DONNEES_SOURCE!$AU841,"")</f>
        <v/>
      </c>
      <c r="T841" t="str">
        <f>IF(DONNEES_SOURCE!$CA841=TRUE,DONNEES_SOURCE!$BW841,"")</f>
        <v/>
      </c>
      <c r="U841" t="str">
        <f>IF(DONNEES_SOURCE!$CA841=TRUE,IFERROR(MATCH(DONNEES_SOURCE!$B841,{"2. Très rarement (Moins d'une fois par mois)","3. Rarement (1 à 3 fois par mois)","4. Parfois (Environ une fois par semaine)","5. Régulièrement (Plusieurs fois par semaine)","6. Quotidiennement (Une fois par jour)","7. Très fréquemment (Plusieurs fois par jour)"},0)+1,""),"")</f>
        <v/>
      </c>
    </row>
    <row r="842" spans="16:21" x14ac:dyDescent="0.25">
      <c r="P842" t="str">
        <f>IF(DONNEES_SOURCE!$CA842=TRUE,DONNEES_SOURCE!$BV842,"")</f>
        <v/>
      </c>
      <c r="Q842" t="str">
        <f>IF(DONNEES_SOURCE!$CA842=TRUE,IFERROR(MATCH(DONNEES_SOURCE!$B842,{"2. Très rarement (Moins d'une fois par mois)","3. Rarement (1 à 3 fois par mois)","4. Parfois (Environ une fois par semaine)","5. Régulièrement (Plusieurs fois par semaine)","6. Quotidiennement (Une fois par jour)","7. Très fréquemment (Plusieurs fois par jour)"},0)+1,""),"")</f>
        <v/>
      </c>
      <c r="R842" t="str">
        <f>IF(DONNEES_SOURCE!$CA842=TRUE,DONNEES_SOURCE!$BW842,"")</f>
        <v/>
      </c>
      <c r="S842" t="str">
        <f>IF(DONNEES_SOURCE!$CA842=TRUE,DONNEES_SOURCE!$AU842,"")</f>
        <v/>
      </c>
      <c r="T842" t="str">
        <f>IF(DONNEES_SOURCE!$CA842=TRUE,DONNEES_SOURCE!$BW842,"")</f>
        <v/>
      </c>
      <c r="U842" t="str">
        <f>IF(DONNEES_SOURCE!$CA842=TRUE,IFERROR(MATCH(DONNEES_SOURCE!$B842,{"2. Très rarement (Moins d'une fois par mois)","3. Rarement (1 à 3 fois par mois)","4. Parfois (Environ une fois par semaine)","5. Régulièrement (Plusieurs fois par semaine)","6. Quotidiennement (Une fois par jour)","7. Très fréquemment (Plusieurs fois par jour)"},0)+1,""),"")</f>
        <v/>
      </c>
    </row>
    <row r="843" spans="16:21" x14ac:dyDescent="0.25">
      <c r="P843" t="str">
        <f>IF(DONNEES_SOURCE!$CA843=TRUE,DONNEES_SOURCE!$BV843,"")</f>
        <v/>
      </c>
      <c r="Q843" t="str">
        <f>IF(DONNEES_SOURCE!$CA843=TRUE,IFERROR(MATCH(DONNEES_SOURCE!$B843,{"2. Très rarement (Moins d'une fois par mois)","3. Rarement (1 à 3 fois par mois)","4. Parfois (Environ une fois par semaine)","5. Régulièrement (Plusieurs fois par semaine)","6. Quotidiennement (Une fois par jour)","7. Très fréquemment (Plusieurs fois par jour)"},0)+1,""),"")</f>
        <v/>
      </c>
      <c r="R843" t="str">
        <f>IF(DONNEES_SOURCE!$CA843=TRUE,DONNEES_SOURCE!$BW843,"")</f>
        <v/>
      </c>
      <c r="S843" t="str">
        <f>IF(DONNEES_SOURCE!$CA843=TRUE,DONNEES_SOURCE!$AU843,"")</f>
        <v/>
      </c>
      <c r="T843" t="str">
        <f>IF(DONNEES_SOURCE!$CA843=TRUE,DONNEES_SOURCE!$BW843,"")</f>
        <v/>
      </c>
      <c r="U843" t="str">
        <f>IF(DONNEES_SOURCE!$CA843=TRUE,IFERROR(MATCH(DONNEES_SOURCE!$B843,{"2. Très rarement (Moins d'une fois par mois)","3. Rarement (1 à 3 fois par mois)","4. Parfois (Environ une fois par semaine)","5. Régulièrement (Plusieurs fois par semaine)","6. Quotidiennement (Une fois par jour)","7. Très fréquemment (Plusieurs fois par jour)"},0)+1,""),"")</f>
        <v/>
      </c>
    </row>
    <row r="844" spans="16:21" x14ac:dyDescent="0.25">
      <c r="P844" t="str">
        <f>IF(DONNEES_SOURCE!$CA844=TRUE,DONNEES_SOURCE!$BV844,"")</f>
        <v/>
      </c>
      <c r="Q844" t="str">
        <f>IF(DONNEES_SOURCE!$CA844=TRUE,IFERROR(MATCH(DONNEES_SOURCE!$B844,{"2. Très rarement (Moins d'une fois par mois)","3. Rarement (1 à 3 fois par mois)","4. Parfois (Environ une fois par semaine)","5. Régulièrement (Plusieurs fois par semaine)","6. Quotidiennement (Une fois par jour)","7. Très fréquemment (Plusieurs fois par jour)"},0)+1,""),"")</f>
        <v/>
      </c>
      <c r="R844" t="str">
        <f>IF(DONNEES_SOURCE!$CA844=TRUE,DONNEES_SOURCE!$BW844,"")</f>
        <v/>
      </c>
      <c r="S844" t="str">
        <f>IF(DONNEES_SOURCE!$CA844=TRUE,DONNEES_SOURCE!$AU844,"")</f>
        <v/>
      </c>
      <c r="T844" t="str">
        <f>IF(DONNEES_SOURCE!$CA844=TRUE,DONNEES_SOURCE!$BW844,"")</f>
        <v/>
      </c>
      <c r="U844" t="str">
        <f>IF(DONNEES_SOURCE!$CA844=TRUE,IFERROR(MATCH(DONNEES_SOURCE!$B844,{"2. Très rarement (Moins d'une fois par mois)","3. Rarement (1 à 3 fois par mois)","4. Parfois (Environ une fois par semaine)","5. Régulièrement (Plusieurs fois par semaine)","6. Quotidiennement (Une fois par jour)","7. Très fréquemment (Plusieurs fois par jour)"},0)+1,""),"")</f>
        <v/>
      </c>
    </row>
    <row r="845" spans="16:21" x14ac:dyDescent="0.25">
      <c r="P845" t="str">
        <f>IF(DONNEES_SOURCE!$CA845=TRUE,DONNEES_SOURCE!$BV845,"")</f>
        <v/>
      </c>
      <c r="Q845" t="str">
        <f>IF(DONNEES_SOURCE!$CA845=TRUE,IFERROR(MATCH(DONNEES_SOURCE!$B845,{"2. Très rarement (Moins d'une fois par mois)","3. Rarement (1 à 3 fois par mois)","4. Parfois (Environ une fois par semaine)","5. Régulièrement (Plusieurs fois par semaine)","6. Quotidiennement (Une fois par jour)","7. Très fréquemment (Plusieurs fois par jour)"},0)+1,""),"")</f>
        <v/>
      </c>
      <c r="R845" t="str">
        <f>IF(DONNEES_SOURCE!$CA845=TRUE,DONNEES_SOURCE!$BW845,"")</f>
        <v/>
      </c>
      <c r="S845" t="str">
        <f>IF(DONNEES_SOURCE!$CA845=TRUE,DONNEES_SOURCE!$AU845,"")</f>
        <v/>
      </c>
      <c r="T845" t="str">
        <f>IF(DONNEES_SOURCE!$CA845=TRUE,DONNEES_SOURCE!$BW845,"")</f>
        <v/>
      </c>
      <c r="U845" t="str">
        <f>IF(DONNEES_SOURCE!$CA845=TRUE,IFERROR(MATCH(DONNEES_SOURCE!$B845,{"2. Très rarement (Moins d'une fois par mois)","3. Rarement (1 à 3 fois par mois)","4. Parfois (Environ une fois par semaine)","5. Régulièrement (Plusieurs fois par semaine)","6. Quotidiennement (Une fois par jour)","7. Très fréquemment (Plusieurs fois par jour)"},0)+1,""),"")</f>
        <v/>
      </c>
    </row>
    <row r="846" spans="16:21" x14ac:dyDescent="0.25">
      <c r="P846" t="str">
        <f>IF(DONNEES_SOURCE!$CA846=TRUE,DONNEES_SOURCE!$BV846,"")</f>
        <v/>
      </c>
      <c r="Q846" t="str">
        <f>IF(DONNEES_SOURCE!$CA846=TRUE,IFERROR(MATCH(DONNEES_SOURCE!$B846,{"2. Très rarement (Moins d'une fois par mois)","3. Rarement (1 à 3 fois par mois)","4. Parfois (Environ une fois par semaine)","5. Régulièrement (Plusieurs fois par semaine)","6. Quotidiennement (Une fois par jour)","7. Très fréquemment (Plusieurs fois par jour)"},0)+1,""),"")</f>
        <v/>
      </c>
      <c r="R846" t="str">
        <f>IF(DONNEES_SOURCE!$CA846=TRUE,DONNEES_SOURCE!$BW846,"")</f>
        <v/>
      </c>
      <c r="S846" t="str">
        <f>IF(DONNEES_SOURCE!$CA846=TRUE,DONNEES_SOURCE!$AU846,"")</f>
        <v/>
      </c>
      <c r="T846" t="str">
        <f>IF(DONNEES_SOURCE!$CA846=TRUE,DONNEES_SOURCE!$BW846,"")</f>
        <v/>
      </c>
      <c r="U846" t="str">
        <f>IF(DONNEES_SOURCE!$CA846=TRUE,IFERROR(MATCH(DONNEES_SOURCE!$B846,{"2. Très rarement (Moins d'une fois par mois)","3. Rarement (1 à 3 fois par mois)","4. Parfois (Environ une fois par semaine)","5. Régulièrement (Plusieurs fois par semaine)","6. Quotidiennement (Une fois par jour)","7. Très fréquemment (Plusieurs fois par jour)"},0)+1,""),"")</f>
        <v/>
      </c>
    </row>
    <row r="847" spans="16:21" x14ac:dyDescent="0.25">
      <c r="P847" t="str">
        <f>IF(DONNEES_SOURCE!$CA847=TRUE,DONNEES_SOURCE!$BV847,"")</f>
        <v/>
      </c>
      <c r="Q847" t="str">
        <f>IF(DONNEES_SOURCE!$CA847=TRUE,IFERROR(MATCH(DONNEES_SOURCE!$B847,{"2. Très rarement (Moins d'une fois par mois)","3. Rarement (1 à 3 fois par mois)","4. Parfois (Environ une fois par semaine)","5. Régulièrement (Plusieurs fois par semaine)","6. Quotidiennement (Une fois par jour)","7. Très fréquemment (Plusieurs fois par jour)"},0)+1,""),"")</f>
        <v/>
      </c>
      <c r="R847" t="str">
        <f>IF(DONNEES_SOURCE!$CA847=TRUE,DONNEES_SOURCE!$BW847,"")</f>
        <v/>
      </c>
      <c r="S847" t="str">
        <f>IF(DONNEES_SOURCE!$CA847=TRUE,DONNEES_SOURCE!$AU847,"")</f>
        <v/>
      </c>
      <c r="T847" t="str">
        <f>IF(DONNEES_SOURCE!$CA847=TRUE,DONNEES_SOURCE!$BW847,"")</f>
        <v/>
      </c>
      <c r="U847" t="str">
        <f>IF(DONNEES_SOURCE!$CA847=TRUE,IFERROR(MATCH(DONNEES_SOURCE!$B847,{"2. Très rarement (Moins d'une fois par mois)","3. Rarement (1 à 3 fois par mois)","4. Parfois (Environ une fois par semaine)","5. Régulièrement (Plusieurs fois par semaine)","6. Quotidiennement (Une fois par jour)","7. Très fréquemment (Plusieurs fois par jour)"},0)+1,""),"")</f>
        <v/>
      </c>
    </row>
    <row r="848" spans="16:21" x14ac:dyDescent="0.25">
      <c r="P848" t="str">
        <f>IF(DONNEES_SOURCE!$CA848=TRUE,DONNEES_SOURCE!$BV848,"")</f>
        <v/>
      </c>
      <c r="Q848" t="str">
        <f>IF(DONNEES_SOURCE!$CA848=TRUE,IFERROR(MATCH(DONNEES_SOURCE!$B848,{"2. Très rarement (Moins d'une fois par mois)","3. Rarement (1 à 3 fois par mois)","4. Parfois (Environ une fois par semaine)","5. Régulièrement (Plusieurs fois par semaine)","6. Quotidiennement (Une fois par jour)","7. Très fréquemment (Plusieurs fois par jour)"},0)+1,""),"")</f>
        <v/>
      </c>
      <c r="R848" t="str">
        <f>IF(DONNEES_SOURCE!$CA848=TRUE,DONNEES_SOURCE!$BW848,"")</f>
        <v/>
      </c>
      <c r="S848" t="str">
        <f>IF(DONNEES_SOURCE!$CA848=TRUE,DONNEES_SOURCE!$AU848,"")</f>
        <v/>
      </c>
      <c r="T848" t="str">
        <f>IF(DONNEES_SOURCE!$CA848=TRUE,DONNEES_SOURCE!$BW848,"")</f>
        <v/>
      </c>
      <c r="U848" t="str">
        <f>IF(DONNEES_SOURCE!$CA848=TRUE,IFERROR(MATCH(DONNEES_SOURCE!$B848,{"2. Très rarement (Moins d'une fois par mois)","3. Rarement (1 à 3 fois par mois)","4. Parfois (Environ une fois par semaine)","5. Régulièrement (Plusieurs fois par semaine)","6. Quotidiennement (Une fois par jour)","7. Très fréquemment (Plusieurs fois par jour)"},0)+1,""),"")</f>
        <v/>
      </c>
    </row>
    <row r="849" spans="16:21" x14ac:dyDescent="0.25">
      <c r="P849" t="str">
        <f>IF(DONNEES_SOURCE!$CA849=TRUE,DONNEES_SOURCE!$BV849,"")</f>
        <v/>
      </c>
      <c r="Q849" t="str">
        <f>IF(DONNEES_SOURCE!$CA849=TRUE,IFERROR(MATCH(DONNEES_SOURCE!$B849,{"2. Très rarement (Moins d'une fois par mois)","3. Rarement (1 à 3 fois par mois)","4. Parfois (Environ une fois par semaine)","5. Régulièrement (Plusieurs fois par semaine)","6. Quotidiennement (Une fois par jour)","7. Très fréquemment (Plusieurs fois par jour)"},0)+1,""),"")</f>
        <v/>
      </c>
      <c r="R849" t="str">
        <f>IF(DONNEES_SOURCE!$CA849=TRUE,DONNEES_SOURCE!$BW849,"")</f>
        <v/>
      </c>
      <c r="S849" t="str">
        <f>IF(DONNEES_SOURCE!$CA849=TRUE,DONNEES_SOURCE!$AU849,"")</f>
        <v/>
      </c>
      <c r="T849" t="str">
        <f>IF(DONNEES_SOURCE!$CA849=TRUE,DONNEES_SOURCE!$BW849,"")</f>
        <v/>
      </c>
      <c r="U849" t="str">
        <f>IF(DONNEES_SOURCE!$CA849=TRUE,IFERROR(MATCH(DONNEES_SOURCE!$B849,{"2. Très rarement (Moins d'une fois par mois)","3. Rarement (1 à 3 fois par mois)","4. Parfois (Environ une fois par semaine)","5. Régulièrement (Plusieurs fois par semaine)","6. Quotidiennement (Une fois par jour)","7. Très fréquemment (Plusieurs fois par jour)"},0)+1,""),"")</f>
        <v/>
      </c>
    </row>
    <row r="850" spans="16:21" x14ac:dyDescent="0.25">
      <c r="P850" t="str">
        <f>IF(DONNEES_SOURCE!$CA850=TRUE,DONNEES_SOURCE!$BV850,"")</f>
        <v/>
      </c>
      <c r="Q850" t="str">
        <f>IF(DONNEES_SOURCE!$CA850=TRUE,IFERROR(MATCH(DONNEES_SOURCE!$B850,{"2. Très rarement (Moins d'une fois par mois)","3. Rarement (1 à 3 fois par mois)","4. Parfois (Environ une fois par semaine)","5. Régulièrement (Plusieurs fois par semaine)","6. Quotidiennement (Une fois par jour)","7. Très fréquemment (Plusieurs fois par jour)"},0)+1,""),"")</f>
        <v/>
      </c>
      <c r="R850" t="str">
        <f>IF(DONNEES_SOURCE!$CA850=TRUE,DONNEES_SOURCE!$BW850,"")</f>
        <v/>
      </c>
      <c r="S850" t="str">
        <f>IF(DONNEES_SOURCE!$CA850=TRUE,DONNEES_SOURCE!$AU850,"")</f>
        <v/>
      </c>
      <c r="T850" t="str">
        <f>IF(DONNEES_SOURCE!$CA850=TRUE,DONNEES_SOURCE!$BW850,"")</f>
        <v/>
      </c>
      <c r="U850" t="str">
        <f>IF(DONNEES_SOURCE!$CA850=TRUE,IFERROR(MATCH(DONNEES_SOURCE!$B850,{"2. Très rarement (Moins d'une fois par mois)","3. Rarement (1 à 3 fois par mois)","4. Parfois (Environ une fois par semaine)","5. Régulièrement (Plusieurs fois par semaine)","6. Quotidiennement (Une fois par jour)","7. Très fréquemment (Plusieurs fois par jour)"},0)+1,""),"")</f>
        <v/>
      </c>
    </row>
    <row r="851" spans="16:21" x14ac:dyDescent="0.25">
      <c r="P851" t="str">
        <f>IF(DONNEES_SOURCE!$CA851=TRUE,DONNEES_SOURCE!$BV851,"")</f>
        <v/>
      </c>
      <c r="Q851" t="str">
        <f>IF(DONNEES_SOURCE!$CA851=TRUE,IFERROR(MATCH(DONNEES_SOURCE!$B851,{"2. Très rarement (Moins d'une fois par mois)","3. Rarement (1 à 3 fois par mois)","4. Parfois (Environ une fois par semaine)","5. Régulièrement (Plusieurs fois par semaine)","6. Quotidiennement (Une fois par jour)","7. Très fréquemment (Plusieurs fois par jour)"},0)+1,""),"")</f>
        <v/>
      </c>
      <c r="R851" t="str">
        <f>IF(DONNEES_SOURCE!$CA851=TRUE,DONNEES_SOURCE!$BW851,"")</f>
        <v/>
      </c>
      <c r="S851" t="str">
        <f>IF(DONNEES_SOURCE!$CA851=TRUE,DONNEES_SOURCE!$AU851,"")</f>
        <v/>
      </c>
      <c r="T851" t="str">
        <f>IF(DONNEES_SOURCE!$CA851=TRUE,DONNEES_SOURCE!$BW851,"")</f>
        <v/>
      </c>
      <c r="U851" t="str">
        <f>IF(DONNEES_SOURCE!$CA851=TRUE,IFERROR(MATCH(DONNEES_SOURCE!$B851,{"2. Très rarement (Moins d'une fois par mois)","3. Rarement (1 à 3 fois par mois)","4. Parfois (Environ une fois par semaine)","5. Régulièrement (Plusieurs fois par semaine)","6. Quotidiennement (Une fois par jour)","7. Très fréquemment (Plusieurs fois par jour)"},0)+1,""),"")</f>
        <v/>
      </c>
    </row>
    <row r="852" spans="16:21" x14ac:dyDescent="0.25">
      <c r="P852" t="str">
        <f>IF(DONNEES_SOURCE!$CA852=TRUE,DONNEES_SOURCE!$BV852,"")</f>
        <v/>
      </c>
      <c r="Q852" t="str">
        <f>IF(DONNEES_SOURCE!$CA852=TRUE,IFERROR(MATCH(DONNEES_SOURCE!$B852,{"2. Très rarement (Moins d'une fois par mois)","3. Rarement (1 à 3 fois par mois)","4. Parfois (Environ une fois par semaine)","5. Régulièrement (Plusieurs fois par semaine)","6. Quotidiennement (Une fois par jour)","7. Très fréquemment (Plusieurs fois par jour)"},0)+1,""),"")</f>
        <v/>
      </c>
      <c r="R852" t="str">
        <f>IF(DONNEES_SOURCE!$CA852=TRUE,DONNEES_SOURCE!$BW852,"")</f>
        <v/>
      </c>
      <c r="S852" t="str">
        <f>IF(DONNEES_SOURCE!$CA852=TRUE,DONNEES_SOURCE!$AU852,"")</f>
        <v/>
      </c>
      <c r="T852" t="str">
        <f>IF(DONNEES_SOURCE!$CA852=TRUE,DONNEES_SOURCE!$BW852,"")</f>
        <v/>
      </c>
      <c r="U852" t="str">
        <f>IF(DONNEES_SOURCE!$CA852=TRUE,IFERROR(MATCH(DONNEES_SOURCE!$B852,{"2. Très rarement (Moins d'une fois par mois)","3. Rarement (1 à 3 fois par mois)","4. Parfois (Environ une fois par semaine)","5. Régulièrement (Plusieurs fois par semaine)","6. Quotidiennement (Une fois par jour)","7. Très fréquemment (Plusieurs fois par jour)"},0)+1,""),"")</f>
        <v/>
      </c>
    </row>
    <row r="853" spans="16:21" x14ac:dyDescent="0.25">
      <c r="P853" t="str">
        <f>IF(DONNEES_SOURCE!$CA853=TRUE,DONNEES_SOURCE!$BV853,"")</f>
        <v/>
      </c>
      <c r="Q853" t="str">
        <f>IF(DONNEES_SOURCE!$CA853=TRUE,IFERROR(MATCH(DONNEES_SOURCE!$B853,{"2. Très rarement (Moins d'une fois par mois)","3. Rarement (1 à 3 fois par mois)","4. Parfois (Environ une fois par semaine)","5. Régulièrement (Plusieurs fois par semaine)","6. Quotidiennement (Une fois par jour)","7. Très fréquemment (Plusieurs fois par jour)"},0)+1,""),"")</f>
        <v/>
      </c>
      <c r="R853" t="str">
        <f>IF(DONNEES_SOURCE!$CA853=TRUE,DONNEES_SOURCE!$BW853,"")</f>
        <v/>
      </c>
      <c r="S853" t="str">
        <f>IF(DONNEES_SOURCE!$CA853=TRUE,DONNEES_SOURCE!$AU853,"")</f>
        <v/>
      </c>
      <c r="T853" t="str">
        <f>IF(DONNEES_SOURCE!$CA853=TRUE,DONNEES_SOURCE!$BW853,"")</f>
        <v/>
      </c>
      <c r="U853" t="str">
        <f>IF(DONNEES_SOURCE!$CA853=TRUE,IFERROR(MATCH(DONNEES_SOURCE!$B853,{"2. Très rarement (Moins d'une fois par mois)","3. Rarement (1 à 3 fois par mois)","4. Parfois (Environ une fois par semaine)","5. Régulièrement (Plusieurs fois par semaine)","6. Quotidiennement (Une fois par jour)","7. Très fréquemment (Plusieurs fois par jour)"},0)+1,""),"")</f>
        <v/>
      </c>
    </row>
    <row r="854" spans="16:21" x14ac:dyDescent="0.25">
      <c r="P854" t="str">
        <f>IF(DONNEES_SOURCE!$CA854=TRUE,DONNEES_SOURCE!$BV854,"")</f>
        <v/>
      </c>
      <c r="Q854" t="str">
        <f>IF(DONNEES_SOURCE!$CA854=TRUE,IFERROR(MATCH(DONNEES_SOURCE!$B854,{"2. Très rarement (Moins d'une fois par mois)","3. Rarement (1 à 3 fois par mois)","4. Parfois (Environ une fois par semaine)","5. Régulièrement (Plusieurs fois par semaine)","6. Quotidiennement (Une fois par jour)","7. Très fréquemment (Plusieurs fois par jour)"},0)+1,""),"")</f>
        <v/>
      </c>
      <c r="R854" t="str">
        <f>IF(DONNEES_SOURCE!$CA854=TRUE,DONNEES_SOURCE!$BW854,"")</f>
        <v/>
      </c>
      <c r="S854" t="str">
        <f>IF(DONNEES_SOURCE!$CA854=TRUE,DONNEES_SOURCE!$AU854,"")</f>
        <v/>
      </c>
      <c r="T854" t="str">
        <f>IF(DONNEES_SOURCE!$CA854=TRUE,DONNEES_SOURCE!$BW854,"")</f>
        <v/>
      </c>
      <c r="U854" t="str">
        <f>IF(DONNEES_SOURCE!$CA854=TRUE,IFERROR(MATCH(DONNEES_SOURCE!$B854,{"2. Très rarement (Moins d'une fois par mois)","3. Rarement (1 à 3 fois par mois)","4. Parfois (Environ une fois par semaine)","5. Régulièrement (Plusieurs fois par semaine)","6. Quotidiennement (Une fois par jour)","7. Très fréquemment (Plusieurs fois par jour)"},0)+1,""),"")</f>
        <v/>
      </c>
    </row>
    <row r="855" spans="16:21" x14ac:dyDescent="0.25">
      <c r="P855" t="str">
        <f>IF(DONNEES_SOURCE!$CA855=TRUE,DONNEES_SOURCE!$BV855,"")</f>
        <v/>
      </c>
      <c r="Q855" t="str">
        <f>IF(DONNEES_SOURCE!$CA855=TRUE,IFERROR(MATCH(DONNEES_SOURCE!$B855,{"2. Très rarement (Moins d'une fois par mois)","3. Rarement (1 à 3 fois par mois)","4. Parfois (Environ une fois par semaine)","5. Régulièrement (Plusieurs fois par semaine)","6. Quotidiennement (Une fois par jour)","7. Très fréquemment (Plusieurs fois par jour)"},0)+1,""),"")</f>
        <v/>
      </c>
      <c r="R855" t="str">
        <f>IF(DONNEES_SOURCE!$CA855=TRUE,DONNEES_SOURCE!$BW855,"")</f>
        <v/>
      </c>
      <c r="S855" t="str">
        <f>IF(DONNEES_SOURCE!$CA855=TRUE,DONNEES_SOURCE!$AU855,"")</f>
        <v/>
      </c>
      <c r="T855" t="str">
        <f>IF(DONNEES_SOURCE!$CA855=TRUE,DONNEES_SOURCE!$BW855,"")</f>
        <v/>
      </c>
      <c r="U855" t="str">
        <f>IF(DONNEES_SOURCE!$CA855=TRUE,IFERROR(MATCH(DONNEES_SOURCE!$B855,{"2. Très rarement (Moins d'une fois par mois)","3. Rarement (1 à 3 fois par mois)","4. Parfois (Environ une fois par semaine)","5. Régulièrement (Plusieurs fois par semaine)","6. Quotidiennement (Une fois par jour)","7. Très fréquemment (Plusieurs fois par jour)"},0)+1,""),"")</f>
        <v/>
      </c>
    </row>
    <row r="856" spans="16:21" x14ac:dyDescent="0.25">
      <c r="P856" t="str">
        <f>IF(DONNEES_SOURCE!$CA856=TRUE,DONNEES_SOURCE!$BV856,"")</f>
        <v/>
      </c>
      <c r="Q856" t="str">
        <f>IF(DONNEES_SOURCE!$CA856=TRUE,IFERROR(MATCH(DONNEES_SOURCE!$B856,{"2. Très rarement (Moins d'une fois par mois)","3. Rarement (1 à 3 fois par mois)","4. Parfois (Environ une fois par semaine)","5. Régulièrement (Plusieurs fois par semaine)","6. Quotidiennement (Une fois par jour)","7. Très fréquemment (Plusieurs fois par jour)"},0)+1,""),"")</f>
        <v/>
      </c>
      <c r="R856" t="str">
        <f>IF(DONNEES_SOURCE!$CA856=TRUE,DONNEES_SOURCE!$BW856,"")</f>
        <v/>
      </c>
      <c r="S856" t="str">
        <f>IF(DONNEES_SOURCE!$CA856=TRUE,DONNEES_SOURCE!$AU856,"")</f>
        <v/>
      </c>
      <c r="T856" t="str">
        <f>IF(DONNEES_SOURCE!$CA856=TRUE,DONNEES_SOURCE!$BW856,"")</f>
        <v/>
      </c>
      <c r="U856" t="str">
        <f>IF(DONNEES_SOURCE!$CA856=TRUE,IFERROR(MATCH(DONNEES_SOURCE!$B856,{"2. Très rarement (Moins d'une fois par mois)","3. Rarement (1 à 3 fois par mois)","4. Parfois (Environ une fois par semaine)","5. Régulièrement (Plusieurs fois par semaine)","6. Quotidiennement (Une fois par jour)","7. Très fréquemment (Plusieurs fois par jour)"},0)+1,""),"")</f>
        <v/>
      </c>
    </row>
    <row r="857" spans="16:21" x14ac:dyDescent="0.25">
      <c r="P857" t="str">
        <f>IF(DONNEES_SOURCE!$CA857=TRUE,DONNEES_SOURCE!$BV857,"")</f>
        <v/>
      </c>
      <c r="Q857" t="str">
        <f>IF(DONNEES_SOURCE!$CA857=TRUE,IFERROR(MATCH(DONNEES_SOURCE!$B857,{"2. Très rarement (Moins d'une fois par mois)","3. Rarement (1 à 3 fois par mois)","4. Parfois (Environ une fois par semaine)","5. Régulièrement (Plusieurs fois par semaine)","6. Quotidiennement (Une fois par jour)","7. Très fréquemment (Plusieurs fois par jour)"},0)+1,""),"")</f>
        <v/>
      </c>
      <c r="R857" t="str">
        <f>IF(DONNEES_SOURCE!$CA857=TRUE,DONNEES_SOURCE!$BW857,"")</f>
        <v/>
      </c>
      <c r="S857" t="str">
        <f>IF(DONNEES_SOURCE!$CA857=TRUE,DONNEES_SOURCE!$AU857,"")</f>
        <v/>
      </c>
      <c r="T857" t="str">
        <f>IF(DONNEES_SOURCE!$CA857=TRUE,DONNEES_SOURCE!$BW857,"")</f>
        <v/>
      </c>
      <c r="U857" t="str">
        <f>IF(DONNEES_SOURCE!$CA857=TRUE,IFERROR(MATCH(DONNEES_SOURCE!$B857,{"2. Très rarement (Moins d'une fois par mois)","3. Rarement (1 à 3 fois par mois)","4. Parfois (Environ une fois par semaine)","5. Régulièrement (Plusieurs fois par semaine)","6. Quotidiennement (Une fois par jour)","7. Très fréquemment (Plusieurs fois par jour)"},0)+1,""),"")</f>
        <v/>
      </c>
    </row>
    <row r="858" spans="16:21" x14ac:dyDescent="0.25">
      <c r="P858" t="str">
        <f>IF(DONNEES_SOURCE!$CA858=TRUE,DONNEES_SOURCE!$BV858,"")</f>
        <v/>
      </c>
      <c r="Q858" t="str">
        <f>IF(DONNEES_SOURCE!$CA858=TRUE,IFERROR(MATCH(DONNEES_SOURCE!$B858,{"2. Très rarement (Moins d'une fois par mois)","3. Rarement (1 à 3 fois par mois)","4. Parfois (Environ une fois par semaine)","5. Régulièrement (Plusieurs fois par semaine)","6. Quotidiennement (Une fois par jour)","7. Très fréquemment (Plusieurs fois par jour)"},0)+1,""),"")</f>
        <v/>
      </c>
      <c r="R858" t="str">
        <f>IF(DONNEES_SOURCE!$CA858=TRUE,DONNEES_SOURCE!$BW858,"")</f>
        <v/>
      </c>
      <c r="S858" t="str">
        <f>IF(DONNEES_SOURCE!$CA858=TRUE,DONNEES_SOURCE!$AU858,"")</f>
        <v/>
      </c>
      <c r="T858" t="str">
        <f>IF(DONNEES_SOURCE!$CA858=TRUE,DONNEES_SOURCE!$BW858,"")</f>
        <v/>
      </c>
      <c r="U858" t="str">
        <f>IF(DONNEES_SOURCE!$CA858=TRUE,IFERROR(MATCH(DONNEES_SOURCE!$B858,{"2. Très rarement (Moins d'une fois par mois)","3. Rarement (1 à 3 fois par mois)","4. Parfois (Environ une fois par semaine)","5. Régulièrement (Plusieurs fois par semaine)","6. Quotidiennement (Une fois par jour)","7. Très fréquemment (Plusieurs fois par jour)"},0)+1,""),"")</f>
        <v/>
      </c>
    </row>
    <row r="859" spans="16:21" x14ac:dyDescent="0.25">
      <c r="P859" t="str">
        <f>IF(DONNEES_SOURCE!$CA859=TRUE,DONNEES_SOURCE!$BV859,"")</f>
        <v/>
      </c>
      <c r="Q859" t="str">
        <f>IF(DONNEES_SOURCE!$CA859=TRUE,IFERROR(MATCH(DONNEES_SOURCE!$B859,{"2. Très rarement (Moins d'une fois par mois)","3. Rarement (1 à 3 fois par mois)","4. Parfois (Environ une fois par semaine)","5. Régulièrement (Plusieurs fois par semaine)","6. Quotidiennement (Une fois par jour)","7. Très fréquemment (Plusieurs fois par jour)"},0)+1,""),"")</f>
        <v/>
      </c>
      <c r="R859" t="str">
        <f>IF(DONNEES_SOURCE!$CA859=TRUE,DONNEES_SOURCE!$BW859,"")</f>
        <v/>
      </c>
      <c r="S859" t="str">
        <f>IF(DONNEES_SOURCE!$CA859=TRUE,DONNEES_SOURCE!$AU859,"")</f>
        <v/>
      </c>
      <c r="T859" t="str">
        <f>IF(DONNEES_SOURCE!$CA859=TRUE,DONNEES_SOURCE!$BW859,"")</f>
        <v/>
      </c>
      <c r="U859" t="str">
        <f>IF(DONNEES_SOURCE!$CA859=TRUE,IFERROR(MATCH(DONNEES_SOURCE!$B859,{"2. Très rarement (Moins d'une fois par mois)","3. Rarement (1 à 3 fois par mois)","4. Parfois (Environ une fois par semaine)","5. Régulièrement (Plusieurs fois par semaine)","6. Quotidiennement (Une fois par jour)","7. Très fréquemment (Plusieurs fois par jour)"},0)+1,""),"")</f>
        <v/>
      </c>
    </row>
    <row r="860" spans="16:21" x14ac:dyDescent="0.25">
      <c r="P860" t="str">
        <f>IF(DONNEES_SOURCE!$CA860=TRUE,DONNEES_SOURCE!$BV860,"")</f>
        <v/>
      </c>
      <c r="Q860" t="str">
        <f>IF(DONNEES_SOURCE!$CA860=TRUE,IFERROR(MATCH(DONNEES_SOURCE!$B860,{"2. Très rarement (Moins d'une fois par mois)","3. Rarement (1 à 3 fois par mois)","4. Parfois (Environ une fois par semaine)","5. Régulièrement (Plusieurs fois par semaine)","6. Quotidiennement (Une fois par jour)","7. Très fréquemment (Plusieurs fois par jour)"},0)+1,""),"")</f>
        <v/>
      </c>
      <c r="R860" t="str">
        <f>IF(DONNEES_SOURCE!$CA860=TRUE,DONNEES_SOURCE!$BW860,"")</f>
        <v/>
      </c>
      <c r="S860" t="str">
        <f>IF(DONNEES_SOURCE!$CA860=TRUE,DONNEES_SOURCE!$AU860,"")</f>
        <v/>
      </c>
      <c r="T860" t="str">
        <f>IF(DONNEES_SOURCE!$CA860=TRUE,DONNEES_SOURCE!$BW860,"")</f>
        <v/>
      </c>
      <c r="U860" t="str">
        <f>IF(DONNEES_SOURCE!$CA860=TRUE,IFERROR(MATCH(DONNEES_SOURCE!$B860,{"2. Très rarement (Moins d'une fois par mois)","3. Rarement (1 à 3 fois par mois)","4. Parfois (Environ une fois par semaine)","5. Régulièrement (Plusieurs fois par semaine)","6. Quotidiennement (Une fois par jour)","7. Très fréquemment (Plusieurs fois par jour)"},0)+1,""),"")</f>
        <v/>
      </c>
    </row>
    <row r="861" spans="16:21" x14ac:dyDescent="0.25">
      <c r="P861" t="str">
        <f>IF(DONNEES_SOURCE!$CA861=TRUE,DONNEES_SOURCE!$BV861,"")</f>
        <v/>
      </c>
      <c r="Q861" t="str">
        <f>IF(DONNEES_SOURCE!$CA861=TRUE,IFERROR(MATCH(DONNEES_SOURCE!$B861,{"2. Très rarement (Moins d'une fois par mois)","3. Rarement (1 à 3 fois par mois)","4. Parfois (Environ une fois par semaine)","5. Régulièrement (Plusieurs fois par semaine)","6. Quotidiennement (Une fois par jour)","7. Très fréquemment (Plusieurs fois par jour)"},0)+1,""),"")</f>
        <v/>
      </c>
      <c r="R861" t="str">
        <f>IF(DONNEES_SOURCE!$CA861=TRUE,DONNEES_SOURCE!$BW861,"")</f>
        <v/>
      </c>
      <c r="S861" t="str">
        <f>IF(DONNEES_SOURCE!$CA861=TRUE,DONNEES_SOURCE!$AU861,"")</f>
        <v/>
      </c>
      <c r="T861" t="str">
        <f>IF(DONNEES_SOURCE!$CA861=TRUE,DONNEES_SOURCE!$BW861,"")</f>
        <v/>
      </c>
      <c r="U861" t="str">
        <f>IF(DONNEES_SOURCE!$CA861=TRUE,IFERROR(MATCH(DONNEES_SOURCE!$B861,{"2. Très rarement (Moins d'une fois par mois)","3. Rarement (1 à 3 fois par mois)","4. Parfois (Environ une fois par semaine)","5. Régulièrement (Plusieurs fois par semaine)","6. Quotidiennement (Une fois par jour)","7. Très fréquemment (Plusieurs fois par jour)"},0)+1,""),"")</f>
        <v/>
      </c>
    </row>
    <row r="862" spans="16:21" x14ac:dyDescent="0.25">
      <c r="P862" t="str">
        <f>IF(DONNEES_SOURCE!$CA862=TRUE,DONNEES_SOURCE!$BV862,"")</f>
        <v/>
      </c>
      <c r="Q862" t="str">
        <f>IF(DONNEES_SOURCE!$CA862=TRUE,IFERROR(MATCH(DONNEES_SOURCE!$B862,{"2. Très rarement (Moins d'une fois par mois)","3. Rarement (1 à 3 fois par mois)","4. Parfois (Environ une fois par semaine)","5. Régulièrement (Plusieurs fois par semaine)","6. Quotidiennement (Une fois par jour)","7. Très fréquemment (Plusieurs fois par jour)"},0)+1,""),"")</f>
        <v/>
      </c>
      <c r="R862" t="str">
        <f>IF(DONNEES_SOURCE!$CA862=TRUE,DONNEES_SOURCE!$BW862,"")</f>
        <v/>
      </c>
      <c r="S862" t="str">
        <f>IF(DONNEES_SOURCE!$CA862=TRUE,DONNEES_SOURCE!$AU862,"")</f>
        <v/>
      </c>
      <c r="T862" t="str">
        <f>IF(DONNEES_SOURCE!$CA862=TRUE,DONNEES_SOURCE!$BW862,"")</f>
        <v/>
      </c>
      <c r="U862" t="str">
        <f>IF(DONNEES_SOURCE!$CA862=TRUE,IFERROR(MATCH(DONNEES_SOURCE!$B862,{"2. Très rarement (Moins d'une fois par mois)","3. Rarement (1 à 3 fois par mois)","4. Parfois (Environ une fois par semaine)","5. Régulièrement (Plusieurs fois par semaine)","6. Quotidiennement (Une fois par jour)","7. Très fréquemment (Plusieurs fois par jour)"},0)+1,""),"")</f>
        <v/>
      </c>
    </row>
    <row r="863" spans="16:21" x14ac:dyDescent="0.25">
      <c r="P863" t="str">
        <f>IF(DONNEES_SOURCE!$CA863=TRUE,DONNEES_SOURCE!$BV863,"")</f>
        <v/>
      </c>
      <c r="Q863" t="str">
        <f>IF(DONNEES_SOURCE!$CA863=TRUE,IFERROR(MATCH(DONNEES_SOURCE!$B863,{"2. Très rarement (Moins d'une fois par mois)","3. Rarement (1 à 3 fois par mois)","4. Parfois (Environ une fois par semaine)","5. Régulièrement (Plusieurs fois par semaine)","6. Quotidiennement (Une fois par jour)","7. Très fréquemment (Plusieurs fois par jour)"},0)+1,""),"")</f>
        <v/>
      </c>
      <c r="R863" t="str">
        <f>IF(DONNEES_SOURCE!$CA863=TRUE,DONNEES_SOURCE!$BW863,"")</f>
        <v/>
      </c>
      <c r="S863" t="str">
        <f>IF(DONNEES_SOURCE!$CA863=TRUE,DONNEES_SOURCE!$AU863,"")</f>
        <v/>
      </c>
      <c r="T863" t="str">
        <f>IF(DONNEES_SOURCE!$CA863=TRUE,DONNEES_SOURCE!$BW863,"")</f>
        <v/>
      </c>
      <c r="U863" t="str">
        <f>IF(DONNEES_SOURCE!$CA863=TRUE,IFERROR(MATCH(DONNEES_SOURCE!$B863,{"2. Très rarement (Moins d'une fois par mois)","3. Rarement (1 à 3 fois par mois)","4. Parfois (Environ une fois par semaine)","5. Régulièrement (Plusieurs fois par semaine)","6. Quotidiennement (Une fois par jour)","7. Très fréquemment (Plusieurs fois par jour)"},0)+1,""),"")</f>
        <v/>
      </c>
    </row>
    <row r="864" spans="16:21" x14ac:dyDescent="0.25">
      <c r="P864" t="str">
        <f>IF(DONNEES_SOURCE!$CA864=TRUE,DONNEES_SOURCE!$BV864,"")</f>
        <v/>
      </c>
      <c r="Q864" t="str">
        <f>IF(DONNEES_SOURCE!$CA864=TRUE,IFERROR(MATCH(DONNEES_SOURCE!$B864,{"2. Très rarement (Moins d'une fois par mois)","3. Rarement (1 à 3 fois par mois)","4. Parfois (Environ une fois par semaine)","5. Régulièrement (Plusieurs fois par semaine)","6. Quotidiennement (Une fois par jour)","7. Très fréquemment (Plusieurs fois par jour)"},0)+1,""),"")</f>
        <v/>
      </c>
      <c r="R864" t="str">
        <f>IF(DONNEES_SOURCE!$CA864=TRUE,DONNEES_SOURCE!$BW864,"")</f>
        <v/>
      </c>
      <c r="S864" t="str">
        <f>IF(DONNEES_SOURCE!$CA864=TRUE,DONNEES_SOURCE!$AU864,"")</f>
        <v/>
      </c>
      <c r="T864" t="str">
        <f>IF(DONNEES_SOURCE!$CA864=TRUE,DONNEES_SOURCE!$BW864,"")</f>
        <v/>
      </c>
      <c r="U864" t="str">
        <f>IF(DONNEES_SOURCE!$CA864=TRUE,IFERROR(MATCH(DONNEES_SOURCE!$B864,{"2. Très rarement (Moins d'une fois par mois)","3. Rarement (1 à 3 fois par mois)","4. Parfois (Environ une fois par semaine)","5. Régulièrement (Plusieurs fois par semaine)","6. Quotidiennement (Une fois par jour)","7. Très fréquemment (Plusieurs fois par jour)"},0)+1,""),"")</f>
        <v/>
      </c>
    </row>
    <row r="865" spans="16:21" x14ac:dyDescent="0.25">
      <c r="P865" t="str">
        <f>IF(DONNEES_SOURCE!$CA865=TRUE,DONNEES_SOURCE!$BV865,"")</f>
        <v/>
      </c>
      <c r="Q865" t="str">
        <f>IF(DONNEES_SOURCE!$CA865=TRUE,IFERROR(MATCH(DONNEES_SOURCE!$B865,{"2. Très rarement (Moins d'une fois par mois)","3. Rarement (1 à 3 fois par mois)","4. Parfois (Environ une fois par semaine)","5. Régulièrement (Plusieurs fois par semaine)","6. Quotidiennement (Une fois par jour)","7. Très fréquemment (Plusieurs fois par jour)"},0)+1,""),"")</f>
        <v/>
      </c>
      <c r="R865" t="str">
        <f>IF(DONNEES_SOURCE!$CA865=TRUE,DONNEES_SOURCE!$BW865,"")</f>
        <v/>
      </c>
      <c r="S865" t="str">
        <f>IF(DONNEES_SOURCE!$CA865=TRUE,DONNEES_SOURCE!$AU865,"")</f>
        <v/>
      </c>
      <c r="T865" t="str">
        <f>IF(DONNEES_SOURCE!$CA865=TRUE,DONNEES_SOURCE!$BW865,"")</f>
        <v/>
      </c>
      <c r="U865" t="str">
        <f>IF(DONNEES_SOURCE!$CA865=TRUE,IFERROR(MATCH(DONNEES_SOURCE!$B865,{"2. Très rarement (Moins d'une fois par mois)","3. Rarement (1 à 3 fois par mois)","4. Parfois (Environ une fois par semaine)","5. Régulièrement (Plusieurs fois par semaine)","6. Quotidiennement (Une fois par jour)","7. Très fréquemment (Plusieurs fois par jour)"},0)+1,""),"")</f>
        <v/>
      </c>
    </row>
    <row r="866" spans="16:21" x14ac:dyDescent="0.25">
      <c r="P866" t="str">
        <f>IF(DONNEES_SOURCE!$CA866=TRUE,DONNEES_SOURCE!$BV866,"")</f>
        <v/>
      </c>
      <c r="Q866" t="str">
        <f>IF(DONNEES_SOURCE!$CA866=TRUE,IFERROR(MATCH(DONNEES_SOURCE!$B866,{"2. Très rarement (Moins d'une fois par mois)","3. Rarement (1 à 3 fois par mois)","4. Parfois (Environ une fois par semaine)","5. Régulièrement (Plusieurs fois par semaine)","6. Quotidiennement (Une fois par jour)","7. Très fréquemment (Plusieurs fois par jour)"},0)+1,""),"")</f>
        <v/>
      </c>
      <c r="R866" t="str">
        <f>IF(DONNEES_SOURCE!$CA866=TRUE,DONNEES_SOURCE!$BW866,"")</f>
        <v/>
      </c>
      <c r="S866" t="str">
        <f>IF(DONNEES_SOURCE!$CA866=TRUE,DONNEES_SOURCE!$AU866,"")</f>
        <v/>
      </c>
      <c r="T866" t="str">
        <f>IF(DONNEES_SOURCE!$CA866=TRUE,DONNEES_SOURCE!$BW866,"")</f>
        <v/>
      </c>
      <c r="U866" t="str">
        <f>IF(DONNEES_SOURCE!$CA866=TRUE,IFERROR(MATCH(DONNEES_SOURCE!$B866,{"2. Très rarement (Moins d'une fois par mois)","3. Rarement (1 à 3 fois par mois)","4. Parfois (Environ une fois par semaine)","5. Régulièrement (Plusieurs fois par semaine)","6. Quotidiennement (Une fois par jour)","7. Très fréquemment (Plusieurs fois par jour)"},0)+1,""),"")</f>
        <v/>
      </c>
    </row>
    <row r="867" spans="16:21" x14ac:dyDescent="0.25">
      <c r="P867" t="str">
        <f>IF(DONNEES_SOURCE!$CA867=TRUE,DONNEES_SOURCE!$BV867,"")</f>
        <v/>
      </c>
      <c r="Q867" t="str">
        <f>IF(DONNEES_SOURCE!$CA867=TRUE,IFERROR(MATCH(DONNEES_SOURCE!$B867,{"2. Très rarement (Moins d'une fois par mois)","3. Rarement (1 à 3 fois par mois)","4. Parfois (Environ une fois par semaine)","5. Régulièrement (Plusieurs fois par semaine)","6. Quotidiennement (Une fois par jour)","7. Très fréquemment (Plusieurs fois par jour)"},0)+1,""),"")</f>
        <v/>
      </c>
      <c r="R867" t="str">
        <f>IF(DONNEES_SOURCE!$CA867=TRUE,DONNEES_SOURCE!$BW867,"")</f>
        <v/>
      </c>
      <c r="S867" t="str">
        <f>IF(DONNEES_SOURCE!$CA867=TRUE,DONNEES_SOURCE!$AU867,"")</f>
        <v/>
      </c>
      <c r="T867" t="str">
        <f>IF(DONNEES_SOURCE!$CA867=TRUE,DONNEES_SOURCE!$BW867,"")</f>
        <v/>
      </c>
      <c r="U867" t="str">
        <f>IF(DONNEES_SOURCE!$CA867=TRUE,IFERROR(MATCH(DONNEES_SOURCE!$B867,{"2. Très rarement (Moins d'une fois par mois)","3. Rarement (1 à 3 fois par mois)","4. Parfois (Environ une fois par semaine)","5. Régulièrement (Plusieurs fois par semaine)","6. Quotidiennement (Une fois par jour)","7. Très fréquemment (Plusieurs fois par jour)"},0)+1,""),"")</f>
        <v/>
      </c>
    </row>
    <row r="868" spans="16:21" x14ac:dyDescent="0.25">
      <c r="P868" t="str">
        <f>IF(DONNEES_SOURCE!$CA868=TRUE,DONNEES_SOURCE!$BV868,"")</f>
        <v/>
      </c>
      <c r="Q868" t="str">
        <f>IF(DONNEES_SOURCE!$CA868=TRUE,IFERROR(MATCH(DONNEES_SOURCE!$B868,{"2. Très rarement (Moins d'une fois par mois)","3. Rarement (1 à 3 fois par mois)","4. Parfois (Environ une fois par semaine)","5. Régulièrement (Plusieurs fois par semaine)","6. Quotidiennement (Une fois par jour)","7. Très fréquemment (Plusieurs fois par jour)"},0)+1,""),"")</f>
        <v/>
      </c>
      <c r="R868" t="str">
        <f>IF(DONNEES_SOURCE!$CA868=TRUE,DONNEES_SOURCE!$BW868,"")</f>
        <v/>
      </c>
      <c r="S868" t="str">
        <f>IF(DONNEES_SOURCE!$CA868=TRUE,DONNEES_SOURCE!$AU868,"")</f>
        <v/>
      </c>
      <c r="T868" t="str">
        <f>IF(DONNEES_SOURCE!$CA868=TRUE,DONNEES_SOURCE!$BW868,"")</f>
        <v/>
      </c>
      <c r="U868" t="str">
        <f>IF(DONNEES_SOURCE!$CA868=TRUE,IFERROR(MATCH(DONNEES_SOURCE!$B868,{"2. Très rarement (Moins d'une fois par mois)","3. Rarement (1 à 3 fois par mois)","4. Parfois (Environ une fois par semaine)","5. Régulièrement (Plusieurs fois par semaine)","6. Quotidiennement (Une fois par jour)","7. Très fréquemment (Plusieurs fois par jour)"},0)+1,""),"")</f>
        <v/>
      </c>
    </row>
    <row r="869" spans="16:21" x14ac:dyDescent="0.25">
      <c r="P869" t="str">
        <f>IF(DONNEES_SOURCE!$CA869=TRUE,DONNEES_SOURCE!$BV869,"")</f>
        <v/>
      </c>
      <c r="Q869" t="str">
        <f>IF(DONNEES_SOURCE!$CA869=TRUE,IFERROR(MATCH(DONNEES_SOURCE!$B869,{"2. Très rarement (Moins d'une fois par mois)","3. Rarement (1 à 3 fois par mois)","4. Parfois (Environ une fois par semaine)","5. Régulièrement (Plusieurs fois par semaine)","6. Quotidiennement (Une fois par jour)","7. Très fréquemment (Plusieurs fois par jour)"},0)+1,""),"")</f>
        <v/>
      </c>
      <c r="R869" t="str">
        <f>IF(DONNEES_SOURCE!$CA869=TRUE,DONNEES_SOURCE!$BW869,"")</f>
        <v/>
      </c>
      <c r="S869" t="str">
        <f>IF(DONNEES_SOURCE!$CA869=TRUE,DONNEES_SOURCE!$AU869,"")</f>
        <v/>
      </c>
      <c r="T869" t="str">
        <f>IF(DONNEES_SOURCE!$CA869=TRUE,DONNEES_SOURCE!$BW869,"")</f>
        <v/>
      </c>
      <c r="U869" t="str">
        <f>IF(DONNEES_SOURCE!$CA869=TRUE,IFERROR(MATCH(DONNEES_SOURCE!$B869,{"2. Très rarement (Moins d'une fois par mois)","3. Rarement (1 à 3 fois par mois)","4. Parfois (Environ une fois par semaine)","5. Régulièrement (Plusieurs fois par semaine)","6. Quotidiennement (Une fois par jour)","7. Très fréquemment (Plusieurs fois par jour)"},0)+1,""),"")</f>
        <v/>
      </c>
    </row>
    <row r="870" spans="16:21" x14ac:dyDescent="0.25">
      <c r="P870" t="str">
        <f>IF(DONNEES_SOURCE!$CA870=TRUE,DONNEES_SOURCE!$BV870,"")</f>
        <v/>
      </c>
      <c r="Q870" t="str">
        <f>IF(DONNEES_SOURCE!$CA870=TRUE,IFERROR(MATCH(DONNEES_SOURCE!$B870,{"2. Très rarement (Moins d'une fois par mois)","3. Rarement (1 à 3 fois par mois)","4. Parfois (Environ une fois par semaine)","5. Régulièrement (Plusieurs fois par semaine)","6. Quotidiennement (Une fois par jour)","7. Très fréquemment (Plusieurs fois par jour)"},0)+1,""),"")</f>
        <v/>
      </c>
      <c r="R870" t="str">
        <f>IF(DONNEES_SOURCE!$CA870=TRUE,DONNEES_SOURCE!$BW870,"")</f>
        <v/>
      </c>
      <c r="S870" t="str">
        <f>IF(DONNEES_SOURCE!$CA870=TRUE,DONNEES_SOURCE!$AU870,"")</f>
        <v/>
      </c>
      <c r="T870" t="str">
        <f>IF(DONNEES_SOURCE!$CA870=TRUE,DONNEES_SOURCE!$BW870,"")</f>
        <v/>
      </c>
      <c r="U870" t="str">
        <f>IF(DONNEES_SOURCE!$CA870=TRUE,IFERROR(MATCH(DONNEES_SOURCE!$B870,{"2. Très rarement (Moins d'une fois par mois)","3. Rarement (1 à 3 fois par mois)","4. Parfois (Environ une fois par semaine)","5. Régulièrement (Plusieurs fois par semaine)","6. Quotidiennement (Une fois par jour)","7. Très fréquemment (Plusieurs fois par jour)"},0)+1,""),"")</f>
        <v/>
      </c>
    </row>
    <row r="871" spans="16:21" x14ac:dyDescent="0.25">
      <c r="P871" t="str">
        <f>IF(DONNEES_SOURCE!$CA871=TRUE,DONNEES_SOURCE!$BV871,"")</f>
        <v/>
      </c>
      <c r="Q871" t="str">
        <f>IF(DONNEES_SOURCE!$CA871=TRUE,IFERROR(MATCH(DONNEES_SOURCE!$B871,{"2. Très rarement (Moins d'une fois par mois)","3. Rarement (1 à 3 fois par mois)","4. Parfois (Environ une fois par semaine)","5. Régulièrement (Plusieurs fois par semaine)","6. Quotidiennement (Une fois par jour)","7. Très fréquemment (Plusieurs fois par jour)"},0)+1,""),"")</f>
        <v/>
      </c>
      <c r="R871" t="str">
        <f>IF(DONNEES_SOURCE!$CA871=TRUE,DONNEES_SOURCE!$BW871,"")</f>
        <v/>
      </c>
      <c r="S871" t="str">
        <f>IF(DONNEES_SOURCE!$CA871=TRUE,DONNEES_SOURCE!$AU871,"")</f>
        <v/>
      </c>
      <c r="T871" t="str">
        <f>IF(DONNEES_SOURCE!$CA871=TRUE,DONNEES_SOURCE!$BW871,"")</f>
        <v/>
      </c>
      <c r="U871" t="str">
        <f>IF(DONNEES_SOURCE!$CA871=TRUE,IFERROR(MATCH(DONNEES_SOURCE!$B871,{"2. Très rarement (Moins d'une fois par mois)","3. Rarement (1 à 3 fois par mois)","4. Parfois (Environ une fois par semaine)","5. Régulièrement (Plusieurs fois par semaine)","6. Quotidiennement (Une fois par jour)","7. Très fréquemment (Plusieurs fois par jour)"},0)+1,""),"")</f>
        <v/>
      </c>
    </row>
    <row r="872" spans="16:21" x14ac:dyDescent="0.25">
      <c r="P872" t="str">
        <f>IF(DONNEES_SOURCE!$CA872=TRUE,DONNEES_SOURCE!$BV872,"")</f>
        <v/>
      </c>
      <c r="Q872" t="str">
        <f>IF(DONNEES_SOURCE!$CA872=TRUE,IFERROR(MATCH(DONNEES_SOURCE!$B872,{"2. Très rarement (Moins d'une fois par mois)","3. Rarement (1 à 3 fois par mois)","4. Parfois (Environ une fois par semaine)","5. Régulièrement (Plusieurs fois par semaine)","6. Quotidiennement (Une fois par jour)","7. Très fréquemment (Plusieurs fois par jour)"},0)+1,""),"")</f>
        <v/>
      </c>
      <c r="R872" t="str">
        <f>IF(DONNEES_SOURCE!$CA872=TRUE,DONNEES_SOURCE!$BW872,"")</f>
        <v/>
      </c>
      <c r="S872" t="str">
        <f>IF(DONNEES_SOURCE!$CA872=TRUE,DONNEES_SOURCE!$AU872,"")</f>
        <v/>
      </c>
      <c r="T872" t="str">
        <f>IF(DONNEES_SOURCE!$CA872=TRUE,DONNEES_SOURCE!$BW872,"")</f>
        <v/>
      </c>
      <c r="U872" t="str">
        <f>IF(DONNEES_SOURCE!$CA872=TRUE,IFERROR(MATCH(DONNEES_SOURCE!$B872,{"2. Très rarement (Moins d'une fois par mois)","3. Rarement (1 à 3 fois par mois)","4. Parfois (Environ une fois par semaine)","5. Régulièrement (Plusieurs fois par semaine)","6. Quotidiennement (Une fois par jour)","7. Très fréquemment (Plusieurs fois par jour)"},0)+1,""),"")</f>
        <v/>
      </c>
    </row>
    <row r="873" spans="16:21" x14ac:dyDescent="0.25">
      <c r="P873" t="str">
        <f>IF(DONNEES_SOURCE!$CA873=TRUE,DONNEES_SOURCE!$BV873,"")</f>
        <v/>
      </c>
      <c r="Q873" t="str">
        <f>IF(DONNEES_SOURCE!$CA873=TRUE,IFERROR(MATCH(DONNEES_SOURCE!$B873,{"2. Très rarement (Moins d'une fois par mois)","3. Rarement (1 à 3 fois par mois)","4. Parfois (Environ une fois par semaine)","5. Régulièrement (Plusieurs fois par semaine)","6. Quotidiennement (Une fois par jour)","7. Très fréquemment (Plusieurs fois par jour)"},0)+1,""),"")</f>
        <v/>
      </c>
      <c r="R873" t="str">
        <f>IF(DONNEES_SOURCE!$CA873=TRUE,DONNEES_SOURCE!$BW873,"")</f>
        <v/>
      </c>
      <c r="S873" t="str">
        <f>IF(DONNEES_SOURCE!$CA873=TRUE,DONNEES_SOURCE!$AU873,"")</f>
        <v/>
      </c>
      <c r="T873" t="str">
        <f>IF(DONNEES_SOURCE!$CA873=TRUE,DONNEES_SOURCE!$BW873,"")</f>
        <v/>
      </c>
      <c r="U873" t="str">
        <f>IF(DONNEES_SOURCE!$CA873=TRUE,IFERROR(MATCH(DONNEES_SOURCE!$B873,{"2. Très rarement (Moins d'une fois par mois)","3. Rarement (1 à 3 fois par mois)","4. Parfois (Environ une fois par semaine)","5. Régulièrement (Plusieurs fois par semaine)","6. Quotidiennement (Une fois par jour)","7. Très fréquemment (Plusieurs fois par jour)"},0)+1,""),"")</f>
        <v/>
      </c>
    </row>
    <row r="874" spans="16:21" x14ac:dyDescent="0.25">
      <c r="P874" t="str">
        <f>IF(DONNEES_SOURCE!$CA874=TRUE,DONNEES_SOURCE!$BV874,"")</f>
        <v/>
      </c>
      <c r="Q874" t="str">
        <f>IF(DONNEES_SOURCE!$CA874=TRUE,IFERROR(MATCH(DONNEES_SOURCE!$B874,{"2. Très rarement (Moins d'une fois par mois)","3. Rarement (1 à 3 fois par mois)","4. Parfois (Environ une fois par semaine)","5. Régulièrement (Plusieurs fois par semaine)","6. Quotidiennement (Une fois par jour)","7. Très fréquemment (Plusieurs fois par jour)"},0)+1,""),"")</f>
        <v/>
      </c>
      <c r="R874" t="str">
        <f>IF(DONNEES_SOURCE!$CA874=TRUE,DONNEES_SOURCE!$BW874,"")</f>
        <v/>
      </c>
      <c r="S874" t="str">
        <f>IF(DONNEES_SOURCE!$CA874=TRUE,DONNEES_SOURCE!$AU874,"")</f>
        <v/>
      </c>
      <c r="T874" t="str">
        <f>IF(DONNEES_SOURCE!$CA874=TRUE,DONNEES_SOURCE!$BW874,"")</f>
        <v/>
      </c>
      <c r="U874" t="str">
        <f>IF(DONNEES_SOURCE!$CA874=TRUE,IFERROR(MATCH(DONNEES_SOURCE!$B874,{"2. Très rarement (Moins d'une fois par mois)","3. Rarement (1 à 3 fois par mois)","4. Parfois (Environ une fois par semaine)","5. Régulièrement (Plusieurs fois par semaine)","6. Quotidiennement (Une fois par jour)","7. Très fréquemment (Plusieurs fois par jour)"},0)+1,""),"")</f>
        <v/>
      </c>
    </row>
    <row r="875" spans="16:21" x14ac:dyDescent="0.25">
      <c r="P875" t="str">
        <f>IF(DONNEES_SOURCE!$CA875=TRUE,DONNEES_SOURCE!$BV875,"")</f>
        <v/>
      </c>
      <c r="Q875" t="str">
        <f>IF(DONNEES_SOURCE!$CA875=TRUE,IFERROR(MATCH(DONNEES_SOURCE!$B875,{"2. Très rarement (Moins d'une fois par mois)","3. Rarement (1 à 3 fois par mois)","4. Parfois (Environ une fois par semaine)","5. Régulièrement (Plusieurs fois par semaine)","6. Quotidiennement (Une fois par jour)","7. Très fréquemment (Plusieurs fois par jour)"},0)+1,""),"")</f>
        <v/>
      </c>
      <c r="R875" t="str">
        <f>IF(DONNEES_SOURCE!$CA875=TRUE,DONNEES_SOURCE!$BW875,"")</f>
        <v/>
      </c>
      <c r="S875" t="str">
        <f>IF(DONNEES_SOURCE!$CA875=TRUE,DONNEES_SOURCE!$AU875,"")</f>
        <v/>
      </c>
      <c r="T875" t="str">
        <f>IF(DONNEES_SOURCE!$CA875=TRUE,DONNEES_SOURCE!$BW875,"")</f>
        <v/>
      </c>
      <c r="U875" t="str">
        <f>IF(DONNEES_SOURCE!$CA875=TRUE,IFERROR(MATCH(DONNEES_SOURCE!$B875,{"2. Très rarement (Moins d'une fois par mois)","3. Rarement (1 à 3 fois par mois)","4. Parfois (Environ une fois par semaine)","5. Régulièrement (Plusieurs fois par semaine)","6. Quotidiennement (Une fois par jour)","7. Très fréquemment (Plusieurs fois par jour)"},0)+1,""),"")</f>
        <v/>
      </c>
    </row>
    <row r="876" spans="16:21" x14ac:dyDescent="0.25">
      <c r="P876" t="str">
        <f>IF(DONNEES_SOURCE!$CA876=TRUE,DONNEES_SOURCE!$BV876,"")</f>
        <v/>
      </c>
      <c r="Q876" t="str">
        <f>IF(DONNEES_SOURCE!$CA876=TRUE,IFERROR(MATCH(DONNEES_SOURCE!$B876,{"2. Très rarement (Moins d'une fois par mois)","3. Rarement (1 à 3 fois par mois)","4. Parfois (Environ une fois par semaine)","5. Régulièrement (Plusieurs fois par semaine)","6. Quotidiennement (Une fois par jour)","7. Très fréquemment (Plusieurs fois par jour)"},0)+1,""),"")</f>
        <v/>
      </c>
      <c r="R876" t="str">
        <f>IF(DONNEES_SOURCE!$CA876=TRUE,DONNEES_SOURCE!$BW876,"")</f>
        <v/>
      </c>
      <c r="S876" t="str">
        <f>IF(DONNEES_SOURCE!$CA876=TRUE,DONNEES_SOURCE!$AU876,"")</f>
        <v/>
      </c>
      <c r="T876" t="str">
        <f>IF(DONNEES_SOURCE!$CA876=TRUE,DONNEES_SOURCE!$BW876,"")</f>
        <v/>
      </c>
      <c r="U876" t="str">
        <f>IF(DONNEES_SOURCE!$CA876=TRUE,IFERROR(MATCH(DONNEES_SOURCE!$B876,{"2. Très rarement (Moins d'une fois par mois)","3. Rarement (1 à 3 fois par mois)","4. Parfois (Environ une fois par semaine)","5. Régulièrement (Plusieurs fois par semaine)","6. Quotidiennement (Une fois par jour)","7. Très fréquemment (Plusieurs fois par jour)"},0)+1,""),"")</f>
        <v/>
      </c>
    </row>
    <row r="877" spans="16:21" x14ac:dyDescent="0.25">
      <c r="P877" t="str">
        <f>IF(DONNEES_SOURCE!$CA877=TRUE,DONNEES_SOURCE!$BV877,"")</f>
        <v/>
      </c>
      <c r="Q877" t="str">
        <f>IF(DONNEES_SOURCE!$CA877=TRUE,IFERROR(MATCH(DONNEES_SOURCE!$B877,{"2. Très rarement (Moins d'une fois par mois)","3. Rarement (1 à 3 fois par mois)","4. Parfois (Environ une fois par semaine)","5. Régulièrement (Plusieurs fois par semaine)","6. Quotidiennement (Une fois par jour)","7. Très fréquemment (Plusieurs fois par jour)"},0)+1,""),"")</f>
        <v/>
      </c>
      <c r="R877" t="str">
        <f>IF(DONNEES_SOURCE!$CA877=TRUE,DONNEES_SOURCE!$BW877,"")</f>
        <v/>
      </c>
      <c r="S877" t="str">
        <f>IF(DONNEES_SOURCE!$CA877=TRUE,DONNEES_SOURCE!$AU877,"")</f>
        <v/>
      </c>
      <c r="T877" t="str">
        <f>IF(DONNEES_SOURCE!$CA877=TRUE,DONNEES_SOURCE!$BW877,"")</f>
        <v/>
      </c>
      <c r="U877" t="str">
        <f>IF(DONNEES_SOURCE!$CA877=TRUE,IFERROR(MATCH(DONNEES_SOURCE!$B877,{"2. Très rarement (Moins d'une fois par mois)","3. Rarement (1 à 3 fois par mois)","4. Parfois (Environ une fois par semaine)","5. Régulièrement (Plusieurs fois par semaine)","6. Quotidiennement (Une fois par jour)","7. Très fréquemment (Plusieurs fois par jour)"},0)+1,""),"")</f>
        <v/>
      </c>
    </row>
    <row r="878" spans="16:21" x14ac:dyDescent="0.25">
      <c r="P878" t="str">
        <f>IF(DONNEES_SOURCE!$CA878=TRUE,DONNEES_SOURCE!$BV878,"")</f>
        <v/>
      </c>
      <c r="Q878" t="str">
        <f>IF(DONNEES_SOURCE!$CA878=TRUE,IFERROR(MATCH(DONNEES_SOURCE!$B878,{"2. Très rarement (Moins d'une fois par mois)","3. Rarement (1 à 3 fois par mois)","4. Parfois (Environ une fois par semaine)","5. Régulièrement (Plusieurs fois par semaine)","6. Quotidiennement (Une fois par jour)","7. Très fréquemment (Plusieurs fois par jour)"},0)+1,""),"")</f>
        <v/>
      </c>
      <c r="R878" t="str">
        <f>IF(DONNEES_SOURCE!$CA878=TRUE,DONNEES_SOURCE!$BW878,"")</f>
        <v/>
      </c>
      <c r="S878" t="str">
        <f>IF(DONNEES_SOURCE!$CA878=TRUE,DONNEES_SOURCE!$AU878,"")</f>
        <v/>
      </c>
      <c r="T878" t="str">
        <f>IF(DONNEES_SOURCE!$CA878=TRUE,DONNEES_SOURCE!$BW878,"")</f>
        <v/>
      </c>
      <c r="U878" t="str">
        <f>IF(DONNEES_SOURCE!$CA878=TRUE,IFERROR(MATCH(DONNEES_SOURCE!$B878,{"2. Très rarement (Moins d'une fois par mois)","3. Rarement (1 à 3 fois par mois)","4. Parfois (Environ une fois par semaine)","5. Régulièrement (Plusieurs fois par semaine)","6. Quotidiennement (Une fois par jour)","7. Très fréquemment (Plusieurs fois par jour)"},0)+1,""),"")</f>
        <v/>
      </c>
    </row>
    <row r="879" spans="16:21" x14ac:dyDescent="0.25">
      <c r="P879" t="str">
        <f>IF(DONNEES_SOURCE!$CA879=TRUE,DONNEES_SOURCE!$BV879,"")</f>
        <v/>
      </c>
      <c r="Q879" t="str">
        <f>IF(DONNEES_SOURCE!$CA879=TRUE,IFERROR(MATCH(DONNEES_SOURCE!$B879,{"2. Très rarement (Moins d'une fois par mois)","3. Rarement (1 à 3 fois par mois)","4. Parfois (Environ une fois par semaine)","5. Régulièrement (Plusieurs fois par semaine)","6. Quotidiennement (Une fois par jour)","7. Très fréquemment (Plusieurs fois par jour)"},0)+1,""),"")</f>
        <v/>
      </c>
      <c r="R879" t="str">
        <f>IF(DONNEES_SOURCE!$CA879=TRUE,DONNEES_SOURCE!$BW879,"")</f>
        <v/>
      </c>
      <c r="S879" t="str">
        <f>IF(DONNEES_SOURCE!$CA879=TRUE,DONNEES_SOURCE!$AU879,"")</f>
        <v/>
      </c>
      <c r="T879" t="str">
        <f>IF(DONNEES_SOURCE!$CA879=TRUE,DONNEES_SOURCE!$BW879,"")</f>
        <v/>
      </c>
      <c r="U879" t="str">
        <f>IF(DONNEES_SOURCE!$CA879=TRUE,IFERROR(MATCH(DONNEES_SOURCE!$B879,{"2. Très rarement (Moins d'une fois par mois)","3. Rarement (1 à 3 fois par mois)","4. Parfois (Environ une fois par semaine)","5. Régulièrement (Plusieurs fois par semaine)","6. Quotidiennement (Une fois par jour)","7. Très fréquemment (Plusieurs fois par jour)"},0)+1,""),"")</f>
        <v/>
      </c>
    </row>
    <row r="880" spans="16:21" x14ac:dyDescent="0.25">
      <c r="P880" t="str">
        <f>IF(DONNEES_SOURCE!$CA880=TRUE,DONNEES_SOURCE!$BV880,"")</f>
        <v/>
      </c>
      <c r="Q880" t="str">
        <f>IF(DONNEES_SOURCE!$CA880=TRUE,IFERROR(MATCH(DONNEES_SOURCE!$B880,{"2. Très rarement (Moins d'une fois par mois)","3. Rarement (1 à 3 fois par mois)","4. Parfois (Environ une fois par semaine)","5. Régulièrement (Plusieurs fois par semaine)","6. Quotidiennement (Une fois par jour)","7. Très fréquemment (Plusieurs fois par jour)"},0)+1,""),"")</f>
        <v/>
      </c>
      <c r="R880" t="str">
        <f>IF(DONNEES_SOURCE!$CA880=TRUE,DONNEES_SOURCE!$BW880,"")</f>
        <v/>
      </c>
      <c r="S880" t="str">
        <f>IF(DONNEES_SOURCE!$CA880=TRUE,DONNEES_SOURCE!$AU880,"")</f>
        <v/>
      </c>
      <c r="T880" t="str">
        <f>IF(DONNEES_SOURCE!$CA880=TRUE,DONNEES_SOURCE!$BW880,"")</f>
        <v/>
      </c>
      <c r="U880" t="str">
        <f>IF(DONNEES_SOURCE!$CA880=TRUE,IFERROR(MATCH(DONNEES_SOURCE!$B880,{"2. Très rarement (Moins d'une fois par mois)","3. Rarement (1 à 3 fois par mois)","4. Parfois (Environ une fois par semaine)","5. Régulièrement (Plusieurs fois par semaine)","6. Quotidiennement (Une fois par jour)","7. Très fréquemment (Plusieurs fois par jour)"},0)+1,""),"")</f>
        <v/>
      </c>
    </row>
    <row r="881" spans="16:21" x14ac:dyDescent="0.25">
      <c r="P881" t="str">
        <f>IF(DONNEES_SOURCE!$CA881=TRUE,DONNEES_SOURCE!$BV881,"")</f>
        <v/>
      </c>
      <c r="Q881" t="str">
        <f>IF(DONNEES_SOURCE!$CA881=TRUE,IFERROR(MATCH(DONNEES_SOURCE!$B881,{"2. Très rarement (Moins d'une fois par mois)","3. Rarement (1 à 3 fois par mois)","4. Parfois (Environ une fois par semaine)","5. Régulièrement (Plusieurs fois par semaine)","6. Quotidiennement (Une fois par jour)","7. Très fréquemment (Plusieurs fois par jour)"},0)+1,""),"")</f>
        <v/>
      </c>
      <c r="R881" t="str">
        <f>IF(DONNEES_SOURCE!$CA881=TRUE,DONNEES_SOURCE!$BW881,"")</f>
        <v/>
      </c>
      <c r="S881" t="str">
        <f>IF(DONNEES_SOURCE!$CA881=TRUE,DONNEES_SOURCE!$AU881,"")</f>
        <v/>
      </c>
      <c r="T881" t="str">
        <f>IF(DONNEES_SOURCE!$CA881=TRUE,DONNEES_SOURCE!$BW881,"")</f>
        <v/>
      </c>
      <c r="U881" t="str">
        <f>IF(DONNEES_SOURCE!$CA881=TRUE,IFERROR(MATCH(DONNEES_SOURCE!$B881,{"2. Très rarement (Moins d'une fois par mois)","3. Rarement (1 à 3 fois par mois)","4. Parfois (Environ une fois par semaine)","5. Régulièrement (Plusieurs fois par semaine)","6. Quotidiennement (Une fois par jour)","7. Très fréquemment (Plusieurs fois par jour)"},0)+1,""),"")</f>
        <v/>
      </c>
    </row>
    <row r="882" spans="16:21" x14ac:dyDescent="0.25">
      <c r="P882" t="str">
        <f>IF(DONNEES_SOURCE!$CA882=TRUE,DONNEES_SOURCE!$BV882,"")</f>
        <v/>
      </c>
      <c r="Q882" t="str">
        <f>IF(DONNEES_SOURCE!$CA882=TRUE,IFERROR(MATCH(DONNEES_SOURCE!$B882,{"2. Très rarement (Moins d'une fois par mois)","3. Rarement (1 à 3 fois par mois)","4. Parfois (Environ une fois par semaine)","5. Régulièrement (Plusieurs fois par semaine)","6. Quotidiennement (Une fois par jour)","7. Très fréquemment (Plusieurs fois par jour)"},0)+1,""),"")</f>
        <v/>
      </c>
      <c r="R882" t="str">
        <f>IF(DONNEES_SOURCE!$CA882=TRUE,DONNEES_SOURCE!$BW882,"")</f>
        <v/>
      </c>
      <c r="S882" t="str">
        <f>IF(DONNEES_SOURCE!$CA882=TRUE,DONNEES_SOURCE!$AU882,"")</f>
        <v/>
      </c>
      <c r="T882" t="str">
        <f>IF(DONNEES_SOURCE!$CA882=TRUE,DONNEES_SOURCE!$BW882,"")</f>
        <v/>
      </c>
      <c r="U882" t="str">
        <f>IF(DONNEES_SOURCE!$CA882=TRUE,IFERROR(MATCH(DONNEES_SOURCE!$B882,{"2. Très rarement (Moins d'une fois par mois)","3. Rarement (1 à 3 fois par mois)","4. Parfois (Environ une fois par semaine)","5. Régulièrement (Plusieurs fois par semaine)","6. Quotidiennement (Une fois par jour)","7. Très fréquemment (Plusieurs fois par jour)"},0)+1,""),"")</f>
        <v/>
      </c>
    </row>
    <row r="883" spans="16:21" x14ac:dyDescent="0.25">
      <c r="P883" t="str">
        <f>IF(DONNEES_SOURCE!$CA883=TRUE,DONNEES_SOURCE!$BV883,"")</f>
        <v/>
      </c>
      <c r="Q883" t="str">
        <f>IF(DONNEES_SOURCE!$CA883=TRUE,IFERROR(MATCH(DONNEES_SOURCE!$B883,{"2. Très rarement (Moins d'une fois par mois)","3. Rarement (1 à 3 fois par mois)","4. Parfois (Environ une fois par semaine)","5. Régulièrement (Plusieurs fois par semaine)","6. Quotidiennement (Une fois par jour)","7. Très fréquemment (Plusieurs fois par jour)"},0)+1,""),"")</f>
        <v/>
      </c>
      <c r="R883" t="str">
        <f>IF(DONNEES_SOURCE!$CA883=TRUE,DONNEES_SOURCE!$BW883,"")</f>
        <v/>
      </c>
      <c r="S883" t="str">
        <f>IF(DONNEES_SOURCE!$CA883=TRUE,DONNEES_SOURCE!$AU883,"")</f>
        <v/>
      </c>
      <c r="T883" t="str">
        <f>IF(DONNEES_SOURCE!$CA883=TRUE,DONNEES_SOURCE!$BW883,"")</f>
        <v/>
      </c>
      <c r="U883" t="str">
        <f>IF(DONNEES_SOURCE!$CA883=TRUE,IFERROR(MATCH(DONNEES_SOURCE!$B883,{"2. Très rarement (Moins d'une fois par mois)","3. Rarement (1 à 3 fois par mois)","4. Parfois (Environ une fois par semaine)","5. Régulièrement (Plusieurs fois par semaine)","6. Quotidiennement (Une fois par jour)","7. Très fréquemment (Plusieurs fois par jour)"},0)+1,""),"")</f>
        <v/>
      </c>
    </row>
    <row r="884" spans="16:21" x14ac:dyDescent="0.25">
      <c r="P884" t="str">
        <f>IF(DONNEES_SOURCE!$CA884=TRUE,DONNEES_SOURCE!$BV884,"")</f>
        <v/>
      </c>
      <c r="Q884" t="str">
        <f>IF(DONNEES_SOURCE!$CA884=TRUE,IFERROR(MATCH(DONNEES_SOURCE!$B884,{"2. Très rarement (Moins d'une fois par mois)","3. Rarement (1 à 3 fois par mois)","4. Parfois (Environ une fois par semaine)","5. Régulièrement (Plusieurs fois par semaine)","6. Quotidiennement (Une fois par jour)","7. Très fréquemment (Plusieurs fois par jour)"},0)+1,""),"")</f>
        <v/>
      </c>
      <c r="R884" t="str">
        <f>IF(DONNEES_SOURCE!$CA884=TRUE,DONNEES_SOURCE!$BW884,"")</f>
        <v/>
      </c>
      <c r="S884" t="str">
        <f>IF(DONNEES_SOURCE!$CA884=TRUE,DONNEES_SOURCE!$AU884,"")</f>
        <v/>
      </c>
      <c r="T884" t="str">
        <f>IF(DONNEES_SOURCE!$CA884=TRUE,DONNEES_SOURCE!$BW884,"")</f>
        <v/>
      </c>
      <c r="U884" t="str">
        <f>IF(DONNEES_SOURCE!$CA884=TRUE,IFERROR(MATCH(DONNEES_SOURCE!$B884,{"2. Très rarement (Moins d'une fois par mois)","3. Rarement (1 à 3 fois par mois)","4. Parfois (Environ une fois par semaine)","5. Régulièrement (Plusieurs fois par semaine)","6. Quotidiennement (Une fois par jour)","7. Très fréquemment (Plusieurs fois par jour)"},0)+1,""),"")</f>
        <v/>
      </c>
    </row>
    <row r="885" spans="16:21" x14ac:dyDescent="0.25">
      <c r="P885" t="str">
        <f>IF(DONNEES_SOURCE!$CA885=TRUE,DONNEES_SOURCE!$BV885,"")</f>
        <v/>
      </c>
      <c r="Q885" t="str">
        <f>IF(DONNEES_SOURCE!$CA885=TRUE,IFERROR(MATCH(DONNEES_SOURCE!$B885,{"2. Très rarement (Moins d'une fois par mois)","3. Rarement (1 à 3 fois par mois)","4. Parfois (Environ une fois par semaine)","5. Régulièrement (Plusieurs fois par semaine)","6. Quotidiennement (Une fois par jour)","7. Très fréquemment (Plusieurs fois par jour)"},0)+1,""),"")</f>
        <v/>
      </c>
      <c r="R885" t="str">
        <f>IF(DONNEES_SOURCE!$CA885=TRUE,DONNEES_SOURCE!$BW885,"")</f>
        <v/>
      </c>
      <c r="S885" t="str">
        <f>IF(DONNEES_SOURCE!$CA885=TRUE,DONNEES_SOURCE!$AU885,"")</f>
        <v/>
      </c>
      <c r="T885" t="str">
        <f>IF(DONNEES_SOURCE!$CA885=TRUE,DONNEES_SOURCE!$BW885,"")</f>
        <v/>
      </c>
      <c r="U885" t="str">
        <f>IF(DONNEES_SOURCE!$CA885=TRUE,IFERROR(MATCH(DONNEES_SOURCE!$B885,{"2. Très rarement (Moins d'une fois par mois)","3. Rarement (1 à 3 fois par mois)","4. Parfois (Environ une fois par semaine)","5. Régulièrement (Plusieurs fois par semaine)","6. Quotidiennement (Une fois par jour)","7. Très fréquemment (Plusieurs fois par jour)"},0)+1,""),"")</f>
        <v/>
      </c>
    </row>
    <row r="886" spans="16:21" x14ac:dyDescent="0.25">
      <c r="P886" t="str">
        <f>IF(DONNEES_SOURCE!$CA886=TRUE,DONNEES_SOURCE!$BV886,"")</f>
        <v/>
      </c>
      <c r="Q886" t="str">
        <f>IF(DONNEES_SOURCE!$CA886=TRUE,IFERROR(MATCH(DONNEES_SOURCE!$B886,{"2. Très rarement (Moins d'une fois par mois)","3. Rarement (1 à 3 fois par mois)","4. Parfois (Environ une fois par semaine)","5. Régulièrement (Plusieurs fois par semaine)","6. Quotidiennement (Une fois par jour)","7. Très fréquemment (Plusieurs fois par jour)"},0)+1,""),"")</f>
        <v/>
      </c>
      <c r="R886" t="str">
        <f>IF(DONNEES_SOURCE!$CA886=TRUE,DONNEES_SOURCE!$BW886,"")</f>
        <v/>
      </c>
      <c r="S886" t="str">
        <f>IF(DONNEES_SOURCE!$CA886=TRUE,DONNEES_SOURCE!$AU886,"")</f>
        <v/>
      </c>
      <c r="T886" t="str">
        <f>IF(DONNEES_SOURCE!$CA886=TRUE,DONNEES_SOURCE!$BW886,"")</f>
        <v/>
      </c>
      <c r="U886" t="str">
        <f>IF(DONNEES_SOURCE!$CA886=TRUE,IFERROR(MATCH(DONNEES_SOURCE!$B886,{"2. Très rarement (Moins d'une fois par mois)","3. Rarement (1 à 3 fois par mois)","4. Parfois (Environ une fois par semaine)","5. Régulièrement (Plusieurs fois par semaine)","6. Quotidiennement (Une fois par jour)","7. Très fréquemment (Plusieurs fois par jour)"},0)+1,""),"")</f>
        <v/>
      </c>
    </row>
    <row r="887" spans="16:21" x14ac:dyDescent="0.25">
      <c r="P887" t="str">
        <f>IF(DONNEES_SOURCE!$CA887=TRUE,DONNEES_SOURCE!$BV887,"")</f>
        <v/>
      </c>
      <c r="Q887" t="str">
        <f>IF(DONNEES_SOURCE!$CA887=TRUE,IFERROR(MATCH(DONNEES_SOURCE!$B887,{"2. Très rarement (Moins d'une fois par mois)","3. Rarement (1 à 3 fois par mois)","4. Parfois (Environ une fois par semaine)","5. Régulièrement (Plusieurs fois par semaine)","6. Quotidiennement (Une fois par jour)","7. Très fréquemment (Plusieurs fois par jour)"},0)+1,""),"")</f>
        <v/>
      </c>
      <c r="R887" t="str">
        <f>IF(DONNEES_SOURCE!$CA887=TRUE,DONNEES_SOURCE!$BW887,"")</f>
        <v/>
      </c>
      <c r="S887" t="str">
        <f>IF(DONNEES_SOURCE!$CA887=TRUE,DONNEES_SOURCE!$AU887,"")</f>
        <v/>
      </c>
      <c r="T887" t="str">
        <f>IF(DONNEES_SOURCE!$CA887=TRUE,DONNEES_SOURCE!$BW887,"")</f>
        <v/>
      </c>
      <c r="U887" t="str">
        <f>IF(DONNEES_SOURCE!$CA887=TRUE,IFERROR(MATCH(DONNEES_SOURCE!$B887,{"2. Très rarement (Moins d'une fois par mois)","3. Rarement (1 à 3 fois par mois)","4. Parfois (Environ une fois par semaine)","5. Régulièrement (Plusieurs fois par semaine)","6. Quotidiennement (Une fois par jour)","7. Très fréquemment (Plusieurs fois par jour)"},0)+1,""),"")</f>
        <v/>
      </c>
    </row>
    <row r="888" spans="16:21" x14ac:dyDescent="0.25">
      <c r="P888" t="str">
        <f>IF(DONNEES_SOURCE!$CA888=TRUE,DONNEES_SOURCE!$BV888,"")</f>
        <v/>
      </c>
      <c r="Q888" t="str">
        <f>IF(DONNEES_SOURCE!$CA888=TRUE,IFERROR(MATCH(DONNEES_SOURCE!$B888,{"2. Très rarement (Moins d'une fois par mois)","3. Rarement (1 à 3 fois par mois)","4. Parfois (Environ une fois par semaine)","5. Régulièrement (Plusieurs fois par semaine)","6. Quotidiennement (Une fois par jour)","7. Très fréquemment (Plusieurs fois par jour)"},0)+1,""),"")</f>
        <v/>
      </c>
      <c r="R888" t="str">
        <f>IF(DONNEES_SOURCE!$CA888=TRUE,DONNEES_SOURCE!$BW888,"")</f>
        <v/>
      </c>
      <c r="S888" t="str">
        <f>IF(DONNEES_SOURCE!$CA888=TRUE,DONNEES_SOURCE!$AU888,"")</f>
        <v/>
      </c>
      <c r="T888" t="str">
        <f>IF(DONNEES_SOURCE!$CA888=TRUE,DONNEES_SOURCE!$BW888,"")</f>
        <v/>
      </c>
      <c r="U888" t="str">
        <f>IF(DONNEES_SOURCE!$CA888=TRUE,IFERROR(MATCH(DONNEES_SOURCE!$B888,{"2. Très rarement (Moins d'une fois par mois)","3. Rarement (1 à 3 fois par mois)","4. Parfois (Environ une fois par semaine)","5. Régulièrement (Plusieurs fois par semaine)","6. Quotidiennement (Une fois par jour)","7. Très fréquemment (Plusieurs fois par jour)"},0)+1,""),"")</f>
        <v/>
      </c>
    </row>
    <row r="889" spans="16:21" x14ac:dyDescent="0.25">
      <c r="P889" t="str">
        <f>IF(DONNEES_SOURCE!$CA889=TRUE,DONNEES_SOURCE!$BV889,"")</f>
        <v/>
      </c>
      <c r="Q889" t="str">
        <f>IF(DONNEES_SOURCE!$CA889=TRUE,IFERROR(MATCH(DONNEES_SOURCE!$B889,{"2. Très rarement (Moins d'une fois par mois)","3. Rarement (1 à 3 fois par mois)","4. Parfois (Environ une fois par semaine)","5. Régulièrement (Plusieurs fois par semaine)","6. Quotidiennement (Une fois par jour)","7. Très fréquemment (Plusieurs fois par jour)"},0)+1,""),"")</f>
        <v/>
      </c>
      <c r="R889" t="str">
        <f>IF(DONNEES_SOURCE!$CA889=TRUE,DONNEES_SOURCE!$BW889,"")</f>
        <v/>
      </c>
      <c r="S889" t="str">
        <f>IF(DONNEES_SOURCE!$CA889=TRUE,DONNEES_SOURCE!$AU889,"")</f>
        <v/>
      </c>
      <c r="T889" t="str">
        <f>IF(DONNEES_SOURCE!$CA889=TRUE,DONNEES_SOURCE!$BW889,"")</f>
        <v/>
      </c>
      <c r="U889" t="str">
        <f>IF(DONNEES_SOURCE!$CA889=TRUE,IFERROR(MATCH(DONNEES_SOURCE!$B889,{"2. Très rarement (Moins d'une fois par mois)","3. Rarement (1 à 3 fois par mois)","4. Parfois (Environ une fois par semaine)","5. Régulièrement (Plusieurs fois par semaine)","6. Quotidiennement (Une fois par jour)","7. Très fréquemment (Plusieurs fois par jour)"},0)+1,""),"")</f>
        <v/>
      </c>
    </row>
    <row r="890" spans="16:21" x14ac:dyDescent="0.25">
      <c r="P890" t="str">
        <f>IF(DONNEES_SOURCE!$CA890=TRUE,DONNEES_SOURCE!$BV890,"")</f>
        <v/>
      </c>
      <c r="Q890" t="str">
        <f>IF(DONNEES_SOURCE!$CA890=TRUE,IFERROR(MATCH(DONNEES_SOURCE!$B890,{"2. Très rarement (Moins d'une fois par mois)","3. Rarement (1 à 3 fois par mois)","4. Parfois (Environ une fois par semaine)","5. Régulièrement (Plusieurs fois par semaine)","6. Quotidiennement (Une fois par jour)","7. Très fréquemment (Plusieurs fois par jour)"},0)+1,""),"")</f>
        <v/>
      </c>
      <c r="R890" t="str">
        <f>IF(DONNEES_SOURCE!$CA890=TRUE,DONNEES_SOURCE!$BW890,"")</f>
        <v/>
      </c>
      <c r="S890" t="str">
        <f>IF(DONNEES_SOURCE!$CA890=TRUE,DONNEES_SOURCE!$AU890,"")</f>
        <v/>
      </c>
      <c r="T890" t="str">
        <f>IF(DONNEES_SOURCE!$CA890=TRUE,DONNEES_SOURCE!$BW890,"")</f>
        <v/>
      </c>
      <c r="U890" t="str">
        <f>IF(DONNEES_SOURCE!$CA890=TRUE,IFERROR(MATCH(DONNEES_SOURCE!$B890,{"2. Très rarement (Moins d'une fois par mois)","3. Rarement (1 à 3 fois par mois)","4. Parfois (Environ une fois par semaine)","5. Régulièrement (Plusieurs fois par semaine)","6. Quotidiennement (Une fois par jour)","7. Très fréquemment (Plusieurs fois par jour)"},0)+1,""),"")</f>
        <v/>
      </c>
    </row>
    <row r="891" spans="16:21" x14ac:dyDescent="0.25">
      <c r="P891" t="str">
        <f>IF(DONNEES_SOURCE!$CA891=TRUE,DONNEES_SOURCE!$BV891,"")</f>
        <v/>
      </c>
      <c r="Q891" t="str">
        <f>IF(DONNEES_SOURCE!$CA891=TRUE,IFERROR(MATCH(DONNEES_SOURCE!$B891,{"2. Très rarement (Moins d'une fois par mois)","3. Rarement (1 à 3 fois par mois)","4. Parfois (Environ une fois par semaine)","5. Régulièrement (Plusieurs fois par semaine)","6. Quotidiennement (Une fois par jour)","7. Très fréquemment (Plusieurs fois par jour)"},0)+1,""),"")</f>
        <v/>
      </c>
      <c r="R891" t="str">
        <f>IF(DONNEES_SOURCE!$CA891=TRUE,DONNEES_SOURCE!$BW891,"")</f>
        <v/>
      </c>
      <c r="S891" t="str">
        <f>IF(DONNEES_SOURCE!$CA891=TRUE,DONNEES_SOURCE!$AU891,"")</f>
        <v/>
      </c>
      <c r="T891" t="str">
        <f>IF(DONNEES_SOURCE!$CA891=TRUE,DONNEES_SOURCE!$BW891,"")</f>
        <v/>
      </c>
      <c r="U891" t="str">
        <f>IF(DONNEES_SOURCE!$CA891=TRUE,IFERROR(MATCH(DONNEES_SOURCE!$B891,{"2. Très rarement (Moins d'une fois par mois)","3. Rarement (1 à 3 fois par mois)","4. Parfois (Environ une fois par semaine)","5. Régulièrement (Plusieurs fois par semaine)","6. Quotidiennement (Une fois par jour)","7. Très fréquemment (Plusieurs fois par jour)"},0)+1,""),"")</f>
        <v/>
      </c>
    </row>
    <row r="892" spans="16:21" x14ac:dyDescent="0.25">
      <c r="P892" t="str">
        <f>IF(DONNEES_SOURCE!$CA892=TRUE,DONNEES_SOURCE!$BV892,"")</f>
        <v/>
      </c>
      <c r="Q892" t="str">
        <f>IF(DONNEES_SOURCE!$CA892=TRUE,IFERROR(MATCH(DONNEES_SOURCE!$B892,{"2. Très rarement (Moins d'une fois par mois)","3. Rarement (1 à 3 fois par mois)","4. Parfois (Environ une fois par semaine)","5. Régulièrement (Plusieurs fois par semaine)","6. Quotidiennement (Une fois par jour)","7. Très fréquemment (Plusieurs fois par jour)"},0)+1,""),"")</f>
        <v/>
      </c>
      <c r="R892" t="str">
        <f>IF(DONNEES_SOURCE!$CA892=TRUE,DONNEES_SOURCE!$BW892,"")</f>
        <v/>
      </c>
      <c r="S892" t="str">
        <f>IF(DONNEES_SOURCE!$CA892=TRUE,DONNEES_SOURCE!$AU892,"")</f>
        <v/>
      </c>
      <c r="T892" t="str">
        <f>IF(DONNEES_SOURCE!$CA892=TRUE,DONNEES_SOURCE!$BW892,"")</f>
        <v/>
      </c>
      <c r="U892" t="str">
        <f>IF(DONNEES_SOURCE!$CA892=TRUE,IFERROR(MATCH(DONNEES_SOURCE!$B892,{"2. Très rarement (Moins d'une fois par mois)","3. Rarement (1 à 3 fois par mois)","4. Parfois (Environ une fois par semaine)","5. Régulièrement (Plusieurs fois par semaine)","6. Quotidiennement (Une fois par jour)","7. Très fréquemment (Plusieurs fois par jour)"},0)+1,""),"")</f>
        <v/>
      </c>
    </row>
    <row r="893" spans="16:21" x14ac:dyDescent="0.25">
      <c r="P893" t="str">
        <f>IF(DONNEES_SOURCE!$CA893=TRUE,DONNEES_SOURCE!$BV893,"")</f>
        <v/>
      </c>
      <c r="Q893" t="str">
        <f>IF(DONNEES_SOURCE!$CA893=TRUE,IFERROR(MATCH(DONNEES_SOURCE!$B893,{"2. Très rarement (Moins d'une fois par mois)","3. Rarement (1 à 3 fois par mois)","4. Parfois (Environ une fois par semaine)","5. Régulièrement (Plusieurs fois par semaine)","6. Quotidiennement (Une fois par jour)","7. Très fréquemment (Plusieurs fois par jour)"},0)+1,""),"")</f>
        <v/>
      </c>
      <c r="R893" t="str">
        <f>IF(DONNEES_SOURCE!$CA893=TRUE,DONNEES_SOURCE!$BW893,"")</f>
        <v/>
      </c>
      <c r="S893" t="str">
        <f>IF(DONNEES_SOURCE!$CA893=TRUE,DONNEES_SOURCE!$AU893,"")</f>
        <v/>
      </c>
      <c r="T893" t="str">
        <f>IF(DONNEES_SOURCE!$CA893=TRUE,DONNEES_SOURCE!$BW893,"")</f>
        <v/>
      </c>
      <c r="U893" t="str">
        <f>IF(DONNEES_SOURCE!$CA893=TRUE,IFERROR(MATCH(DONNEES_SOURCE!$B893,{"2. Très rarement (Moins d'une fois par mois)","3. Rarement (1 à 3 fois par mois)","4. Parfois (Environ une fois par semaine)","5. Régulièrement (Plusieurs fois par semaine)","6. Quotidiennement (Une fois par jour)","7. Très fréquemment (Plusieurs fois par jour)"},0)+1,""),"")</f>
        <v/>
      </c>
    </row>
    <row r="894" spans="16:21" x14ac:dyDescent="0.25">
      <c r="P894" t="str">
        <f>IF(DONNEES_SOURCE!$CA894=TRUE,DONNEES_SOURCE!$BV894,"")</f>
        <v/>
      </c>
      <c r="Q894" t="str">
        <f>IF(DONNEES_SOURCE!$CA894=TRUE,IFERROR(MATCH(DONNEES_SOURCE!$B894,{"2. Très rarement (Moins d'une fois par mois)","3. Rarement (1 à 3 fois par mois)","4. Parfois (Environ une fois par semaine)","5. Régulièrement (Plusieurs fois par semaine)","6. Quotidiennement (Une fois par jour)","7. Très fréquemment (Plusieurs fois par jour)"},0)+1,""),"")</f>
        <v/>
      </c>
      <c r="R894" t="str">
        <f>IF(DONNEES_SOURCE!$CA894=TRUE,DONNEES_SOURCE!$BW894,"")</f>
        <v/>
      </c>
      <c r="S894" t="str">
        <f>IF(DONNEES_SOURCE!$CA894=TRUE,DONNEES_SOURCE!$AU894,"")</f>
        <v/>
      </c>
      <c r="T894" t="str">
        <f>IF(DONNEES_SOURCE!$CA894=TRUE,DONNEES_SOURCE!$BW894,"")</f>
        <v/>
      </c>
      <c r="U894" t="str">
        <f>IF(DONNEES_SOURCE!$CA894=TRUE,IFERROR(MATCH(DONNEES_SOURCE!$B894,{"2. Très rarement (Moins d'une fois par mois)","3. Rarement (1 à 3 fois par mois)","4. Parfois (Environ une fois par semaine)","5. Régulièrement (Plusieurs fois par semaine)","6. Quotidiennement (Une fois par jour)","7. Très fréquemment (Plusieurs fois par jour)"},0)+1,""),"")</f>
        <v/>
      </c>
    </row>
    <row r="895" spans="16:21" x14ac:dyDescent="0.25">
      <c r="P895" t="str">
        <f>IF(DONNEES_SOURCE!$CA895=TRUE,DONNEES_SOURCE!$BV895,"")</f>
        <v/>
      </c>
      <c r="Q895" t="str">
        <f>IF(DONNEES_SOURCE!$CA895=TRUE,IFERROR(MATCH(DONNEES_SOURCE!$B895,{"2. Très rarement (Moins d'une fois par mois)","3. Rarement (1 à 3 fois par mois)","4. Parfois (Environ une fois par semaine)","5. Régulièrement (Plusieurs fois par semaine)","6. Quotidiennement (Une fois par jour)","7. Très fréquemment (Plusieurs fois par jour)"},0)+1,""),"")</f>
        <v/>
      </c>
      <c r="R895" t="str">
        <f>IF(DONNEES_SOURCE!$CA895=TRUE,DONNEES_SOURCE!$BW895,"")</f>
        <v/>
      </c>
      <c r="S895" t="str">
        <f>IF(DONNEES_SOURCE!$CA895=TRUE,DONNEES_SOURCE!$AU895,"")</f>
        <v/>
      </c>
      <c r="T895" t="str">
        <f>IF(DONNEES_SOURCE!$CA895=TRUE,DONNEES_SOURCE!$BW895,"")</f>
        <v/>
      </c>
      <c r="U895" t="str">
        <f>IF(DONNEES_SOURCE!$CA895=TRUE,IFERROR(MATCH(DONNEES_SOURCE!$B895,{"2. Très rarement (Moins d'une fois par mois)","3. Rarement (1 à 3 fois par mois)","4. Parfois (Environ une fois par semaine)","5. Régulièrement (Plusieurs fois par semaine)","6. Quotidiennement (Une fois par jour)","7. Très fréquemment (Plusieurs fois par jour)"},0)+1,""),"")</f>
        <v/>
      </c>
    </row>
    <row r="896" spans="16:21" x14ac:dyDescent="0.25">
      <c r="P896" t="str">
        <f>IF(DONNEES_SOURCE!$CA896=TRUE,DONNEES_SOURCE!$BV896,"")</f>
        <v/>
      </c>
      <c r="Q896" t="str">
        <f>IF(DONNEES_SOURCE!$CA896=TRUE,IFERROR(MATCH(DONNEES_SOURCE!$B896,{"2. Très rarement (Moins d'une fois par mois)","3. Rarement (1 à 3 fois par mois)","4. Parfois (Environ une fois par semaine)","5. Régulièrement (Plusieurs fois par semaine)","6. Quotidiennement (Une fois par jour)","7. Très fréquemment (Plusieurs fois par jour)"},0)+1,""),"")</f>
        <v/>
      </c>
      <c r="R896" t="str">
        <f>IF(DONNEES_SOURCE!$CA896=TRUE,DONNEES_SOURCE!$BW896,"")</f>
        <v/>
      </c>
      <c r="S896" t="str">
        <f>IF(DONNEES_SOURCE!$CA896=TRUE,DONNEES_SOURCE!$AU896,"")</f>
        <v/>
      </c>
      <c r="T896" t="str">
        <f>IF(DONNEES_SOURCE!$CA896=TRUE,DONNEES_SOURCE!$BW896,"")</f>
        <v/>
      </c>
      <c r="U896" t="str">
        <f>IF(DONNEES_SOURCE!$CA896=TRUE,IFERROR(MATCH(DONNEES_SOURCE!$B896,{"2. Très rarement (Moins d'une fois par mois)","3. Rarement (1 à 3 fois par mois)","4. Parfois (Environ une fois par semaine)","5. Régulièrement (Plusieurs fois par semaine)","6. Quotidiennement (Une fois par jour)","7. Très fréquemment (Plusieurs fois par jour)"},0)+1,""),"")</f>
        <v/>
      </c>
    </row>
    <row r="897" spans="16:21" x14ac:dyDescent="0.25">
      <c r="P897" t="str">
        <f>IF(DONNEES_SOURCE!$CA897=TRUE,DONNEES_SOURCE!$BV897,"")</f>
        <v/>
      </c>
      <c r="Q897" t="str">
        <f>IF(DONNEES_SOURCE!$CA897=TRUE,IFERROR(MATCH(DONNEES_SOURCE!$B897,{"2. Très rarement (Moins d'une fois par mois)","3. Rarement (1 à 3 fois par mois)","4. Parfois (Environ une fois par semaine)","5. Régulièrement (Plusieurs fois par semaine)","6. Quotidiennement (Une fois par jour)","7. Très fréquemment (Plusieurs fois par jour)"},0)+1,""),"")</f>
        <v/>
      </c>
      <c r="R897" t="str">
        <f>IF(DONNEES_SOURCE!$CA897=TRUE,DONNEES_SOURCE!$BW897,"")</f>
        <v/>
      </c>
      <c r="S897" t="str">
        <f>IF(DONNEES_SOURCE!$CA897=TRUE,DONNEES_SOURCE!$AU897,"")</f>
        <v/>
      </c>
      <c r="T897" t="str">
        <f>IF(DONNEES_SOURCE!$CA897=TRUE,DONNEES_SOURCE!$BW897,"")</f>
        <v/>
      </c>
      <c r="U897" t="str">
        <f>IF(DONNEES_SOURCE!$CA897=TRUE,IFERROR(MATCH(DONNEES_SOURCE!$B897,{"2. Très rarement (Moins d'une fois par mois)","3. Rarement (1 à 3 fois par mois)","4. Parfois (Environ une fois par semaine)","5. Régulièrement (Plusieurs fois par semaine)","6. Quotidiennement (Une fois par jour)","7. Très fréquemment (Plusieurs fois par jour)"},0)+1,""),"")</f>
        <v/>
      </c>
    </row>
    <row r="898" spans="16:21" x14ac:dyDescent="0.25">
      <c r="P898" t="str">
        <f>IF(DONNEES_SOURCE!$CA898=TRUE,DONNEES_SOURCE!$BV898,"")</f>
        <v/>
      </c>
      <c r="Q898" t="str">
        <f>IF(DONNEES_SOURCE!$CA898=TRUE,IFERROR(MATCH(DONNEES_SOURCE!$B898,{"2. Très rarement (Moins d'une fois par mois)","3. Rarement (1 à 3 fois par mois)","4. Parfois (Environ une fois par semaine)","5. Régulièrement (Plusieurs fois par semaine)","6. Quotidiennement (Une fois par jour)","7. Très fréquemment (Plusieurs fois par jour)"},0)+1,""),"")</f>
        <v/>
      </c>
      <c r="R898" t="str">
        <f>IF(DONNEES_SOURCE!$CA898=TRUE,DONNEES_SOURCE!$BW898,"")</f>
        <v/>
      </c>
      <c r="S898" t="str">
        <f>IF(DONNEES_SOURCE!$CA898=TRUE,DONNEES_SOURCE!$AU898,"")</f>
        <v/>
      </c>
      <c r="T898" t="str">
        <f>IF(DONNEES_SOURCE!$CA898=TRUE,DONNEES_SOURCE!$BW898,"")</f>
        <v/>
      </c>
      <c r="U898" t="str">
        <f>IF(DONNEES_SOURCE!$CA898=TRUE,IFERROR(MATCH(DONNEES_SOURCE!$B898,{"2. Très rarement (Moins d'une fois par mois)","3. Rarement (1 à 3 fois par mois)","4. Parfois (Environ une fois par semaine)","5. Régulièrement (Plusieurs fois par semaine)","6. Quotidiennement (Une fois par jour)","7. Très fréquemment (Plusieurs fois par jour)"},0)+1,""),"")</f>
        <v/>
      </c>
    </row>
    <row r="899" spans="16:21" x14ac:dyDescent="0.25">
      <c r="P899" t="str">
        <f>IF(DONNEES_SOURCE!$CA899=TRUE,DONNEES_SOURCE!$BV899,"")</f>
        <v/>
      </c>
      <c r="Q899" t="str">
        <f>IF(DONNEES_SOURCE!$CA899=TRUE,IFERROR(MATCH(DONNEES_SOURCE!$B899,{"2. Très rarement (Moins d'une fois par mois)","3. Rarement (1 à 3 fois par mois)","4. Parfois (Environ une fois par semaine)","5. Régulièrement (Plusieurs fois par semaine)","6. Quotidiennement (Une fois par jour)","7. Très fréquemment (Plusieurs fois par jour)"},0)+1,""),"")</f>
        <v/>
      </c>
      <c r="R899" t="str">
        <f>IF(DONNEES_SOURCE!$CA899=TRUE,DONNEES_SOURCE!$BW899,"")</f>
        <v/>
      </c>
      <c r="S899" t="str">
        <f>IF(DONNEES_SOURCE!$CA899=TRUE,DONNEES_SOURCE!$AU899,"")</f>
        <v/>
      </c>
      <c r="T899" t="str">
        <f>IF(DONNEES_SOURCE!$CA899=TRUE,DONNEES_SOURCE!$BW899,"")</f>
        <v/>
      </c>
      <c r="U899" t="str">
        <f>IF(DONNEES_SOURCE!$CA899=TRUE,IFERROR(MATCH(DONNEES_SOURCE!$B899,{"2. Très rarement (Moins d'une fois par mois)","3. Rarement (1 à 3 fois par mois)","4. Parfois (Environ une fois par semaine)","5. Régulièrement (Plusieurs fois par semaine)","6. Quotidiennement (Une fois par jour)","7. Très fréquemment (Plusieurs fois par jour)"},0)+1,""),"")</f>
        <v/>
      </c>
    </row>
    <row r="900" spans="16:21" x14ac:dyDescent="0.25">
      <c r="P900" t="str">
        <f>IF(DONNEES_SOURCE!$CA900=TRUE,DONNEES_SOURCE!$BV900,"")</f>
        <v/>
      </c>
      <c r="Q900" t="str">
        <f>IF(DONNEES_SOURCE!$CA900=TRUE,IFERROR(MATCH(DONNEES_SOURCE!$B900,{"2. Très rarement (Moins d'une fois par mois)","3. Rarement (1 à 3 fois par mois)","4. Parfois (Environ une fois par semaine)","5. Régulièrement (Plusieurs fois par semaine)","6. Quotidiennement (Une fois par jour)","7. Très fréquemment (Plusieurs fois par jour)"},0)+1,""),"")</f>
        <v/>
      </c>
      <c r="R900" t="str">
        <f>IF(DONNEES_SOURCE!$CA900=TRUE,DONNEES_SOURCE!$BW900,"")</f>
        <v/>
      </c>
      <c r="S900" t="str">
        <f>IF(DONNEES_SOURCE!$CA900=TRUE,DONNEES_SOURCE!$AU900,"")</f>
        <v/>
      </c>
      <c r="T900" t="str">
        <f>IF(DONNEES_SOURCE!$CA900=TRUE,DONNEES_SOURCE!$BW900,"")</f>
        <v/>
      </c>
      <c r="U900" t="str">
        <f>IF(DONNEES_SOURCE!$CA900=TRUE,IFERROR(MATCH(DONNEES_SOURCE!$B900,{"2. Très rarement (Moins d'une fois par mois)","3. Rarement (1 à 3 fois par mois)","4. Parfois (Environ une fois par semaine)","5. Régulièrement (Plusieurs fois par semaine)","6. Quotidiennement (Une fois par jour)","7. Très fréquemment (Plusieurs fois par jour)"},0)+1,""),"")</f>
        <v/>
      </c>
    </row>
    <row r="901" spans="16:21" x14ac:dyDescent="0.25">
      <c r="P901" t="str">
        <f>IF(DONNEES_SOURCE!$CA901=TRUE,DONNEES_SOURCE!$BV901,"")</f>
        <v/>
      </c>
      <c r="Q901" t="str">
        <f>IF(DONNEES_SOURCE!$CA901=TRUE,IFERROR(MATCH(DONNEES_SOURCE!$B901,{"2. Très rarement (Moins d'une fois par mois)","3. Rarement (1 à 3 fois par mois)","4. Parfois (Environ une fois par semaine)","5. Régulièrement (Plusieurs fois par semaine)","6. Quotidiennement (Une fois par jour)","7. Très fréquemment (Plusieurs fois par jour)"},0)+1,""),"")</f>
        <v/>
      </c>
      <c r="R901" t="str">
        <f>IF(DONNEES_SOURCE!$CA901=TRUE,DONNEES_SOURCE!$BW901,"")</f>
        <v/>
      </c>
      <c r="S901" t="str">
        <f>IF(DONNEES_SOURCE!$CA901=TRUE,DONNEES_SOURCE!$AU901,"")</f>
        <v/>
      </c>
      <c r="T901" t="str">
        <f>IF(DONNEES_SOURCE!$CA901=TRUE,DONNEES_SOURCE!$BW901,"")</f>
        <v/>
      </c>
      <c r="U901" t="str">
        <f>IF(DONNEES_SOURCE!$CA901=TRUE,IFERROR(MATCH(DONNEES_SOURCE!$B901,{"2. Très rarement (Moins d'une fois par mois)","3. Rarement (1 à 3 fois par mois)","4. Parfois (Environ une fois par semaine)","5. Régulièrement (Plusieurs fois par semaine)","6. Quotidiennement (Une fois par jour)","7. Très fréquemment (Plusieurs fois par jour)"},0)+1,""),"")</f>
        <v/>
      </c>
    </row>
    <row r="902" spans="16:21" x14ac:dyDescent="0.25">
      <c r="P902" t="str">
        <f>IF(DONNEES_SOURCE!$CA902=TRUE,DONNEES_SOURCE!$BV902,"")</f>
        <v/>
      </c>
      <c r="Q902" t="str">
        <f>IF(DONNEES_SOURCE!$CA902=TRUE,IFERROR(MATCH(DONNEES_SOURCE!$B902,{"2. Très rarement (Moins d'une fois par mois)","3. Rarement (1 à 3 fois par mois)","4. Parfois (Environ une fois par semaine)","5. Régulièrement (Plusieurs fois par semaine)","6. Quotidiennement (Une fois par jour)","7. Très fréquemment (Plusieurs fois par jour)"},0)+1,""),"")</f>
        <v/>
      </c>
      <c r="R902" t="str">
        <f>IF(DONNEES_SOURCE!$CA902=TRUE,DONNEES_SOURCE!$BW902,"")</f>
        <v/>
      </c>
      <c r="S902" t="str">
        <f>IF(DONNEES_SOURCE!$CA902=TRUE,DONNEES_SOURCE!$AU902,"")</f>
        <v/>
      </c>
      <c r="T902" t="str">
        <f>IF(DONNEES_SOURCE!$CA902=TRUE,DONNEES_SOURCE!$BW902,"")</f>
        <v/>
      </c>
      <c r="U902" t="str">
        <f>IF(DONNEES_SOURCE!$CA902=TRUE,IFERROR(MATCH(DONNEES_SOURCE!$B902,{"2. Très rarement (Moins d'une fois par mois)","3. Rarement (1 à 3 fois par mois)","4. Parfois (Environ une fois par semaine)","5. Régulièrement (Plusieurs fois par semaine)","6. Quotidiennement (Une fois par jour)","7. Très fréquemment (Plusieurs fois par jour)"},0)+1,""),"")</f>
        <v/>
      </c>
    </row>
    <row r="903" spans="16:21" x14ac:dyDescent="0.25">
      <c r="P903" t="str">
        <f>IF(DONNEES_SOURCE!$CA903=TRUE,DONNEES_SOURCE!$BV903,"")</f>
        <v/>
      </c>
      <c r="Q903" t="str">
        <f>IF(DONNEES_SOURCE!$CA903=TRUE,IFERROR(MATCH(DONNEES_SOURCE!$B903,{"2. Très rarement (Moins d'une fois par mois)","3. Rarement (1 à 3 fois par mois)","4. Parfois (Environ une fois par semaine)","5. Régulièrement (Plusieurs fois par semaine)","6. Quotidiennement (Une fois par jour)","7. Très fréquemment (Plusieurs fois par jour)"},0)+1,""),"")</f>
        <v/>
      </c>
      <c r="R903" t="str">
        <f>IF(DONNEES_SOURCE!$CA903=TRUE,DONNEES_SOURCE!$BW903,"")</f>
        <v/>
      </c>
      <c r="S903" t="str">
        <f>IF(DONNEES_SOURCE!$CA903=TRUE,DONNEES_SOURCE!$AU903,"")</f>
        <v/>
      </c>
      <c r="T903" t="str">
        <f>IF(DONNEES_SOURCE!$CA903=TRUE,DONNEES_SOURCE!$BW903,"")</f>
        <v/>
      </c>
      <c r="U903" t="str">
        <f>IF(DONNEES_SOURCE!$CA903=TRUE,IFERROR(MATCH(DONNEES_SOURCE!$B903,{"2. Très rarement (Moins d'une fois par mois)","3. Rarement (1 à 3 fois par mois)","4. Parfois (Environ une fois par semaine)","5. Régulièrement (Plusieurs fois par semaine)","6. Quotidiennement (Une fois par jour)","7. Très fréquemment (Plusieurs fois par jour)"},0)+1,""),"")</f>
        <v/>
      </c>
    </row>
    <row r="904" spans="16:21" x14ac:dyDescent="0.25">
      <c r="P904" t="str">
        <f>IF(DONNEES_SOURCE!$CA904=TRUE,DONNEES_SOURCE!$BV904,"")</f>
        <v/>
      </c>
      <c r="Q904" t="str">
        <f>IF(DONNEES_SOURCE!$CA904=TRUE,IFERROR(MATCH(DONNEES_SOURCE!$B904,{"2. Très rarement (Moins d'une fois par mois)","3. Rarement (1 à 3 fois par mois)","4. Parfois (Environ une fois par semaine)","5. Régulièrement (Plusieurs fois par semaine)","6. Quotidiennement (Une fois par jour)","7. Très fréquemment (Plusieurs fois par jour)"},0)+1,""),"")</f>
        <v/>
      </c>
      <c r="R904" t="str">
        <f>IF(DONNEES_SOURCE!$CA904=TRUE,DONNEES_SOURCE!$BW904,"")</f>
        <v/>
      </c>
      <c r="S904" t="str">
        <f>IF(DONNEES_SOURCE!$CA904=TRUE,DONNEES_SOURCE!$AU904,"")</f>
        <v/>
      </c>
      <c r="T904" t="str">
        <f>IF(DONNEES_SOURCE!$CA904=TRUE,DONNEES_SOURCE!$BW904,"")</f>
        <v/>
      </c>
      <c r="U904" t="str">
        <f>IF(DONNEES_SOURCE!$CA904=TRUE,IFERROR(MATCH(DONNEES_SOURCE!$B904,{"2. Très rarement (Moins d'une fois par mois)","3. Rarement (1 à 3 fois par mois)","4. Parfois (Environ une fois par semaine)","5. Régulièrement (Plusieurs fois par semaine)","6. Quotidiennement (Une fois par jour)","7. Très fréquemment (Plusieurs fois par jour)"},0)+1,""),"")</f>
        <v/>
      </c>
    </row>
    <row r="905" spans="16:21" x14ac:dyDescent="0.25">
      <c r="P905" t="str">
        <f>IF(DONNEES_SOURCE!$CA905=TRUE,DONNEES_SOURCE!$BV905,"")</f>
        <v/>
      </c>
      <c r="Q905" t="str">
        <f>IF(DONNEES_SOURCE!$CA905=TRUE,IFERROR(MATCH(DONNEES_SOURCE!$B905,{"2. Très rarement (Moins d'une fois par mois)","3. Rarement (1 à 3 fois par mois)","4. Parfois (Environ une fois par semaine)","5. Régulièrement (Plusieurs fois par semaine)","6. Quotidiennement (Une fois par jour)","7. Très fréquemment (Plusieurs fois par jour)"},0)+1,""),"")</f>
        <v/>
      </c>
      <c r="R905" t="str">
        <f>IF(DONNEES_SOURCE!$CA905=TRUE,DONNEES_SOURCE!$BW905,"")</f>
        <v/>
      </c>
      <c r="S905" t="str">
        <f>IF(DONNEES_SOURCE!$CA905=TRUE,DONNEES_SOURCE!$AU905,"")</f>
        <v/>
      </c>
      <c r="T905" t="str">
        <f>IF(DONNEES_SOURCE!$CA905=TRUE,DONNEES_SOURCE!$BW905,"")</f>
        <v/>
      </c>
      <c r="U905" t="str">
        <f>IF(DONNEES_SOURCE!$CA905=TRUE,IFERROR(MATCH(DONNEES_SOURCE!$B905,{"2. Très rarement (Moins d'une fois par mois)","3. Rarement (1 à 3 fois par mois)","4. Parfois (Environ une fois par semaine)","5. Régulièrement (Plusieurs fois par semaine)","6. Quotidiennement (Une fois par jour)","7. Très fréquemment (Plusieurs fois par jour)"},0)+1,""),"")</f>
        <v/>
      </c>
    </row>
    <row r="906" spans="16:21" x14ac:dyDescent="0.25">
      <c r="P906" t="str">
        <f>IF(DONNEES_SOURCE!$CA906=TRUE,DONNEES_SOURCE!$BV906,"")</f>
        <v/>
      </c>
      <c r="Q906" t="str">
        <f>IF(DONNEES_SOURCE!$CA906=TRUE,IFERROR(MATCH(DONNEES_SOURCE!$B906,{"2. Très rarement (Moins d'une fois par mois)","3. Rarement (1 à 3 fois par mois)","4. Parfois (Environ une fois par semaine)","5. Régulièrement (Plusieurs fois par semaine)","6. Quotidiennement (Une fois par jour)","7. Très fréquemment (Plusieurs fois par jour)"},0)+1,""),"")</f>
        <v/>
      </c>
      <c r="R906" t="str">
        <f>IF(DONNEES_SOURCE!$CA906=TRUE,DONNEES_SOURCE!$BW906,"")</f>
        <v/>
      </c>
      <c r="S906" t="str">
        <f>IF(DONNEES_SOURCE!$CA906=TRUE,DONNEES_SOURCE!$AU906,"")</f>
        <v/>
      </c>
      <c r="T906" t="str">
        <f>IF(DONNEES_SOURCE!$CA906=TRUE,DONNEES_SOURCE!$BW906,"")</f>
        <v/>
      </c>
      <c r="U906" t="str">
        <f>IF(DONNEES_SOURCE!$CA906=TRUE,IFERROR(MATCH(DONNEES_SOURCE!$B906,{"2. Très rarement (Moins d'une fois par mois)","3. Rarement (1 à 3 fois par mois)","4. Parfois (Environ une fois par semaine)","5. Régulièrement (Plusieurs fois par semaine)","6. Quotidiennement (Une fois par jour)","7. Très fréquemment (Plusieurs fois par jour)"},0)+1,""),"")</f>
        <v/>
      </c>
    </row>
    <row r="907" spans="16:21" x14ac:dyDescent="0.25">
      <c r="P907" t="str">
        <f>IF(DONNEES_SOURCE!$CA907=TRUE,DONNEES_SOURCE!$BV907,"")</f>
        <v/>
      </c>
      <c r="Q907" t="str">
        <f>IF(DONNEES_SOURCE!$CA907=TRUE,IFERROR(MATCH(DONNEES_SOURCE!$B907,{"2. Très rarement (Moins d'une fois par mois)","3. Rarement (1 à 3 fois par mois)","4. Parfois (Environ une fois par semaine)","5. Régulièrement (Plusieurs fois par semaine)","6. Quotidiennement (Une fois par jour)","7. Très fréquemment (Plusieurs fois par jour)"},0)+1,""),"")</f>
        <v/>
      </c>
      <c r="R907" t="str">
        <f>IF(DONNEES_SOURCE!$CA907=TRUE,DONNEES_SOURCE!$BW907,"")</f>
        <v/>
      </c>
      <c r="S907" t="str">
        <f>IF(DONNEES_SOURCE!$CA907=TRUE,DONNEES_SOURCE!$AU907,"")</f>
        <v/>
      </c>
      <c r="T907" t="str">
        <f>IF(DONNEES_SOURCE!$CA907=TRUE,DONNEES_SOURCE!$BW907,"")</f>
        <v/>
      </c>
      <c r="U907" t="str">
        <f>IF(DONNEES_SOURCE!$CA907=TRUE,IFERROR(MATCH(DONNEES_SOURCE!$B907,{"2. Très rarement (Moins d'une fois par mois)","3. Rarement (1 à 3 fois par mois)","4. Parfois (Environ une fois par semaine)","5. Régulièrement (Plusieurs fois par semaine)","6. Quotidiennement (Une fois par jour)","7. Très fréquemment (Plusieurs fois par jour)"},0)+1,""),"")</f>
        <v/>
      </c>
    </row>
    <row r="908" spans="16:21" x14ac:dyDescent="0.25">
      <c r="P908" t="str">
        <f>IF(DONNEES_SOURCE!$CA908=TRUE,DONNEES_SOURCE!$BV908,"")</f>
        <v/>
      </c>
      <c r="Q908" t="str">
        <f>IF(DONNEES_SOURCE!$CA908=TRUE,IFERROR(MATCH(DONNEES_SOURCE!$B908,{"2. Très rarement (Moins d'une fois par mois)","3. Rarement (1 à 3 fois par mois)","4. Parfois (Environ une fois par semaine)","5. Régulièrement (Plusieurs fois par semaine)","6. Quotidiennement (Une fois par jour)","7. Très fréquemment (Plusieurs fois par jour)"},0)+1,""),"")</f>
        <v/>
      </c>
      <c r="R908" t="str">
        <f>IF(DONNEES_SOURCE!$CA908=TRUE,DONNEES_SOURCE!$BW908,"")</f>
        <v/>
      </c>
      <c r="S908" t="str">
        <f>IF(DONNEES_SOURCE!$CA908=TRUE,DONNEES_SOURCE!$AU908,"")</f>
        <v/>
      </c>
      <c r="T908" t="str">
        <f>IF(DONNEES_SOURCE!$CA908=TRUE,DONNEES_SOURCE!$BW908,"")</f>
        <v/>
      </c>
      <c r="U908" t="str">
        <f>IF(DONNEES_SOURCE!$CA908=TRUE,IFERROR(MATCH(DONNEES_SOURCE!$B908,{"2. Très rarement (Moins d'une fois par mois)","3. Rarement (1 à 3 fois par mois)","4. Parfois (Environ une fois par semaine)","5. Régulièrement (Plusieurs fois par semaine)","6. Quotidiennement (Une fois par jour)","7. Très fréquemment (Plusieurs fois par jour)"},0)+1,""),"")</f>
        <v/>
      </c>
    </row>
    <row r="909" spans="16:21" x14ac:dyDescent="0.25">
      <c r="P909" t="str">
        <f>IF(DONNEES_SOURCE!$CA909=TRUE,DONNEES_SOURCE!$BV909,"")</f>
        <v/>
      </c>
      <c r="Q909" t="str">
        <f>IF(DONNEES_SOURCE!$CA909=TRUE,IFERROR(MATCH(DONNEES_SOURCE!$B909,{"2. Très rarement (Moins d'une fois par mois)","3. Rarement (1 à 3 fois par mois)","4. Parfois (Environ une fois par semaine)","5. Régulièrement (Plusieurs fois par semaine)","6. Quotidiennement (Une fois par jour)","7. Très fréquemment (Plusieurs fois par jour)"},0)+1,""),"")</f>
        <v/>
      </c>
      <c r="R909" t="str">
        <f>IF(DONNEES_SOURCE!$CA909=TRUE,DONNEES_SOURCE!$BW909,"")</f>
        <v/>
      </c>
      <c r="S909" t="str">
        <f>IF(DONNEES_SOURCE!$CA909=TRUE,DONNEES_SOURCE!$AU909,"")</f>
        <v/>
      </c>
      <c r="T909" t="str">
        <f>IF(DONNEES_SOURCE!$CA909=TRUE,DONNEES_SOURCE!$BW909,"")</f>
        <v/>
      </c>
      <c r="U909" t="str">
        <f>IF(DONNEES_SOURCE!$CA909=TRUE,IFERROR(MATCH(DONNEES_SOURCE!$B909,{"2. Très rarement (Moins d'une fois par mois)","3. Rarement (1 à 3 fois par mois)","4. Parfois (Environ une fois par semaine)","5. Régulièrement (Plusieurs fois par semaine)","6. Quotidiennement (Une fois par jour)","7. Très fréquemment (Plusieurs fois par jour)"},0)+1,""),"")</f>
        <v/>
      </c>
    </row>
    <row r="910" spans="16:21" x14ac:dyDescent="0.25">
      <c r="P910" t="str">
        <f>IF(DONNEES_SOURCE!$CA910=TRUE,DONNEES_SOURCE!$BV910,"")</f>
        <v/>
      </c>
      <c r="Q910" t="str">
        <f>IF(DONNEES_SOURCE!$CA910=TRUE,IFERROR(MATCH(DONNEES_SOURCE!$B910,{"2. Très rarement (Moins d'une fois par mois)","3. Rarement (1 à 3 fois par mois)","4. Parfois (Environ une fois par semaine)","5. Régulièrement (Plusieurs fois par semaine)","6. Quotidiennement (Une fois par jour)","7. Très fréquemment (Plusieurs fois par jour)"},0)+1,""),"")</f>
        <v/>
      </c>
      <c r="R910" t="str">
        <f>IF(DONNEES_SOURCE!$CA910=TRUE,DONNEES_SOURCE!$BW910,"")</f>
        <v/>
      </c>
      <c r="S910" t="str">
        <f>IF(DONNEES_SOURCE!$CA910=TRUE,DONNEES_SOURCE!$AU910,"")</f>
        <v/>
      </c>
      <c r="T910" t="str">
        <f>IF(DONNEES_SOURCE!$CA910=TRUE,DONNEES_SOURCE!$BW910,"")</f>
        <v/>
      </c>
      <c r="U910" t="str">
        <f>IF(DONNEES_SOURCE!$CA910=TRUE,IFERROR(MATCH(DONNEES_SOURCE!$B910,{"2. Très rarement (Moins d'une fois par mois)","3. Rarement (1 à 3 fois par mois)","4. Parfois (Environ une fois par semaine)","5. Régulièrement (Plusieurs fois par semaine)","6. Quotidiennement (Une fois par jour)","7. Très fréquemment (Plusieurs fois par jour)"},0)+1,""),"")</f>
        <v/>
      </c>
    </row>
    <row r="911" spans="16:21" x14ac:dyDescent="0.25">
      <c r="P911" t="str">
        <f>IF(DONNEES_SOURCE!$CA911=TRUE,DONNEES_SOURCE!$BV911,"")</f>
        <v/>
      </c>
      <c r="Q911" t="str">
        <f>IF(DONNEES_SOURCE!$CA911=TRUE,IFERROR(MATCH(DONNEES_SOURCE!$B911,{"2. Très rarement (Moins d'une fois par mois)","3. Rarement (1 à 3 fois par mois)","4. Parfois (Environ une fois par semaine)","5. Régulièrement (Plusieurs fois par semaine)","6. Quotidiennement (Une fois par jour)","7. Très fréquemment (Plusieurs fois par jour)"},0)+1,""),"")</f>
        <v/>
      </c>
      <c r="R911" t="str">
        <f>IF(DONNEES_SOURCE!$CA911=TRUE,DONNEES_SOURCE!$BW911,"")</f>
        <v/>
      </c>
      <c r="S911" t="str">
        <f>IF(DONNEES_SOURCE!$CA911=TRUE,DONNEES_SOURCE!$AU911,"")</f>
        <v/>
      </c>
      <c r="T911" t="str">
        <f>IF(DONNEES_SOURCE!$CA911=TRUE,DONNEES_SOURCE!$BW911,"")</f>
        <v/>
      </c>
      <c r="U911" t="str">
        <f>IF(DONNEES_SOURCE!$CA911=TRUE,IFERROR(MATCH(DONNEES_SOURCE!$B911,{"2. Très rarement (Moins d'une fois par mois)","3. Rarement (1 à 3 fois par mois)","4. Parfois (Environ une fois par semaine)","5. Régulièrement (Plusieurs fois par semaine)","6. Quotidiennement (Une fois par jour)","7. Très fréquemment (Plusieurs fois par jour)"},0)+1,""),"")</f>
        <v/>
      </c>
    </row>
    <row r="912" spans="16:21" x14ac:dyDescent="0.25">
      <c r="P912" t="str">
        <f>IF(DONNEES_SOURCE!$CA912=TRUE,DONNEES_SOURCE!$BV912,"")</f>
        <v/>
      </c>
      <c r="Q912" t="str">
        <f>IF(DONNEES_SOURCE!$CA912=TRUE,IFERROR(MATCH(DONNEES_SOURCE!$B912,{"2. Très rarement (Moins d'une fois par mois)","3. Rarement (1 à 3 fois par mois)","4. Parfois (Environ une fois par semaine)","5. Régulièrement (Plusieurs fois par semaine)","6. Quotidiennement (Une fois par jour)","7. Très fréquemment (Plusieurs fois par jour)"},0)+1,""),"")</f>
        <v/>
      </c>
      <c r="R912" t="str">
        <f>IF(DONNEES_SOURCE!$CA912=TRUE,DONNEES_SOURCE!$BW912,"")</f>
        <v/>
      </c>
      <c r="S912" t="str">
        <f>IF(DONNEES_SOURCE!$CA912=TRUE,DONNEES_SOURCE!$AU912,"")</f>
        <v/>
      </c>
      <c r="T912" t="str">
        <f>IF(DONNEES_SOURCE!$CA912=TRUE,DONNEES_SOURCE!$BW912,"")</f>
        <v/>
      </c>
      <c r="U912" t="str">
        <f>IF(DONNEES_SOURCE!$CA912=TRUE,IFERROR(MATCH(DONNEES_SOURCE!$B912,{"2. Très rarement (Moins d'une fois par mois)","3. Rarement (1 à 3 fois par mois)","4. Parfois (Environ une fois par semaine)","5. Régulièrement (Plusieurs fois par semaine)","6. Quotidiennement (Une fois par jour)","7. Très fréquemment (Plusieurs fois par jour)"},0)+1,""),"")</f>
        <v/>
      </c>
    </row>
    <row r="913" spans="16:21" x14ac:dyDescent="0.25">
      <c r="P913" t="str">
        <f>IF(DONNEES_SOURCE!$CA913=TRUE,DONNEES_SOURCE!$BV913,"")</f>
        <v/>
      </c>
      <c r="Q913" t="str">
        <f>IF(DONNEES_SOURCE!$CA913=TRUE,IFERROR(MATCH(DONNEES_SOURCE!$B913,{"2. Très rarement (Moins d'une fois par mois)","3. Rarement (1 à 3 fois par mois)","4. Parfois (Environ une fois par semaine)","5. Régulièrement (Plusieurs fois par semaine)","6. Quotidiennement (Une fois par jour)","7. Très fréquemment (Plusieurs fois par jour)"},0)+1,""),"")</f>
        <v/>
      </c>
      <c r="R913" t="str">
        <f>IF(DONNEES_SOURCE!$CA913=TRUE,DONNEES_SOURCE!$BW913,"")</f>
        <v/>
      </c>
      <c r="S913" t="str">
        <f>IF(DONNEES_SOURCE!$CA913=TRUE,DONNEES_SOURCE!$AU913,"")</f>
        <v/>
      </c>
      <c r="T913" t="str">
        <f>IF(DONNEES_SOURCE!$CA913=TRUE,DONNEES_SOURCE!$BW913,"")</f>
        <v/>
      </c>
      <c r="U913" t="str">
        <f>IF(DONNEES_SOURCE!$CA913=TRUE,IFERROR(MATCH(DONNEES_SOURCE!$B913,{"2. Très rarement (Moins d'une fois par mois)","3. Rarement (1 à 3 fois par mois)","4. Parfois (Environ une fois par semaine)","5. Régulièrement (Plusieurs fois par semaine)","6. Quotidiennement (Une fois par jour)","7. Très fréquemment (Plusieurs fois par jour)"},0)+1,""),"")</f>
        <v/>
      </c>
    </row>
    <row r="914" spans="16:21" x14ac:dyDescent="0.25">
      <c r="P914" t="str">
        <f>IF(DONNEES_SOURCE!$CA914=TRUE,DONNEES_SOURCE!$BV914,"")</f>
        <v/>
      </c>
      <c r="Q914" t="str">
        <f>IF(DONNEES_SOURCE!$CA914=TRUE,IFERROR(MATCH(DONNEES_SOURCE!$B914,{"2. Très rarement (Moins d'une fois par mois)","3. Rarement (1 à 3 fois par mois)","4. Parfois (Environ une fois par semaine)","5. Régulièrement (Plusieurs fois par semaine)","6. Quotidiennement (Une fois par jour)","7. Très fréquemment (Plusieurs fois par jour)"},0)+1,""),"")</f>
        <v/>
      </c>
      <c r="R914" t="str">
        <f>IF(DONNEES_SOURCE!$CA914=TRUE,DONNEES_SOURCE!$BW914,"")</f>
        <v/>
      </c>
      <c r="S914" t="str">
        <f>IF(DONNEES_SOURCE!$CA914=TRUE,DONNEES_SOURCE!$AU914,"")</f>
        <v/>
      </c>
      <c r="T914" t="str">
        <f>IF(DONNEES_SOURCE!$CA914=TRUE,DONNEES_SOURCE!$BW914,"")</f>
        <v/>
      </c>
      <c r="U914" t="str">
        <f>IF(DONNEES_SOURCE!$CA914=TRUE,IFERROR(MATCH(DONNEES_SOURCE!$B914,{"2. Très rarement (Moins d'une fois par mois)","3. Rarement (1 à 3 fois par mois)","4. Parfois (Environ une fois par semaine)","5. Régulièrement (Plusieurs fois par semaine)","6. Quotidiennement (Une fois par jour)","7. Très fréquemment (Plusieurs fois par jour)"},0)+1,""),"")</f>
        <v/>
      </c>
    </row>
    <row r="915" spans="16:21" x14ac:dyDescent="0.25">
      <c r="P915" t="str">
        <f>IF(DONNEES_SOURCE!$CA915=TRUE,DONNEES_SOURCE!$BV915,"")</f>
        <v/>
      </c>
      <c r="Q915" t="str">
        <f>IF(DONNEES_SOURCE!$CA915=TRUE,IFERROR(MATCH(DONNEES_SOURCE!$B915,{"2. Très rarement (Moins d'une fois par mois)","3. Rarement (1 à 3 fois par mois)","4. Parfois (Environ une fois par semaine)","5. Régulièrement (Plusieurs fois par semaine)","6. Quotidiennement (Une fois par jour)","7. Très fréquemment (Plusieurs fois par jour)"},0)+1,""),"")</f>
        <v/>
      </c>
      <c r="R915" t="str">
        <f>IF(DONNEES_SOURCE!$CA915=TRUE,DONNEES_SOURCE!$BW915,"")</f>
        <v/>
      </c>
      <c r="S915" t="str">
        <f>IF(DONNEES_SOURCE!$CA915=TRUE,DONNEES_SOURCE!$AU915,"")</f>
        <v/>
      </c>
      <c r="T915" t="str">
        <f>IF(DONNEES_SOURCE!$CA915=TRUE,DONNEES_SOURCE!$BW915,"")</f>
        <v/>
      </c>
      <c r="U915" t="str">
        <f>IF(DONNEES_SOURCE!$CA915=TRUE,IFERROR(MATCH(DONNEES_SOURCE!$B915,{"2. Très rarement (Moins d'une fois par mois)","3. Rarement (1 à 3 fois par mois)","4. Parfois (Environ une fois par semaine)","5. Régulièrement (Plusieurs fois par semaine)","6. Quotidiennement (Une fois par jour)","7. Très fréquemment (Plusieurs fois par jour)"},0)+1,""),"")</f>
        <v/>
      </c>
    </row>
    <row r="916" spans="16:21" x14ac:dyDescent="0.25">
      <c r="P916" t="str">
        <f>IF(DONNEES_SOURCE!$CA916=TRUE,DONNEES_SOURCE!$BV916,"")</f>
        <v/>
      </c>
      <c r="Q916" t="str">
        <f>IF(DONNEES_SOURCE!$CA916=TRUE,IFERROR(MATCH(DONNEES_SOURCE!$B916,{"2. Très rarement (Moins d'une fois par mois)","3. Rarement (1 à 3 fois par mois)","4. Parfois (Environ une fois par semaine)","5. Régulièrement (Plusieurs fois par semaine)","6. Quotidiennement (Une fois par jour)","7. Très fréquemment (Plusieurs fois par jour)"},0)+1,""),"")</f>
        <v/>
      </c>
      <c r="R916" t="str">
        <f>IF(DONNEES_SOURCE!$CA916=TRUE,DONNEES_SOURCE!$BW916,"")</f>
        <v/>
      </c>
      <c r="S916" t="str">
        <f>IF(DONNEES_SOURCE!$CA916=TRUE,DONNEES_SOURCE!$AU916,"")</f>
        <v/>
      </c>
      <c r="T916" t="str">
        <f>IF(DONNEES_SOURCE!$CA916=TRUE,DONNEES_SOURCE!$BW916,"")</f>
        <v/>
      </c>
      <c r="U916" t="str">
        <f>IF(DONNEES_SOURCE!$CA916=TRUE,IFERROR(MATCH(DONNEES_SOURCE!$B916,{"2. Très rarement (Moins d'une fois par mois)","3. Rarement (1 à 3 fois par mois)","4. Parfois (Environ une fois par semaine)","5. Régulièrement (Plusieurs fois par semaine)","6. Quotidiennement (Une fois par jour)","7. Très fréquemment (Plusieurs fois par jour)"},0)+1,""),"")</f>
        <v/>
      </c>
    </row>
    <row r="917" spans="16:21" x14ac:dyDescent="0.25">
      <c r="P917" t="str">
        <f>IF(DONNEES_SOURCE!$CA917=TRUE,DONNEES_SOURCE!$BV917,"")</f>
        <v/>
      </c>
      <c r="Q917" t="str">
        <f>IF(DONNEES_SOURCE!$CA917=TRUE,IFERROR(MATCH(DONNEES_SOURCE!$B917,{"2. Très rarement (Moins d'une fois par mois)","3. Rarement (1 à 3 fois par mois)","4. Parfois (Environ une fois par semaine)","5. Régulièrement (Plusieurs fois par semaine)","6. Quotidiennement (Une fois par jour)","7. Très fréquemment (Plusieurs fois par jour)"},0)+1,""),"")</f>
        <v/>
      </c>
      <c r="R917" t="str">
        <f>IF(DONNEES_SOURCE!$CA917=TRUE,DONNEES_SOURCE!$BW917,"")</f>
        <v/>
      </c>
      <c r="S917" t="str">
        <f>IF(DONNEES_SOURCE!$CA917=TRUE,DONNEES_SOURCE!$AU917,"")</f>
        <v/>
      </c>
      <c r="T917" t="str">
        <f>IF(DONNEES_SOURCE!$CA917=TRUE,DONNEES_SOURCE!$BW917,"")</f>
        <v/>
      </c>
      <c r="U917" t="str">
        <f>IF(DONNEES_SOURCE!$CA917=TRUE,IFERROR(MATCH(DONNEES_SOURCE!$B917,{"2. Très rarement (Moins d'une fois par mois)","3. Rarement (1 à 3 fois par mois)","4. Parfois (Environ une fois par semaine)","5. Régulièrement (Plusieurs fois par semaine)","6. Quotidiennement (Une fois par jour)","7. Très fréquemment (Plusieurs fois par jour)"},0)+1,""),"")</f>
        <v/>
      </c>
    </row>
    <row r="918" spans="16:21" x14ac:dyDescent="0.25">
      <c r="P918" t="str">
        <f>IF(DONNEES_SOURCE!$CA918=TRUE,DONNEES_SOURCE!$BV918,"")</f>
        <v/>
      </c>
      <c r="Q918" t="str">
        <f>IF(DONNEES_SOURCE!$CA918=TRUE,IFERROR(MATCH(DONNEES_SOURCE!$B918,{"2. Très rarement (Moins d'une fois par mois)","3. Rarement (1 à 3 fois par mois)","4. Parfois (Environ une fois par semaine)","5. Régulièrement (Plusieurs fois par semaine)","6. Quotidiennement (Une fois par jour)","7. Très fréquemment (Plusieurs fois par jour)"},0)+1,""),"")</f>
        <v/>
      </c>
      <c r="R918" t="str">
        <f>IF(DONNEES_SOURCE!$CA918=TRUE,DONNEES_SOURCE!$BW918,"")</f>
        <v/>
      </c>
      <c r="S918" t="str">
        <f>IF(DONNEES_SOURCE!$CA918=TRUE,DONNEES_SOURCE!$AU918,"")</f>
        <v/>
      </c>
      <c r="T918" t="str">
        <f>IF(DONNEES_SOURCE!$CA918=TRUE,DONNEES_SOURCE!$BW918,"")</f>
        <v/>
      </c>
      <c r="U918" t="str">
        <f>IF(DONNEES_SOURCE!$CA918=TRUE,IFERROR(MATCH(DONNEES_SOURCE!$B918,{"2. Très rarement (Moins d'une fois par mois)","3. Rarement (1 à 3 fois par mois)","4. Parfois (Environ une fois par semaine)","5. Régulièrement (Plusieurs fois par semaine)","6. Quotidiennement (Une fois par jour)","7. Très fréquemment (Plusieurs fois par jour)"},0)+1,""),"")</f>
        <v/>
      </c>
    </row>
    <row r="919" spans="16:21" x14ac:dyDescent="0.25">
      <c r="P919" t="str">
        <f>IF(DONNEES_SOURCE!$CA919=TRUE,DONNEES_SOURCE!$BV919,"")</f>
        <v/>
      </c>
      <c r="Q919" t="str">
        <f>IF(DONNEES_SOURCE!$CA919=TRUE,IFERROR(MATCH(DONNEES_SOURCE!$B919,{"2. Très rarement (Moins d'une fois par mois)","3. Rarement (1 à 3 fois par mois)","4. Parfois (Environ une fois par semaine)","5. Régulièrement (Plusieurs fois par semaine)","6. Quotidiennement (Une fois par jour)","7. Très fréquemment (Plusieurs fois par jour)"},0)+1,""),"")</f>
        <v/>
      </c>
      <c r="R919" t="str">
        <f>IF(DONNEES_SOURCE!$CA919=TRUE,DONNEES_SOURCE!$BW919,"")</f>
        <v/>
      </c>
      <c r="S919" t="str">
        <f>IF(DONNEES_SOURCE!$CA919=TRUE,DONNEES_SOURCE!$AU919,"")</f>
        <v/>
      </c>
      <c r="T919" t="str">
        <f>IF(DONNEES_SOURCE!$CA919=TRUE,DONNEES_SOURCE!$BW919,"")</f>
        <v/>
      </c>
      <c r="U919" t="str">
        <f>IF(DONNEES_SOURCE!$CA919=TRUE,IFERROR(MATCH(DONNEES_SOURCE!$B919,{"2. Très rarement (Moins d'une fois par mois)","3. Rarement (1 à 3 fois par mois)","4. Parfois (Environ une fois par semaine)","5. Régulièrement (Plusieurs fois par semaine)","6. Quotidiennement (Une fois par jour)","7. Très fréquemment (Plusieurs fois par jour)"},0)+1,""),"")</f>
        <v/>
      </c>
    </row>
    <row r="920" spans="16:21" x14ac:dyDescent="0.25">
      <c r="P920" t="str">
        <f>IF(DONNEES_SOURCE!$CA920=TRUE,DONNEES_SOURCE!$BV920,"")</f>
        <v/>
      </c>
      <c r="Q920" t="str">
        <f>IF(DONNEES_SOURCE!$CA920=TRUE,IFERROR(MATCH(DONNEES_SOURCE!$B920,{"2. Très rarement (Moins d'une fois par mois)","3. Rarement (1 à 3 fois par mois)","4. Parfois (Environ une fois par semaine)","5. Régulièrement (Plusieurs fois par semaine)","6. Quotidiennement (Une fois par jour)","7. Très fréquemment (Plusieurs fois par jour)"},0)+1,""),"")</f>
        <v/>
      </c>
      <c r="R920" t="str">
        <f>IF(DONNEES_SOURCE!$CA920=TRUE,DONNEES_SOURCE!$BW920,"")</f>
        <v/>
      </c>
      <c r="S920" t="str">
        <f>IF(DONNEES_SOURCE!$CA920=TRUE,DONNEES_SOURCE!$AU920,"")</f>
        <v/>
      </c>
      <c r="T920" t="str">
        <f>IF(DONNEES_SOURCE!$CA920=TRUE,DONNEES_SOURCE!$BW920,"")</f>
        <v/>
      </c>
      <c r="U920" t="str">
        <f>IF(DONNEES_SOURCE!$CA920=TRUE,IFERROR(MATCH(DONNEES_SOURCE!$B920,{"2. Très rarement (Moins d'une fois par mois)","3. Rarement (1 à 3 fois par mois)","4. Parfois (Environ une fois par semaine)","5. Régulièrement (Plusieurs fois par semaine)","6. Quotidiennement (Une fois par jour)","7. Très fréquemment (Plusieurs fois par jour)"},0)+1,""),"")</f>
        <v/>
      </c>
    </row>
    <row r="921" spans="16:21" x14ac:dyDescent="0.25">
      <c r="P921" t="str">
        <f>IF(DONNEES_SOURCE!$CA921=TRUE,DONNEES_SOURCE!$BV921,"")</f>
        <v/>
      </c>
      <c r="Q921" t="str">
        <f>IF(DONNEES_SOURCE!$CA921=TRUE,IFERROR(MATCH(DONNEES_SOURCE!$B921,{"2. Très rarement (Moins d'une fois par mois)","3. Rarement (1 à 3 fois par mois)","4. Parfois (Environ une fois par semaine)","5. Régulièrement (Plusieurs fois par semaine)","6. Quotidiennement (Une fois par jour)","7. Très fréquemment (Plusieurs fois par jour)"},0)+1,""),"")</f>
        <v/>
      </c>
      <c r="R921" t="str">
        <f>IF(DONNEES_SOURCE!$CA921=TRUE,DONNEES_SOURCE!$BW921,"")</f>
        <v/>
      </c>
      <c r="S921" t="str">
        <f>IF(DONNEES_SOURCE!$CA921=TRUE,DONNEES_SOURCE!$AU921,"")</f>
        <v/>
      </c>
      <c r="T921" t="str">
        <f>IF(DONNEES_SOURCE!$CA921=TRUE,DONNEES_SOURCE!$BW921,"")</f>
        <v/>
      </c>
      <c r="U921" t="str">
        <f>IF(DONNEES_SOURCE!$CA921=TRUE,IFERROR(MATCH(DONNEES_SOURCE!$B921,{"2. Très rarement (Moins d'une fois par mois)","3. Rarement (1 à 3 fois par mois)","4. Parfois (Environ une fois par semaine)","5. Régulièrement (Plusieurs fois par semaine)","6. Quotidiennement (Une fois par jour)","7. Très fréquemment (Plusieurs fois par jour)"},0)+1,""),"")</f>
        <v/>
      </c>
    </row>
    <row r="922" spans="16:21" x14ac:dyDescent="0.25">
      <c r="P922" t="str">
        <f>IF(DONNEES_SOURCE!$CA922=TRUE,DONNEES_SOURCE!$BV922,"")</f>
        <v/>
      </c>
      <c r="Q922" t="str">
        <f>IF(DONNEES_SOURCE!$CA922=TRUE,IFERROR(MATCH(DONNEES_SOURCE!$B922,{"2. Très rarement (Moins d'une fois par mois)","3. Rarement (1 à 3 fois par mois)","4. Parfois (Environ une fois par semaine)","5. Régulièrement (Plusieurs fois par semaine)","6. Quotidiennement (Une fois par jour)","7. Très fréquemment (Plusieurs fois par jour)"},0)+1,""),"")</f>
        <v/>
      </c>
      <c r="R922" t="str">
        <f>IF(DONNEES_SOURCE!$CA922=TRUE,DONNEES_SOURCE!$BW922,"")</f>
        <v/>
      </c>
      <c r="S922" t="str">
        <f>IF(DONNEES_SOURCE!$CA922=TRUE,DONNEES_SOURCE!$AU922,"")</f>
        <v/>
      </c>
      <c r="T922" t="str">
        <f>IF(DONNEES_SOURCE!$CA922=TRUE,DONNEES_SOURCE!$BW922,"")</f>
        <v/>
      </c>
      <c r="U922" t="str">
        <f>IF(DONNEES_SOURCE!$CA922=TRUE,IFERROR(MATCH(DONNEES_SOURCE!$B922,{"2. Très rarement (Moins d'une fois par mois)","3. Rarement (1 à 3 fois par mois)","4. Parfois (Environ une fois par semaine)","5. Régulièrement (Plusieurs fois par semaine)","6. Quotidiennement (Une fois par jour)","7. Très fréquemment (Plusieurs fois par jour)"},0)+1,""),"")</f>
        <v/>
      </c>
    </row>
    <row r="923" spans="16:21" x14ac:dyDescent="0.25">
      <c r="P923" t="str">
        <f>IF(DONNEES_SOURCE!$CA923=TRUE,DONNEES_SOURCE!$BV923,"")</f>
        <v/>
      </c>
      <c r="Q923" t="str">
        <f>IF(DONNEES_SOURCE!$CA923=TRUE,IFERROR(MATCH(DONNEES_SOURCE!$B923,{"2. Très rarement (Moins d'une fois par mois)","3. Rarement (1 à 3 fois par mois)","4. Parfois (Environ une fois par semaine)","5. Régulièrement (Plusieurs fois par semaine)","6. Quotidiennement (Une fois par jour)","7. Très fréquemment (Plusieurs fois par jour)"},0)+1,""),"")</f>
        <v/>
      </c>
      <c r="R923" t="str">
        <f>IF(DONNEES_SOURCE!$CA923=TRUE,DONNEES_SOURCE!$BW923,"")</f>
        <v/>
      </c>
      <c r="S923" t="str">
        <f>IF(DONNEES_SOURCE!$CA923=TRUE,DONNEES_SOURCE!$AU923,"")</f>
        <v/>
      </c>
      <c r="T923" t="str">
        <f>IF(DONNEES_SOURCE!$CA923=TRUE,DONNEES_SOURCE!$BW923,"")</f>
        <v/>
      </c>
      <c r="U923" t="str">
        <f>IF(DONNEES_SOURCE!$CA923=TRUE,IFERROR(MATCH(DONNEES_SOURCE!$B923,{"2. Très rarement (Moins d'une fois par mois)","3. Rarement (1 à 3 fois par mois)","4. Parfois (Environ une fois par semaine)","5. Régulièrement (Plusieurs fois par semaine)","6. Quotidiennement (Une fois par jour)","7. Très fréquemment (Plusieurs fois par jour)"},0)+1,""),"")</f>
        <v/>
      </c>
    </row>
    <row r="924" spans="16:21" x14ac:dyDescent="0.25">
      <c r="P924" t="str">
        <f>IF(DONNEES_SOURCE!$CA924=TRUE,DONNEES_SOURCE!$BV924,"")</f>
        <v/>
      </c>
      <c r="Q924" t="str">
        <f>IF(DONNEES_SOURCE!$CA924=TRUE,IFERROR(MATCH(DONNEES_SOURCE!$B924,{"2. Très rarement (Moins d'une fois par mois)","3. Rarement (1 à 3 fois par mois)","4. Parfois (Environ une fois par semaine)","5. Régulièrement (Plusieurs fois par semaine)","6. Quotidiennement (Une fois par jour)","7. Très fréquemment (Plusieurs fois par jour)"},0)+1,""),"")</f>
        <v/>
      </c>
      <c r="R924" t="str">
        <f>IF(DONNEES_SOURCE!$CA924=TRUE,DONNEES_SOURCE!$BW924,"")</f>
        <v/>
      </c>
      <c r="S924" t="str">
        <f>IF(DONNEES_SOURCE!$CA924=TRUE,DONNEES_SOURCE!$AU924,"")</f>
        <v/>
      </c>
      <c r="T924" t="str">
        <f>IF(DONNEES_SOURCE!$CA924=TRUE,DONNEES_SOURCE!$BW924,"")</f>
        <v/>
      </c>
      <c r="U924" t="str">
        <f>IF(DONNEES_SOURCE!$CA924=TRUE,IFERROR(MATCH(DONNEES_SOURCE!$B924,{"2. Très rarement (Moins d'une fois par mois)","3. Rarement (1 à 3 fois par mois)","4. Parfois (Environ une fois par semaine)","5. Régulièrement (Plusieurs fois par semaine)","6. Quotidiennement (Une fois par jour)","7. Très fréquemment (Plusieurs fois par jour)"},0)+1,""),"")</f>
        <v/>
      </c>
    </row>
    <row r="925" spans="16:21" x14ac:dyDescent="0.25">
      <c r="P925" t="str">
        <f>IF(DONNEES_SOURCE!$CA925=TRUE,DONNEES_SOURCE!$BV925,"")</f>
        <v/>
      </c>
      <c r="Q925" t="str">
        <f>IF(DONNEES_SOURCE!$CA925=TRUE,IFERROR(MATCH(DONNEES_SOURCE!$B925,{"2. Très rarement (Moins d'une fois par mois)","3. Rarement (1 à 3 fois par mois)","4. Parfois (Environ une fois par semaine)","5. Régulièrement (Plusieurs fois par semaine)","6. Quotidiennement (Une fois par jour)","7. Très fréquemment (Plusieurs fois par jour)"},0)+1,""),"")</f>
        <v/>
      </c>
      <c r="R925" t="str">
        <f>IF(DONNEES_SOURCE!$CA925=TRUE,DONNEES_SOURCE!$BW925,"")</f>
        <v/>
      </c>
      <c r="S925" t="str">
        <f>IF(DONNEES_SOURCE!$CA925=TRUE,DONNEES_SOURCE!$AU925,"")</f>
        <v/>
      </c>
      <c r="T925" t="str">
        <f>IF(DONNEES_SOURCE!$CA925=TRUE,DONNEES_SOURCE!$BW925,"")</f>
        <v/>
      </c>
      <c r="U925" t="str">
        <f>IF(DONNEES_SOURCE!$CA925=TRUE,IFERROR(MATCH(DONNEES_SOURCE!$B925,{"2. Très rarement (Moins d'une fois par mois)","3. Rarement (1 à 3 fois par mois)","4. Parfois (Environ une fois par semaine)","5. Régulièrement (Plusieurs fois par semaine)","6. Quotidiennement (Une fois par jour)","7. Très fréquemment (Plusieurs fois par jour)"},0)+1,""),"")</f>
        <v/>
      </c>
    </row>
    <row r="926" spans="16:21" x14ac:dyDescent="0.25">
      <c r="P926" t="str">
        <f>IF(DONNEES_SOURCE!$CA926=TRUE,DONNEES_SOURCE!$BV926,"")</f>
        <v/>
      </c>
      <c r="Q926" t="str">
        <f>IF(DONNEES_SOURCE!$CA926=TRUE,IFERROR(MATCH(DONNEES_SOURCE!$B926,{"2. Très rarement (Moins d'une fois par mois)","3. Rarement (1 à 3 fois par mois)","4. Parfois (Environ une fois par semaine)","5. Régulièrement (Plusieurs fois par semaine)","6. Quotidiennement (Une fois par jour)","7. Très fréquemment (Plusieurs fois par jour)"},0)+1,""),"")</f>
        <v/>
      </c>
      <c r="R926" t="str">
        <f>IF(DONNEES_SOURCE!$CA926=TRUE,DONNEES_SOURCE!$BW926,"")</f>
        <v/>
      </c>
      <c r="S926" t="str">
        <f>IF(DONNEES_SOURCE!$CA926=TRUE,DONNEES_SOURCE!$AU926,"")</f>
        <v/>
      </c>
      <c r="T926" t="str">
        <f>IF(DONNEES_SOURCE!$CA926=TRUE,DONNEES_SOURCE!$BW926,"")</f>
        <v/>
      </c>
      <c r="U926" t="str">
        <f>IF(DONNEES_SOURCE!$CA926=TRUE,IFERROR(MATCH(DONNEES_SOURCE!$B926,{"2. Très rarement (Moins d'une fois par mois)","3. Rarement (1 à 3 fois par mois)","4. Parfois (Environ une fois par semaine)","5. Régulièrement (Plusieurs fois par semaine)","6. Quotidiennement (Une fois par jour)","7. Très fréquemment (Plusieurs fois par jour)"},0)+1,""),"")</f>
        <v/>
      </c>
    </row>
    <row r="927" spans="16:21" x14ac:dyDescent="0.25">
      <c r="P927" t="str">
        <f>IF(DONNEES_SOURCE!$CA927=TRUE,DONNEES_SOURCE!$BV927,"")</f>
        <v/>
      </c>
      <c r="Q927" t="str">
        <f>IF(DONNEES_SOURCE!$CA927=TRUE,IFERROR(MATCH(DONNEES_SOURCE!$B927,{"2. Très rarement (Moins d'une fois par mois)","3. Rarement (1 à 3 fois par mois)","4. Parfois (Environ une fois par semaine)","5. Régulièrement (Plusieurs fois par semaine)","6. Quotidiennement (Une fois par jour)","7. Très fréquemment (Plusieurs fois par jour)"},0)+1,""),"")</f>
        <v/>
      </c>
      <c r="R927" t="str">
        <f>IF(DONNEES_SOURCE!$CA927=TRUE,DONNEES_SOURCE!$BW927,"")</f>
        <v/>
      </c>
      <c r="S927" t="str">
        <f>IF(DONNEES_SOURCE!$CA927=TRUE,DONNEES_SOURCE!$AU927,"")</f>
        <v/>
      </c>
      <c r="T927" t="str">
        <f>IF(DONNEES_SOURCE!$CA927=TRUE,DONNEES_SOURCE!$BW927,"")</f>
        <v/>
      </c>
      <c r="U927" t="str">
        <f>IF(DONNEES_SOURCE!$CA927=TRUE,IFERROR(MATCH(DONNEES_SOURCE!$B927,{"2. Très rarement (Moins d'une fois par mois)","3. Rarement (1 à 3 fois par mois)","4. Parfois (Environ une fois par semaine)","5. Régulièrement (Plusieurs fois par semaine)","6. Quotidiennement (Une fois par jour)","7. Très fréquemment (Plusieurs fois par jour)"},0)+1,""),"")</f>
        <v/>
      </c>
    </row>
    <row r="928" spans="16:21" x14ac:dyDescent="0.25">
      <c r="P928" t="str">
        <f>IF(DONNEES_SOURCE!$CA928=TRUE,DONNEES_SOURCE!$BV928,"")</f>
        <v/>
      </c>
      <c r="Q928" t="str">
        <f>IF(DONNEES_SOURCE!$CA928=TRUE,IFERROR(MATCH(DONNEES_SOURCE!$B928,{"2. Très rarement (Moins d'une fois par mois)","3. Rarement (1 à 3 fois par mois)","4. Parfois (Environ une fois par semaine)","5. Régulièrement (Plusieurs fois par semaine)","6. Quotidiennement (Une fois par jour)","7. Très fréquemment (Plusieurs fois par jour)"},0)+1,""),"")</f>
        <v/>
      </c>
      <c r="R928" t="str">
        <f>IF(DONNEES_SOURCE!$CA928=TRUE,DONNEES_SOURCE!$BW928,"")</f>
        <v/>
      </c>
      <c r="S928" t="str">
        <f>IF(DONNEES_SOURCE!$CA928=TRUE,DONNEES_SOURCE!$AU928,"")</f>
        <v/>
      </c>
      <c r="T928" t="str">
        <f>IF(DONNEES_SOURCE!$CA928=TRUE,DONNEES_SOURCE!$BW928,"")</f>
        <v/>
      </c>
      <c r="U928" t="str">
        <f>IF(DONNEES_SOURCE!$CA928=TRUE,IFERROR(MATCH(DONNEES_SOURCE!$B928,{"2. Très rarement (Moins d'une fois par mois)","3. Rarement (1 à 3 fois par mois)","4. Parfois (Environ une fois par semaine)","5. Régulièrement (Plusieurs fois par semaine)","6. Quotidiennement (Une fois par jour)","7. Très fréquemment (Plusieurs fois par jour)"},0)+1,""),"")</f>
        <v/>
      </c>
    </row>
    <row r="929" spans="16:21" x14ac:dyDescent="0.25">
      <c r="P929" t="str">
        <f>IF(DONNEES_SOURCE!$CA929=TRUE,DONNEES_SOURCE!$BV929,"")</f>
        <v/>
      </c>
      <c r="Q929" t="str">
        <f>IF(DONNEES_SOURCE!$CA929=TRUE,IFERROR(MATCH(DONNEES_SOURCE!$B929,{"2. Très rarement (Moins d'une fois par mois)","3. Rarement (1 à 3 fois par mois)","4. Parfois (Environ une fois par semaine)","5. Régulièrement (Plusieurs fois par semaine)","6. Quotidiennement (Une fois par jour)","7. Très fréquemment (Plusieurs fois par jour)"},0)+1,""),"")</f>
        <v/>
      </c>
      <c r="R929" t="str">
        <f>IF(DONNEES_SOURCE!$CA929=TRUE,DONNEES_SOURCE!$BW929,"")</f>
        <v/>
      </c>
      <c r="S929" t="str">
        <f>IF(DONNEES_SOURCE!$CA929=TRUE,DONNEES_SOURCE!$AU929,"")</f>
        <v/>
      </c>
      <c r="T929" t="str">
        <f>IF(DONNEES_SOURCE!$CA929=TRUE,DONNEES_SOURCE!$BW929,"")</f>
        <v/>
      </c>
      <c r="U929" t="str">
        <f>IF(DONNEES_SOURCE!$CA929=TRUE,IFERROR(MATCH(DONNEES_SOURCE!$B929,{"2. Très rarement (Moins d'une fois par mois)","3. Rarement (1 à 3 fois par mois)","4. Parfois (Environ une fois par semaine)","5. Régulièrement (Plusieurs fois par semaine)","6. Quotidiennement (Une fois par jour)","7. Très fréquemment (Plusieurs fois par jour)"},0)+1,""),"")</f>
        <v/>
      </c>
    </row>
    <row r="930" spans="16:21" x14ac:dyDescent="0.25">
      <c r="P930" t="str">
        <f>IF(DONNEES_SOURCE!$CA930=TRUE,DONNEES_SOURCE!$BV930,"")</f>
        <v/>
      </c>
      <c r="Q930" t="str">
        <f>IF(DONNEES_SOURCE!$CA930=TRUE,IFERROR(MATCH(DONNEES_SOURCE!$B930,{"2. Très rarement (Moins d'une fois par mois)","3. Rarement (1 à 3 fois par mois)","4. Parfois (Environ une fois par semaine)","5. Régulièrement (Plusieurs fois par semaine)","6. Quotidiennement (Une fois par jour)","7. Très fréquemment (Plusieurs fois par jour)"},0)+1,""),"")</f>
        <v/>
      </c>
      <c r="R930" t="str">
        <f>IF(DONNEES_SOURCE!$CA930=TRUE,DONNEES_SOURCE!$BW930,"")</f>
        <v/>
      </c>
      <c r="S930" t="str">
        <f>IF(DONNEES_SOURCE!$CA930=TRUE,DONNEES_SOURCE!$AU930,"")</f>
        <v/>
      </c>
      <c r="T930" t="str">
        <f>IF(DONNEES_SOURCE!$CA930=TRUE,DONNEES_SOURCE!$BW930,"")</f>
        <v/>
      </c>
      <c r="U930" t="str">
        <f>IF(DONNEES_SOURCE!$CA930=TRUE,IFERROR(MATCH(DONNEES_SOURCE!$B930,{"2. Très rarement (Moins d'une fois par mois)","3. Rarement (1 à 3 fois par mois)","4. Parfois (Environ une fois par semaine)","5. Régulièrement (Plusieurs fois par semaine)","6. Quotidiennement (Une fois par jour)","7. Très fréquemment (Plusieurs fois par jour)"},0)+1,""),"")</f>
        <v/>
      </c>
    </row>
    <row r="931" spans="16:21" x14ac:dyDescent="0.25">
      <c r="P931" t="str">
        <f>IF(DONNEES_SOURCE!$CA931=TRUE,DONNEES_SOURCE!$BV931,"")</f>
        <v/>
      </c>
      <c r="Q931" t="str">
        <f>IF(DONNEES_SOURCE!$CA931=TRUE,IFERROR(MATCH(DONNEES_SOURCE!$B931,{"2. Très rarement (Moins d'une fois par mois)","3. Rarement (1 à 3 fois par mois)","4. Parfois (Environ une fois par semaine)","5. Régulièrement (Plusieurs fois par semaine)","6. Quotidiennement (Une fois par jour)","7. Très fréquemment (Plusieurs fois par jour)"},0)+1,""),"")</f>
        <v/>
      </c>
      <c r="R931" t="str">
        <f>IF(DONNEES_SOURCE!$CA931=TRUE,DONNEES_SOURCE!$BW931,"")</f>
        <v/>
      </c>
      <c r="S931" t="str">
        <f>IF(DONNEES_SOURCE!$CA931=TRUE,DONNEES_SOURCE!$AU931,"")</f>
        <v/>
      </c>
      <c r="T931" t="str">
        <f>IF(DONNEES_SOURCE!$CA931=TRUE,DONNEES_SOURCE!$BW931,"")</f>
        <v/>
      </c>
      <c r="U931" t="str">
        <f>IF(DONNEES_SOURCE!$CA931=TRUE,IFERROR(MATCH(DONNEES_SOURCE!$B931,{"2. Très rarement (Moins d'une fois par mois)","3. Rarement (1 à 3 fois par mois)","4. Parfois (Environ une fois par semaine)","5. Régulièrement (Plusieurs fois par semaine)","6. Quotidiennement (Une fois par jour)","7. Très fréquemment (Plusieurs fois par jour)"},0)+1,""),"")</f>
        <v/>
      </c>
    </row>
    <row r="932" spans="16:21" x14ac:dyDescent="0.25">
      <c r="P932" t="str">
        <f>IF(DONNEES_SOURCE!$CA932=TRUE,DONNEES_SOURCE!$BV932,"")</f>
        <v/>
      </c>
      <c r="Q932" t="str">
        <f>IF(DONNEES_SOURCE!$CA932=TRUE,IFERROR(MATCH(DONNEES_SOURCE!$B932,{"2. Très rarement (Moins d'une fois par mois)","3. Rarement (1 à 3 fois par mois)","4. Parfois (Environ une fois par semaine)","5. Régulièrement (Plusieurs fois par semaine)","6. Quotidiennement (Une fois par jour)","7. Très fréquemment (Plusieurs fois par jour)"},0)+1,""),"")</f>
        <v/>
      </c>
      <c r="R932" t="str">
        <f>IF(DONNEES_SOURCE!$CA932=TRUE,DONNEES_SOURCE!$BW932,"")</f>
        <v/>
      </c>
      <c r="S932" t="str">
        <f>IF(DONNEES_SOURCE!$CA932=TRUE,DONNEES_SOURCE!$AU932,"")</f>
        <v/>
      </c>
      <c r="T932" t="str">
        <f>IF(DONNEES_SOURCE!$CA932=TRUE,DONNEES_SOURCE!$BW932,"")</f>
        <v/>
      </c>
      <c r="U932" t="str">
        <f>IF(DONNEES_SOURCE!$CA932=TRUE,IFERROR(MATCH(DONNEES_SOURCE!$B932,{"2. Très rarement (Moins d'une fois par mois)","3. Rarement (1 à 3 fois par mois)","4. Parfois (Environ une fois par semaine)","5. Régulièrement (Plusieurs fois par semaine)","6. Quotidiennement (Une fois par jour)","7. Très fréquemment (Plusieurs fois par jour)"},0)+1,""),"")</f>
        <v/>
      </c>
    </row>
    <row r="933" spans="16:21" x14ac:dyDescent="0.25">
      <c r="P933" t="str">
        <f>IF(DONNEES_SOURCE!$CA933=TRUE,DONNEES_SOURCE!$BV933,"")</f>
        <v/>
      </c>
      <c r="Q933" t="str">
        <f>IF(DONNEES_SOURCE!$CA933=TRUE,IFERROR(MATCH(DONNEES_SOURCE!$B933,{"2. Très rarement (Moins d'une fois par mois)","3. Rarement (1 à 3 fois par mois)","4. Parfois (Environ une fois par semaine)","5. Régulièrement (Plusieurs fois par semaine)","6. Quotidiennement (Une fois par jour)","7. Très fréquemment (Plusieurs fois par jour)"},0)+1,""),"")</f>
        <v/>
      </c>
      <c r="R933" t="str">
        <f>IF(DONNEES_SOURCE!$CA933=TRUE,DONNEES_SOURCE!$BW933,"")</f>
        <v/>
      </c>
      <c r="S933" t="str">
        <f>IF(DONNEES_SOURCE!$CA933=TRUE,DONNEES_SOURCE!$AU933,"")</f>
        <v/>
      </c>
      <c r="T933" t="str">
        <f>IF(DONNEES_SOURCE!$CA933=TRUE,DONNEES_SOURCE!$BW933,"")</f>
        <v/>
      </c>
      <c r="U933" t="str">
        <f>IF(DONNEES_SOURCE!$CA933=TRUE,IFERROR(MATCH(DONNEES_SOURCE!$B933,{"2. Très rarement (Moins d'une fois par mois)","3. Rarement (1 à 3 fois par mois)","4. Parfois (Environ une fois par semaine)","5. Régulièrement (Plusieurs fois par semaine)","6. Quotidiennement (Une fois par jour)","7. Très fréquemment (Plusieurs fois par jour)"},0)+1,""),"")</f>
        <v/>
      </c>
    </row>
    <row r="934" spans="16:21" x14ac:dyDescent="0.25">
      <c r="P934" t="str">
        <f>IF(DONNEES_SOURCE!$CA934=TRUE,DONNEES_SOURCE!$BV934,"")</f>
        <v/>
      </c>
      <c r="Q934" t="str">
        <f>IF(DONNEES_SOURCE!$CA934=TRUE,IFERROR(MATCH(DONNEES_SOURCE!$B934,{"2. Très rarement (Moins d'une fois par mois)","3. Rarement (1 à 3 fois par mois)","4. Parfois (Environ une fois par semaine)","5. Régulièrement (Plusieurs fois par semaine)","6. Quotidiennement (Une fois par jour)","7. Très fréquemment (Plusieurs fois par jour)"},0)+1,""),"")</f>
        <v/>
      </c>
      <c r="R934" t="str">
        <f>IF(DONNEES_SOURCE!$CA934=TRUE,DONNEES_SOURCE!$BW934,"")</f>
        <v/>
      </c>
      <c r="S934" t="str">
        <f>IF(DONNEES_SOURCE!$CA934=TRUE,DONNEES_SOURCE!$AU934,"")</f>
        <v/>
      </c>
      <c r="T934" t="str">
        <f>IF(DONNEES_SOURCE!$CA934=TRUE,DONNEES_SOURCE!$BW934,"")</f>
        <v/>
      </c>
      <c r="U934" t="str">
        <f>IF(DONNEES_SOURCE!$CA934=TRUE,IFERROR(MATCH(DONNEES_SOURCE!$B934,{"2. Très rarement (Moins d'une fois par mois)","3. Rarement (1 à 3 fois par mois)","4. Parfois (Environ une fois par semaine)","5. Régulièrement (Plusieurs fois par semaine)","6. Quotidiennement (Une fois par jour)","7. Très fréquemment (Plusieurs fois par jour)"},0)+1,""),"")</f>
        <v/>
      </c>
    </row>
    <row r="935" spans="16:21" x14ac:dyDescent="0.25">
      <c r="P935" t="str">
        <f>IF(DONNEES_SOURCE!$CA935=TRUE,DONNEES_SOURCE!$BV935,"")</f>
        <v/>
      </c>
      <c r="Q935" t="str">
        <f>IF(DONNEES_SOURCE!$CA935=TRUE,IFERROR(MATCH(DONNEES_SOURCE!$B935,{"2. Très rarement (Moins d'une fois par mois)","3. Rarement (1 à 3 fois par mois)","4. Parfois (Environ une fois par semaine)","5. Régulièrement (Plusieurs fois par semaine)","6. Quotidiennement (Une fois par jour)","7. Très fréquemment (Plusieurs fois par jour)"},0)+1,""),"")</f>
        <v/>
      </c>
      <c r="R935" t="str">
        <f>IF(DONNEES_SOURCE!$CA935=TRUE,DONNEES_SOURCE!$BW935,"")</f>
        <v/>
      </c>
      <c r="S935" t="str">
        <f>IF(DONNEES_SOURCE!$CA935=TRUE,DONNEES_SOURCE!$AU935,"")</f>
        <v/>
      </c>
      <c r="T935" t="str">
        <f>IF(DONNEES_SOURCE!$CA935=TRUE,DONNEES_SOURCE!$BW935,"")</f>
        <v/>
      </c>
      <c r="U935" t="str">
        <f>IF(DONNEES_SOURCE!$CA935=TRUE,IFERROR(MATCH(DONNEES_SOURCE!$B935,{"2. Très rarement (Moins d'une fois par mois)","3. Rarement (1 à 3 fois par mois)","4. Parfois (Environ une fois par semaine)","5. Régulièrement (Plusieurs fois par semaine)","6. Quotidiennement (Une fois par jour)","7. Très fréquemment (Plusieurs fois par jour)"},0)+1,""),"")</f>
        <v/>
      </c>
    </row>
    <row r="936" spans="16:21" x14ac:dyDescent="0.25">
      <c r="P936" t="str">
        <f>IF(DONNEES_SOURCE!$CA936=TRUE,DONNEES_SOURCE!$BV936,"")</f>
        <v/>
      </c>
      <c r="Q936" t="str">
        <f>IF(DONNEES_SOURCE!$CA936=TRUE,IFERROR(MATCH(DONNEES_SOURCE!$B936,{"2. Très rarement (Moins d'une fois par mois)","3. Rarement (1 à 3 fois par mois)","4. Parfois (Environ une fois par semaine)","5. Régulièrement (Plusieurs fois par semaine)","6. Quotidiennement (Une fois par jour)","7. Très fréquemment (Plusieurs fois par jour)"},0)+1,""),"")</f>
        <v/>
      </c>
      <c r="R936" t="str">
        <f>IF(DONNEES_SOURCE!$CA936=TRUE,DONNEES_SOURCE!$BW936,"")</f>
        <v/>
      </c>
      <c r="S936" t="str">
        <f>IF(DONNEES_SOURCE!$CA936=TRUE,DONNEES_SOURCE!$AU936,"")</f>
        <v/>
      </c>
      <c r="T936" t="str">
        <f>IF(DONNEES_SOURCE!$CA936=TRUE,DONNEES_SOURCE!$BW936,"")</f>
        <v/>
      </c>
      <c r="U936" t="str">
        <f>IF(DONNEES_SOURCE!$CA936=TRUE,IFERROR(MATCH(DONNEES_SOURCE!$B936,{"2. Très rarement (Moins d'une fois par mois)","3. Rarement (1 à 3 fois par mois)","4. Parfois (Environ une fois par semaine)","5. Régulièrement (Plusieurs fois par semaine)","6. Quotidiennement (Une fois par jour)","7. Très fréquemment (Plusieurs fois par jour)"},0)+1,""),"")</f>
        <v/>
      </c>
    </row>
    <row r="937" spans="16:21" x14ac:dyDescent="0.25">
      <c r="P937" t="str">
        <f>IF(DONNEES_SOURCE!$CA937=TRUE,DONNEES_SOURCE!$BV937,"")</f>
        <v/>
      </c>
      <c r="Q937" t="str">
        <f>IF(DONNEES_SOURCE!$CA937=TRUE,IFERROR(MATCH(DONNEES_SOURCE!$B937,{"2. Très rarement (Moins d'une fois par mois)","3. Rarement (1 à 3 fois par mois)","4. Parfois (Environ une fois par semaine)","5. Régulièrement (Plusieurs fois par semaine)","6. Quotidiennement (Une fois par jour)","7. Très fréquemment (Plusieurs fois par jour)"},0)+1,""),"")</f>
        <v/>
      </c>
      <c r="R937" t="str">
        <f>IF(DONNEES_SOURCE!$CA937=TRUE,DONNEES_SOURCE!$BW937,"")</f>
        <v/>
      </c>
      <c r="S937" t="str">
        <f>IF(DONNEES_SOURCE!$CA937=TRUE,DONNEES_SOURCE!$AU937,"")</f>
        <v/>
      </c>
      <c r="T937" t="str">
        <f>IF(DONNEES_SOURCE!$CA937=TRUE,DONNEES_SOURCE!$BW937,"")</f>
        <v/>
      </c>
      <c r="U937" t="str">
        <f>IF(DONNEES_SOURCE!$CA937=TRUE,IFERROR(MATCH(DONNEES_SOURCE!$B937,{"2. Très rarement (Moins d'une fois par mois)","3. Rarement (1 à 3 fois par mois)","4. Parfois (Environ une fois par semaine)","5. Régulièrement (Plusieurs fois par semaine)","6. Quotidiennement (Une fois par jour)","7. Très fréquemment (Plusieurs fois par jour)"},0)+1,""),"")</f>
        <v/>
      </c>
    </row>
    <row r="938" spans="16:21" x14ac:dyDescent="0.25">
      <c r="P938" t="str">
        <f>IF(DONNEES_SOURCE!$CA938=TRUE,DONNEES_SOURCE!$BV938,"")</f>
        <v/>
      </c>
      <c r="Q938" t="str">
        <f>IF(DONNEES_SOURCE!$CA938=TRUE,IFERROR(MATCH(DONNEES_SOURCE!$B938,{"2. Très rarement (Moins d'une fois par mois)","3. Rarement (1 à 3 fois par mois)","4. Parfois (Environ une fois par semaine)","5. Régulièrement (Plusieurs fois par semaine)","6. Quotidiennement (Une fois par jour)","7. Très fréquemment (Plusieurs fois par jour)"},0)+1,""),"")</f>
        <v/>
      </c>
      <c r="R938" t="str">
        <f>IF(DONNEES_SOURCE!$CA938=TRUE,DONNEES_SOURCE!$BW938,"")</f>
        <v/>
      </c>
      <c r="S938" t="str">
        <f>IF(DONNEES_SOURCE!$CA938=TRUE,DONNEES_SOURCE!$AU938,"")</f>
        <v/>
      </c>
      <c r="T938" t="str">
        <f>IF(DONNEES_SOURCE!$CA938=TRUE,DONNEES_SOURCE!$BW938,"")</f>
        <v/>
      </c>
      <c r="U938" t="str">
        <f>IF(DONNEES_SOURCE!$CA938=TRUE,IFERROR(MATCH(DONNEES_SOURCE!$B938,{"2. Très rarement (Moins d'une fois par mois)","3. Rarement (1 à 3 fois par mois)","4. Parfois (Environ une fois par semaine)","5. Régulièrement (Plusieurs fois par semaine)","6. Quotidiennement (Une fois par jour)","7. Très fréquemment (Plusieurs fois par jour)"},0)+1,""),"")</f>
        <v/>
      </c>
    </row>
    <row r="939" spans="16:21" x14ac:dyDescent="0.25">
      <c r="P939" t="str">
        <f>IF(DONNEES_SOURCE!$CA939=TRUE,DONNEES_SOURCE!$BV939,"")</f>
        <v/>
      </c>
      <c r="Q939" t="str">
        <f>IF(DONNEES_SOURCE!$CA939=TRUE,IFERROR(MATCH(DONNEES_SOURCE!$B939,{"2. Très rarement (Moins d'une fois par mois)","3. Rarement (1 à 3 fois par mois)","4. Parfois (Environ une fois par semaine)","5. Régulièrement (Plusieurs fois par semaine)","6. Quotidiennement (Une fois par jour)","7. Très fréquemment (Plusieurs fois par jour)"},0)+1,""),"")</f>
        <v/>
      </c>
      <c r="R939" t="str">
        <f>IF(DONNEES_SOURCE!$CA939=TRUE,DONNEES_SOURCE!$BW939,"")</f>
        <v/>
      </c>
      <c r="S939" t="str">
        <f>IF(DONNEES_SOURCE!$CA939=TRUE,DONNEES_SOURCE!$AU939,"")</f>
        <v/>
      </c>
      <c r="T939" t="str">
        <f>IF(DONNEES_SOURCE!$CA939=TRUE,DONNEES_SOURCE!$BW939,"")</f>
        <v/>
      </c>
      <c r="U939" t="str">
        <f>IF(DONNEES_SOURCE!$CA939=TRUE,IFERROR(MATCH(DONNEES_SOURCE!$B939,{"2. Très rarement (Moins d'une fois par mois)","3. Rarement (1 à 3 fois par mois)","4. Parfois (Environ une fois par semaine)","5. Régulièrement (Plusieurs fois par semaine)","6. Quotidiennement (Une fois par jour)","7. Très fréquemment (Plusieurs fois par jour)"},0)+1,""),"")</f>
        <v/>
      </c>
    </row>
    <row r="940" spans="16:21" x14ac:dyDescent="0.25">
      <c r="P940" t="str">
        <f>IF(DONNEES_SOURCE!$CA940=TRUE,DONNEES_SOURCE!$BV940,"")</f>
        <v/>
      </c>
      <c r="Q940" t="str">
        <f>IF(DONNEES_SOURCE!$CA940=TRUE,IFERROR(MATCH(DONNEES_SOURCE!$B940,{"2. Très rarement (Moins d'une fois par mois)","3. Rarement (1 à 3 fois par mois)","4. Parfois (Environ une fois par semaine)","5. Régulièrement (Plusieurs fois par semaine)","6. Quotidiennement (Une fois par jour)","7. Très fréquemment (Plusieurs fois par jour)"},0)+1,""),"")</f>
        <v/>
      </c>
      <c r="R940" t="str">
        <f>IF(DONNEES_SOURCE!$CA940=TRUE,DONNEES_SOURCE!$BW940,"")</f>
        <v/>
      </c>
      <c r="S940" t="str">
        <f>IF(DONNEES_SOURCE!$CA940=TRUE,DONNEES_SOURCE!$AU940,"")</f>
        <v/>
      </c>
      <c r="T940" t="str">
        <f>IF(DONNEES_SOURCE!$CA940=TRUE,DONNEES_SOURCE!$BW940,"")</f>
        <v/>
      </c>
      <c r="U940" t="str">
        <f>IF(DONNEES_SOURCE!$CA940=TRUE,IFERROR(MATCH(DONNEES_SOURCE!$B940,{"2. Très rarement (Moins d'une fois par mois)","3. Rarement (1 à 3 fois par mois)","4. Parfois (Environ une fois par semaine)","5. Régulièrement (Plusieurs fois par semaine)","6. Quotidiennement (Une fois par jour)","7. Très fréquemment (Plusieurs fois par jour)"},0)+1,""),"")</f>
        <v/>
      </c>
    </row>
    <row r="941" spans="16:21" x14ac:dyDescent="0.25">
      <c r="P941" t="str">
        <f>IF(DONNEES_SOURCE!$CA941=TRUE,DONNEES_SOURCE!$BV941,"")</f>
        <v/>
      </c>
      <c r="Q941" t="str">
        <f>IF(DONNEES_SOURCE!$CA941=TRUE,IFERROR(MATCH(DONNEES_SOURCE!$B941,{"2. Très rarement (Moins d'une fois par mois)","3. Rarement (1 à 3 fois par mois)","4. Parfois (Environ une fois par semaine)","5. Régulièrement (Plusieurs fois par semaine)","6. Quotidiennement (Une fois par jour)","7. Très fréquemment (Plusieurs fois par jour)"},0)+1,""),"")</f>
        <v/>
      </c>
      <c r="R941" t="str">
        <f>IF(DONNEES_SOURCE!$CA941=TRUE,DONNEES_SOURCE!$BW941,"")</f>
        <v/>
      </c>
      <c r="S941" t="str">
        <f>IF(DONNEES_SOURCE!$CA941=TRUE,DONNEES_SOURCE!$AU941,"")</f>
        <v/>
      </c>
      <c r="T941" t="str">
        <f>IF(DONNEES_SOURCE!$CA941=TRUE,DONNEES_SOURCE!$BW941,"")</f>
        <v/>
      </c>
      <c r="U941" t="str">
        <f>IF(DONNEES_SOURCE!$CA941=TRUE,IFERROR(MATCH(DONNEES_SOURCE!$B941,{"2. Très rarement (Moins d'une fois par mois)","3. Rarement (1 à 3 fois par mois)","4. Parfois (Environ une fois par semaine)","5. Régulièrement (Plusieurs fois par semaine)","6. Quotidiennement (Une fois par jour)","7. Très fréquemment (Plusieurs fois par jour)"},0)+1,""),"")</f>
        <v/>
      </c>
    </row>
    <row r="942" spans="16:21" x14ac:dyDescent="0.25">
      <c r="P942" t="str">
        <f>IF(DONNEES_SOURCE!$CA942=TRUE,DONNEES_SOURCE!$BV942,"")</f>
        <v/>
      </c>
      <c r="Q942" t="str">
        <f>IF(DONNEES_SOURCE!$CA942=TRUE,IFERROR(MATCH(DONNEES_SOURCE!$B942,{"2. Très rarement (Moins d'une fois par mois)","3. Rarement (1 à 3 fois par mois)","4. Parfois (Environ une fois par semaine)","5. Régulièrement (Plusieurs fois par semaine)","6. Quotidiennement (Une fois par jour)","7. Très fréquemment (Plusieurs fois par jour)"},0)+1,""),"")</f>
        <v/>
      </c>
      <c r="R942" t="str">
        <f>IF(DONNEES_SOURCE!$CA942=TRUE,DONNEES_SOURCE!$BW942,"")</f>
        <v/>
      </c>
      <c r="S942" t="str">
        <f>IF(DONNEES_SOURCE!$CA942=TRUE,DONNEES_SOURCE!$AU942,"")</f>
        <v/>
      </c>
      <c r="T942" t="str">
        <f>IF(DONNEES_SOURCE!$CA942=TRUE,DONNEES_SOURCE!$BW942,"")</f>
        <v/>
      </c>
      <c r="U942" t="str">
        <f>IF(DONNEES_SOURCE!$CA942=TRUE,IFERROR(MATCH(DONNEES_SOURCE!$B942,{"2. Très rarement (Moins d'une fois par mois)","3. Rarement (1 à 3 fois par mois)","4. Parfois (Environ une fois par semaine)","5. Régulièrement (Plusieurs fois par semaine)","6. Quotidiennement (Une fois par jour)","7. Très fréquemment (Plusieurs fois par jour)"},0)+1,""),"")</f>
        <v/>
      </c>
    </row>
    <row r="943" spans="16:21" x14ac:dyDescent="0.25">
      <c r="P943" t="str">
        <f>IF(DONNEES_SOURCE!$CA943=TRUE,DONNEES_SOURCE!$BV943,"")</f>
        <v/>
      </c>
      <c r="Q943" t="str">
        <f>IF(DONNEES_SOURCE!$CA943=TRUE,IFERROR(MATCH(DONNEES_SOURCE!$B943,{"2. Très rarement (Moins d'une fois par mois)","3. Rarement (1 à 3 fois par mois)","4. Parfois (Environ une fois par semaine)","5. Régulièrement (Plusieurs fois par semaine)","6. Quotidiennement (Une fois par jour)","7. Très fréquemment (Plusieurs fois par jour)"},0)+1,""),"")</f>
        <v/>
      </c>
      <c r="R943" t="str">
        <f>IF(DONNEES_SOURCE!$CA943=TRUE,DONNEES_SOURCE!$BW943,"")</f>
        <v/>
      </c>
      <c r="S943" t="str">
        <f>IF(DONNEES_SOURCE!$CA943=TRUE,DONNEES_SOURCE!$AU943,"")</f>
        <v/>
      </c>
      <c r="T943" t="str">
        <f>IF(DONNEES_SOURCE!$CA943=TRUE,DONNEES_SOURCE!$BW943,"")</f>
        <v/>
      </c>
      <c r="U943" t="str">
        <f>IF(DONNEES_SOURCE!$CA943=TRUE,IFERROR(MATCH(DONNEES_SOURCE!$B943,{"2. Très rarement (Moins d'une fois par mois)","3. Rarement (1 à 3 fois par mois)","4. Parfois (Environ une fois par semaine)","5. Régulièrement (Plusieurs fois par semaine)","6. Quotidiennement (Une fois par jour)","7. Très fréquemment (Plusieurs fois par jour)"},0)+1,""),"")</f>
        <v/>
      </c>
    </row>
    <row r="944" spans="16:21" x14ac:dyDescent="0.25">
      <c r="P944" t="str">
        <f>IF(DONNEES_SOURCE!$CA944=TRUE,DONNEES_SOURCE!$BV944,"")</f>
        <v/>
      </c>
      <c r="Q944" t="str">
        <f>IF(DONNEES_SOURCE!$CA944=TRUE,IFERROR(MATCH(DONNEES_SOURCE!$B944,{"2. Très rarement (Moins d'une fois par mois)","3. Rarement (1 à 3 fois par mois)","4. Parfois (Environ une fois par semaine)","5. Régulièrement (Plusieurs fois par semaine)","6. Quotidiennement (Une fois par jour)","7. Très fréquemment (Plusieurs fois par jour)"},0)+1,""),"")</f>
        <v/>
      </c>
      <c r="R944" t="str">
        <f>IF(DONNEES_SOURCE!$CA944=TRUE,DONNEES_SOURCE!$BW944,"")</f>
        <v/>
      </c>
      <c r="S944" t="str">
        <f>IF(DONNEES_SOURCE!$CA944=TRUE,DONNEES_SOURCE!$AU944,"")</f>
        <v/>
      </c>
      <c r="T944" t="str">
        <f>IF(DONNEES_SOURCE!$CA944=TRUE,DONNEES_SOURCE!$BW944,"")</f>
        <v/>
      </c>
      <c r="U944" t="str">
        <f>IF(DONNEES_SOURCE!$CA944=TRUE,IFERROR(MATCH(DONNEES_SOURCE!$B944,{"2. Très rarement (Moins d'une fois par mois)","3. Rarement (1 à 3 fois par mois)","4. Parfois (Environ une fois par semaine)","5. Régulièrement (Plusieurs fois par semaine)","6. Quotidiennement (Une fois par jour)","7. Très fréquemment (Plusieurs fois par jour)"},0)+1,""),"")</f>
        <v/>
      </c>
    </row>
    <row r="945" spans="16:21" x14ac:dyDescent="0.25">
      <c r="P945" t="str">
        <f>IF(DONNEES_SOURCE!$CA945=TRUE,DONNEES_SOURCE!$BV945,"")</f>
        <v/>
      </c>
      <c r="Q945" t="str">
        <f>IF(DONNEES_SOURCE!$CA945=TRUE,IFERROR(MATCH(DONNEES_SOURCE!$B945,{"2. Très rarement (Moins d'une fois par mois)","3. Rarement (1 à 3 fois par mois)","4. Parfois (Environ une fois par semaine)","5. Régulièrement (Plusieurs fois par semaine)","6. Quotidiennement (Une fois par jour)","7. Très fréquemment (Plusieurs fois par jour)"},0)+1,""),"")</f>
        <v/>
      </c>
      <c r="R945" t="str">
        <f>IF(DONNEES_SOURCE!$CA945=TRUE,DONNEES_SOURCE!$BW945,"")</f>
        <v/>
      </c>
      <c r="S945" t="str">
        <f>IF(DONNEES_SOURCE!$CA945=TRUE,DONNEES_SOURCE!$AU945,"")</f>
        <v/>
      </c>
      <c r="T945" t="str">
        <f>IF(DONNEES_SOURCE!$CA945=TRUE,DONNEES_SOURCE!$BW945,"")</f>
        <v/>
      </c>
      <c r="U945" t="str">
        <f>IF(DONNEES_SOURCE!$CA945=TRUE,IFERROR(MATCH(DONNEES_SOURCE!$B945,{"2. Très rarement (Moins d'une fois par mois)","3. Rarement (1 à 3 fois par mois)","4. Parfois (Environ une fois par semaine)","5. Régulièrement (Plusieurs fois par semaine)","6. Quotidiennement (Une fois par jour)","7. Très fréquemment (Plusieurs fois par jour)"},0)+1,""),"")</f>
        <v/>
      </c>
    </row>
    <row r="946" spans="16:21" x14ac:dyDescent="0.25">
      <c r="P946" t="str">
        <f>IF(DONNEES_SOURCE!$CA946=TRUE,DONNEES_SOURCE!$BV946,"")</f>
        <v/>
      </c>
      <c r="Q946" t="str">
        <f>IF(DONNEES_SOURCE!$CA946=TRUE,IFERROR(MATCH(DONNEES_SOURCE!$B946,{"2. Très rarement (Moins d'une fois par mois)","3. Rarement (1 à 3 fois par mois)","4. Parfois (Environ une fois par semaine)","5. Régulièrement (Plusieurs fois par semaine)","6. Quotidiennement (Une fois par jour)","7. Très fréquemment (Plusieurs fois par jour)"},0)+1,""),"")</f>
        <v/>
      </c>
      <c r="R946" t="str">
        <f>IF(DONNEES_SOURCE!$CA946=TRUE,DONNEES_SOURCE!$BW946,"")</f>
        <v/>
      </c>
      <c r="S946" t="str">
        <f>IF(DONNEES_SOURCE!$CA946=TRUE,DONNEES_SOURCE!$AU946,"")</f>
        <v/>
      </c>
      <c r="T946" t="str">
        <f>IF(DONNEES_SOURCE!$CA946=TRUE,DONNEES_SOURCE!$BW946,"")</f>
        <v/>
      </c>
      <c r="U946" t="str">
        <f>IF(DONNEES_SOURCE!$CA946=TRUE,IFERROR(MATCH(DONNEES_SOURCE!$B946,{"2. Très rarement (Moins d'une fois par mois)","3. Rarement (1 à 3 fois par mois)","4. Parfois (Environ une fois par semaine)","5. Régulièrement (Plusieurs fois par semaine)","6. Quotidiennement (Une fois par jour)","7. Très fréquemment (Plusieurs fois par jour)"},0)+1,""),"")</f>
        <v/>
      </c>
    </row>
    <row r="947" spans="16:21" x14ac:dyDescent="0.25">
      <c r="P947" t="str">
        <f>IF(DONNEES_SOURCE!$CA947=TRUE,DONNEES_SOURCE!$BV947,"")</f>
        <v/>
      </c>
      <c r="Q947" t="str">
        <f>IF(DONNEES_SOURCE!$CA947=TRUE,IFERROR(MATCH(DONNEES_SOURCE!$B947,{"2. Très rarement (Moins d'une fois par mois)","3. Rarement (1 à 3 fois par mois)","4. Parfois (Environ une fois par semaine)","5. Régulièrement (Plusieurs fois par semaine)","6. Quotidiennement (Une fois par jour)","7. Très fréquemment (Plusieurs fois par jour)"},0)+1,""),"")</f>
        <v/>
      </c>
      <c r="R947" t="str">
        <f>IF(DONNEES_SOURCE!$CA947=TRUE,DONNEES_SOURCE!$BW947,"")</f>
        <v/>
      </c>
      <c r="S947" t="str">
        <f>IF(DONNEES_SOURCE!$CA947=TRUE,DONNEES_SOURCE!$AU947,"")</f>
        <v/>
      </c>
      <c r="T947" t="str">
        <f>IF(DONNEES_SOURCE!$CA947=TRUE,DONNEES_SOURCE!$BW947,"")</f>
        <v/>
      </c>
      <c r="U947" t="str">
        <f>IF(DONNEES_SOURCE!$CA947=TRUE,IFERROR(MATCH(DONNEES_SOURCE!$B947,{"2. Très rarement (Moins d'une fois par mois)","3. Rarement (1 à 3 fois par mois)","4. Parfois (Environ une fois par semaine)","5. Régulièrement (Plusieurs fois par semaine)","6. Quotidiennement (Une fois par jour)","7. Très fréquemment (Plusieurs fois par jour)"},0)+1,""),"")</f>
        <v/>
      </c>
    </row>
    <row r="948" spans="16:21" x14ac:dyDescent="0.25">
      <c r="P948" t="str">
        <f>IF(DONNEES_SOURCE!$CA948=TRUE,DONNEES_SOURCE!$BV948,"")</f>
        <v/>
      </c>
      <c r="Q948" t="str">
        <f>IF(DONNEES_SOURCE!$CA948=TRUE,IFERROR(MATCH(DONNEES_SOURCE!$B948,{"2. Très rarement (Moins d'une fois par mois)","3. Rarement (1 à 3 fois par mois)","4. Parfois (Environ une fois par semaine)","5. Régulièrement (Plusieurs fois par semaine)","6. Quotidiennement (Une fois par jour)","7. Très fréquemment (Plusieurs fois par jour)"},0)+1,""),"")</f>
        <v/>
      </c>
      <c r="R948" t="str">
        <f>IF(DONNEES_SOURCE!$CA948=TRUE,DONNEES_SOURCE!$BW948,"")</f>
        <v/>
      </c>
      <c r="S948" t="str">
        <f>IF(DONNEES_SOURCE!$CA948=TRUE,DONNEES_SOURCE!$AU948,"")</f>
        <v/>
      </c>
      <c r="T948" t="str">
        <f>IF(DONNEES_SOURCE!$CA948=TRUE,DONNEES_SOURCE!$BW948,"")</f>
        <v/>
      </c>
      <c r="U948" t="str">
        <f>IF(DONNEES_SOURCE!$CA948=TRUE,IFERROR(MATCH(DONNEES_SOURCE!$B948,{"2. Très rarement (Moins d'une fois par mois)","3. Rarement (1 à 3 fois par mois)","4. Parfois (Environ une fois par semaine)","5. Régulièrement (Plusieurs fois par semaine)","6. Quotidiennement (Une fois par jour)","7. Très fréquemment (Plusieurs fois par jour)"},0)+1,""),"")</f>
        <v/>
      </c>
    </row>
    <row r="949" spans="16:21" x14ac:dyDescent="0.25">
      <c r="P949" t="str">
        <f>IF(DONNEES_SOURCE!$CA949=TRUE,DONNEES_SOURCE!$BV949,"")</f>
        <v/>
      </c>
      <c r="Q949" t="str">
        <f>IF(DONNEES_SOURCE!$CA949=TRUE,IFERROR(MATCH(DONNEES_SOURCE!$B949,{"2. Très rarement (Moins d'une fois par mois)","3. Rarement (1 à 3 fois par mois)","4. Parfois (Environ une fois par semaine)","5. Régulièrement (Plusieurs fois par semaine)","6. Quotidiennement (Une fois par jour)","7. Très fréquemment (Plusieurs fois par jour)"},0)+1,""),"")</f>
        <v/>
      </c>
      <c r="R949" t="str">
        <f>IF(DONNEES_SOURCE!$CA949=TRUE,DONNEES_SOURCE!$BW949,"")</f>
        <v/>
      </c>
      <c r="S949" t="str">
        <f>IF(DONNEES_SOURCE!$CA949=TRUE,DONNEES_SOURCE!$AU949,"")</f>
        <v/>
      </c>
      <c r="T949" t="str">
        <f>IF(DONNEES_SOURCE!$CA949=TRUE,DONNEES_SOURCE!$BW949,"")</f>
        <v/>
      </c>
      <c r="U949" t="str">
        <f>IF(DONNEES_SOURCE!$CA949=TRUE,IFERROR(MATCH(DONNEES_SOURCE!$B949,{"2. Très rarement (Moins d'une fois par mois)","3. Rarement (1 à 3 fois par mois)","4. Parfois (Environ une fois par semaine)","5. Régulièrement (Plusieurs fois par semaine)","6. Quotidiennement (Une fois par jour)","7. Très fréquemment (Plusieurs fois par jour)"},0)+1,""),"")</f>
        <v/>
      </c>
    </row>
    <row r="950" spans="16:21" x14ac:dyDescent="0.25">
      <c r="P950" t="str">
        <f>IF(DONNEES_SOURCE!$CA950=TRUE,DONNEES_SOURCE!$BV950,"")</f>
        <v/>
      </c>
      <c r="Q950" t="str">
        <f>IF(DONNEES_SOURCE!$CA950=TRUE,IFERROR(MATCH(DONNEES_SOURCE!$B950,{"2. Très rarement (Moins d'une fois par mois)","3. Rarement (1 à 3 fois par mois)","4. Parfois (Environ une fois par semaine)","5. Régulièrement (Plusieurs fois par semaine)","6. Quotidiennement (Une fois par jour)","7. Très fréquemment (Plusieurs fois par jour)"},0)+1,""),"")</f>
        <v/>
      </c>
      <c r="R950" t="str">
        <f>IF(DONNEES_SOURCE!$CA950=TRUE,DONNEES_SOURCE!$BW950,"")</f>
        <v/>
      </c>
      <c r="S950" t="str">
        <f>IF(DONNEES_SOURCE!$CA950=TRUE,DONNEES_SOURCE!$AU950,"")</f>
        <v/>
      </c>
      <c r="T950" t="str">
        <f>IF(DONNEES_SOURCE!$CA950=TRUE,DONNEES_SOURCE!$BW950,"")</f>
        <v/>
      </c>
      <c r="U950" t="str">
        <f>IF(DONNEES_SOURCE!$CA950=TRUE,IFERROR(MATCH(DONNEES_SOURCE!$B950,{"2. Très rarement (Moins d'une fois par mois)","3. Rarement (1 à 3 fois par mois)","4. Parfois (Environ une fois par semaine)","5. Régulièrement (Plusieurs fois par semaine)","6. Quotidiennement (Une fois par jour)","7. Très fréquemment (Plusieurs fois par jour)"},0)+1,""),"")</f>
        <v/>
      </c>
    </row>
    <row r="951" spans="16:21" x14ac:dyDescent="0.25">
      <c r="P951" t="str">
        <f>IF(DONNEES_SOURCE!$CA951=TRUE,DONNEES_SOURCE!$BV951,"")</f>
        <v/>
      </c>
      <c r="Q951" t="str">
        <f>IF(DONNEES_SOURCE!$CA951=TRUE,IFERROR(MATCH(DONNEES_SOURCE!$B951,{"2. Très rarement (Moins d'une fois par mois)","3. Rarement (1 à 3 fois par mois)","4. Parfois (Environ une fois par semaine)","5. Régulièrement (Plusieurs fois par semaine)","6. Quotidiennement (Une fois par jour)","7. Très fréquemment (Plusieurs fois par jour)"},0)+1,""),"")</f>
        <v/>
      </c>
      <c r="R951" t="str">
        <f>IF(DONNEES_SOURCE!$CA951=TRUE,DONNEES_SOURCE!$BW951,"")</f>
        <v/>
      </c>
      <c r="S951" t="str">
        <f>IF(DONNEES_SOURCE!$CA951=TRUE,DONNEES_SOURCE!$AU951,"")</f>
        <v/>
      </c>
      <c r="T951" t="str">
        <f>IF(DONNEES_SOURCE!$CA951=TRUE,DONNEES_SOURCE!$BW951,"")</f>
        <v/>
      </c>
      <c r="U951" t="str">
        <f>IF(DONNEES_SOURCE!$CA951=TRUE,IFERROR(MATCH(DONNEES_SOURCE!$B951,{"2. Très rarement (Moins d'une fois par mois)","3. Rarement (1 à 3 fois par mois)","4. Parfois (Environ une fois par semaine)","5. Régulièrement (Plusieurs fois par semaine)","6. Quotidiennement (Une fois par jour)","7. Très fréquemment (Plusieurs fois par jour)"},0)+1,""),"")</f>
        <v/>
      </c>
    </row>
    <row r="952" spans="16:21" x14ac:dyDescent="0.25">
      <c r="P952" t="str">
        <f>IF(DONNEES_SOURCE!$CA952=TRUE,DONNEES_SOURCE!$BV952,"")</f>
        <v/>
      </c>
      <c r="Q952" t="str">
        <f>IF(DONNEES_SOURCE!$CA952=TRUE,IFERROR(MATCH(DONNEES_SOURCE!$B952,{"2. Très rarement (Moins d'une fois par mois)","3. Rarement (1 à 3 fois par mois)","4. Parfois (Environ une fois par semaine)","5. Régulièrement (Plusieurs fois par semaine)","6. Quotidiennement (Une fois par jour)","7. Très fréquemment (Plusieurs fois par jour)"},0)+1,""),"")</f>
        <v/>
      </c>
      <c r="R952" t="str">
        <f>IF(DONNEES_SOURCE!$CA952=TRUE,DONNEES_SOURCE!$BW952,"")</f>
        <v/>
      </c>
      <c r="S952" t="str">
        <f>IF(DONNEES_SOURCE!$CA952=TRUE,DONNEES_SOURCE!$AU952,"")</f>
        <v/>
      </c>
      <c r="T952" t="str">
        <f>IF(DONNEES_SOURCE!$CA952=TRUE,DONNEES_SOURCE!$BW952,"")</f>
        <v/>
      </c>
      <c r="U952" t="str">
        <f>IF(DONNEES_SOURCE!$CA952=TRUE,IFERROR(MATCH(DONNEES_SOURCE!$B952,{"2. Très rarement (Moins d'une fois par mois)","3. Rarement (1 à 3 fois par mois)","4. Parfois (Environ une fois par semaine)","5. Régulièrement (Plusieurs fois par semaine)","6. Quotidiennement (Une fois par jour)","7. Très fréquemment (Plusieurs fois par jour)"},0)+1,""),"")</f>
        <v/>
      </c>
    </row>
    <row r="953" spans="16:21" x14ac:dyDescent="0.25">
      <c r="P953" t="str">
        <f>IF(DONNEES_SOURCE!$CA953=TRUE,DONNEES_SOURCE!$BV953,"")</f>
        <v/>
      </c>
      <c r="Q953" t="str">
        <f>IF(DONNEES_SOURCE!$CA953=TRUE,IFERROR(MATCH(DONNEES_SOURCE!$B953,{"2. Très rarement (Moins d'une fois par mois)","3. Rarement (1 à 3 fois par mois)","4. Parfois (Environ une fois par semaine)","5. Régulièrement (Plusieurs fois par semaine)","6. Quotidiennement (Une fois par jour)","7. Très fréquemment (Plusieurs fois par jour)"},0)+1,""),"")</f>
        <v/>
      </c>
      <c r="R953" t="str">
        <f>IF(DONNEES_SOURCE!$CA953=TRUE,DONNEES_SOURCE!$BW953,"")</f>
        <v/>
      </c>
      <c r="S953" t="str">
        <f>IF(DONNEES_SOURCE!$CA953=TRUE,DONNEES_SOURCE!$AU953,"")</f>
        <v/>
      </c>
      <c r="T953" t="str">
        <f>IF(DONNEES_SOURCE!$CA953=TRUE,DONNEES_SOURCE!$BW953,"")</f>
        <v/>
      </c>
      <c r="U953" t="str">
        <f>IF(DONNEES_SOURCE!$CA953=TRUE,IFERROR(MATCH(DONNEES_SOURCE!$B953,{"2. Très rarement (Moins d'une fois par mois)","3. Rarement (1 à 3 fois par mois)","4. Parfois (Environ une fois par semaine)","5. Régulièrement (Plusieurs fois par semaine)","6. Quotidiennement (Une fois par jour)","7. Très fréquemment (Plusieurs fois par jour)"},0)+1,""),"")</f>
        <v/>
      </c>
    </row>
    <row r="954" spans="16:21" x14ac:dyDescent="0.25">
      <c r="P954" t="str">
        <f>IF(DONNEES_SOURCE!$CA954=TRUE,DONNEES_SOURCE!$BV954,"")</f>
        <v/>
      </c>
      <c r="Q954" t="str">
        <f>IF(DONNEES_SOURCE!$CA954=TRUE,IFERROR(MATCH(DONNEES_SOURCE!$B954,{"2. Très rarement (Moins d'une fois par mois)","3. Rarement (1 à 3 fois par mois)","4. Parfois (Environ une fois par semaine)","5. Régulièrement (Plusieurs fois par semaine)","6. Quotidiennement (Une fois par jour)","7. Très fréquemment (Plusieurs fois par jour)"},0)+1,""),"")</f>
        <v/>
      </c>
      <c r="R954" t="str">
        <f>IF(DONNEES_SOURCE!$CA954=TRUE,DONNEES_SOURCE!$BW954,"")</f>
        <v/>
      </c>
      <c r="S954" t="str">
        <f>IF(DONNEES_SOURCE!$CA954=TRUE,DONNEES_SOURCE!$AU954,"")</f>
        <v/>
      </c>
      <c r="T954" t="str">
        <f>IF(DONNEES_SOURCE!$CA954=TRUE,DONNEES_SOURCE!$BW954,"")</f>
        <v/>
      </c>
      <c r="U954" t="str">
        <f>IF(DONNEES_SOURCE!$CA954=TRUE,IFERROR(MATCH(DONNEES_SOURCE!$B954,{"2. Très rarement (Moins d'une fois par mois)","3. Rarement (1 à 3 fois par mois)","4. Parfois (Environ une fois par semaine)","5. Régulièrement (Plusieurs fois par semaine)","6. Quotidiennement (Une fois par jour)","7. Très fréquemment (Plusieurs fois par jour)"},0)+1,""),"")</f>
        <v/>
      </c>
    </row>
    <row r="955" spans="16:21" x14ac:dyDescent="0.25">
      <c r="P955" t="str">
        <f>IF(DONNEES_SOURCE!$CA955=TRUE,DONNEES_SOURCE!$BV955,"")</f>
        <v/>
      </c>
      <c r="Q955" t="str">
        <f>IF(DONNEES_SOURCE!$CA955=TRUE,IFERROR(MATCH(DONNEES_SOURCE!$B955,{"2. Très rarement (Moins d'une fois par mois)","3. Rarement (1 à 3 fois par mois)","4. Parfois (Environ une fois par semaine)","5. Régulièrement (Plusieurs fois par semaine)","6. Quotidiennement (Une fois par jour)","7. Très fréquemment (Plusieurs fois par jour)"},0)+1,""),"")</f>
        <v/>
      </c>
      <c r="R955" t="str">
        <f>IF(DONNEES_SOURCE!$CA955=TRUE,DONNEES_SOURCE!$BW955,"")</f>
        <v/>
      </c>
      <c r="S955" t="str">
        <f>IF(DONNEES_SOURCE!$CA955=TRUE,DONNEES_SOURCE!$AU955,"")</f>
        <v/>
      </c>
      <c r="T955" t="str">
        <f>IF(DONNEES_SOURCE!$CA955=TRUE,DONNEES_SOURCE!$BW955,"")</f>
        <v/>
      </c>
      <c r="U955" t="str">
        <f>IF(DONNEES_SOURCE!$CA955=TRUE,IFERROR(MATCH(DONNEES_SOURCE!$B955,{"2. Très rarement (Moins d'une fois par mois)","3. Rarement (1 à 3 fois par mois)","4. Parfois (Environ une fois par semaine)","5. Régulièrement (Plusieurs fois par semaine)","6. Quotidiennement (Une fois par jour)","7. Très fréquemment (Plusieurs fois par jour)"},0)+1,""),"")</f>
        <v/>
      </c>
    </row>
    <row r="956" spans="16:21" x14ac:dyDescent="0.25">
      <c r="P956" t="str">
        <f>IF(DONNEES_SOURCE!$CA956=TRUE,DONNEES_SOURCE!$BV956,"")</f>
        <v/>
      </c>
      <c r="Q956" t="str">
        <f>IF(DONNEES_SOURCE!$CA956=TRUE,IFERROR(MATCH(DONNEES_SOURCE!$B956,{"2. Très rarement (Moins d'une fois par mois)","3. Rarement (1 à 3 fois par mois)","4. Parfois (Environ une fois par semaine)","5. Régulièrement (Plusieurs fois par semaine)","6. Quotidiennement (Une fois par jour)","7. Très fréquemment (Plusieurs fois par jour)"},0)+1,""),"")</f>
        <v/>
      </c>
      <c r="R956" t="str">
        <f>IF(DONNEES_SOURCE!$CA956=TRUE,DONNEES_SOURCE!$BW956,"")</f>
        <v/>
      </c>
      <c r="S956" t="str">
        <f>IF(DONNEES_SOURCE!$CA956=TRUE,DONNEES_SOURCE!$AU956,"")</f>
        <v/>
      </c>
      <c r="T956" t="str">
        <f>IF(DONNEES_SOURCE!$CA956=TRUE,DONNEES_SOURCE!$BW956,"")</f>
        <v/>
      </c>
      <c r="U956" t="str">
        <f>IF(DONNEES_SOURCE!$CA956=TRUE,IFERROR(MATCH(DONNEES_SOURCE!$B956,{"2. Très rarement (Moins d'une fois par mois)","3. Rarement (1 à 3 fois par mois)","4. Parfois (Environ une fois par semaine)","5. Régulièrement (Plusieurs fois par semaine)","6. Quotidiennement (Une fois par jour)","7. Très fréquemment (Plusieurs fois par jour)"},0)+1,""),"")</f>
        <v/>
      </c>
    </row>
    <row r="957" spans="16:21" x14ac:dyDescent="0.25">
      <c r="P957" t="str">
        <f>IF(DONNEES_SOURCE!$CA957=TRUE,DONNEES_SOURCE!$BV957,"")</f>
        <v/>
      </c>
      <c r="Q957" t="str">
        <f>IF(DONNEES_SOURCE!$CA957=TRUE,IFERROR(MATCH(DONNEES_SOURCE!$B957,{"2. Très rarement (Moins d'une fois par mois)","3. Rarement (1 à 3 fois par mois)","4. Parfois (Environ une fois par semaine)","5. Régulièrement (Plusieurs fois par semaine)","6. Quotidiennement (Une fois par jour)","7. Très fréquemment (Plusieurs fois par jour)"},0)+1,""),"")</f>
        <v/>
      </c>
      <c r="R957" t="str">
        <f>IF(DONNEES_SOURCE!$CA957=TRUE,DONNEES_SOURCE!$BW957,"")</f>
        <v/>
      </c>
      <c r="S957" t="str">
        <f>IF(DONNEES_SOURCE!$CA957=TRUE,DONNEES_SOURCE!$AU957,"")</f>
        <v/>
      </c>
      <c r="T957" t="str">
        <f>IF(DONNEES_SOURCE!$CA957=TRUE,DONNEES_SOURCE!$BW957,"")</f>
        <v/>
      </c>
      <c r="U957" t="str">
        <f>IF(DONNEES_SOURCE!$CA957=TRUE,IFERROR(MATCH(DONNEES_SOURCE!$B957,{"2. Très rarement (Moins d'une fois par mois)","3. Rarement (1 à 3 fois par mois)","4. Parfois (Environ une fois par semaine)","5. Régulièrement (Plusieurs fois par semaine)","6. Quotidiennement (Une fois par jour)","7. Très fréquemment (Plusieurs fois par jour)"},0)+1,""),"")</f>
        <v/>
      </c>
    </row>
    <row r="958" spans="16:21" x14ac:dyDescent="0.25">
      <c r="P958" t="str">
        <f>IF(DONNEES_SOURCE!$CA958=TRUE,DONNEES_SOURCE!$BV958,"")</f>
        <v/>
      </c>
      <c r="Q958" t="str">
        <f>IF(DONNEES_SOURCE!$CA958=TRUE,IFERROR(MATCH(DONNEES_SOURCE!$B958,{"2. Très rarement (Moins d'une fois par mois)","3. Rarement (1 à 3 fois par mois)","4. Parfois (Environ une fois par semaine)","5. Régulièrement (Plusieurs fois par semaine)","6. Quotidiennement (Une fois par jour)","7. Très fréquemment (Plusieurs fois par jour)"},0)+1,""),"")</f>
        <v/>
      </c>
      <c r="R958" t="str">
        <f>IF(DONNEES_SOURCE!$CA958=TRUE,DONNEES_SOURCE!$BW958,"")</f>
        <v/>
      </c>
      <c r="S958" t="str">
        <f>IF(DONNEES_SOURCE!$CA958=TRUE,DONNEES_SOURCE!$AU958,"")</f>
        <v/>
      </c>
      <c r="T958" t="str">
        <f>IF(DONNEES_SOURCE!$CA958=TRUE,DONNEES_SOURCE!$BW958,"")</f>
        <v/>
      </c>
      <c r="U958" t="str">
        <f>IF(DONNEES_SOURCE!$CA958=TRUE,IFERROR(MATCH(DONNEES_SOURCE!$B958,{"2. Très rarement (Moins d'une fois par mois)","3. Rarement (1 à 3 fois par mois)","4. Parfois (Environ une fois par semaine)","5. Régulièrement (Plusieurs fois par semaine)","6. Quotidiennement (Une fois par jour)","7. Très fréquemment (Plusieurs fois par jour)"},0)+1,""),"")</f>
        <v/>
      </c>
    </row>
    <row r="959" spans="16:21" x14ac:dyDescent="0.25">
      <c r="P959" t="str">
        <f>IF(DONNEES_SOURCE!$CA959=TRUE,DONNEES_SOURCE!$BV959,"")</f>
        <v/>
      </c>
      <c r="Q959" t="str">
        <f>IF(DONNEES_SOURCE!$CA959=TRUE,IFERROR(MATCH(DONNEES_SOURCE!$B959,{"2. Très rarement (Moins d'une fois par mois)","3. Rarement (1 à 3 fois par mois)","4. Parfois (Environ une fois par semaine)","5. Régulièrement (Plusieurs fois par semaine)","6. Quotidiennement (Une fois par jour)","7. Très fréquemment (Plusieurs fois par jour)"},0)+1,""),"")</f>
        <v/>
      </c>
      <c r="R959" t="str">
        <f>IF(DONNEES_SOURCE!$CA959=TRUE,DONNEES_SOURCE!$BW959,"")</f>
        <v/>
      </c>
      <c r="S959" t="str">
        <f>IF(DONNEES_SOURCE!$CA959=TRUE,DONNEES_SOURCE!$AU959,"")</f>
        <v/>
      </c>
      <c r="T959" t="str">
        <f>IF(DONNEES_SOURCE!$CA959=TRUE,DONNEES_SOURCE!$BW959,"")</f>
        <v/>
      </c>
      <c r="U959" t="str">
        <f>IF(DONNEES_SOURCE!$CA959=TRUE,IFERROR(MATCH(DONNEES_SOURCE!$B959,{"2. Très rarement (Moins d'une fois par mois)","3. Rarement (1 à 3 fois par mois)","4. Parfois (Environ une fois par semaine)","5. Régulièrement (Plusieurs fois par semaine)","6. Quotidiennement (Une fois par jour)","7. Très fréquemment (Plusieurs fois par jour)"},0)+1,""),"")</f>
        <v/>
      </c>
    </row>
    <row r="960" spans="16:21" x14ac:dyDescent="0.25">
      <c r="P960" t="str">
        <f>IF(DONNEES_SOURCE!$CA960=TRUE,DONNEES_SOURCE!$BV960,"")</f>
        <v/>
      </c>
      <c r="Q960" t="str">
        <f>IF(DONNEES_SOURCE!$CA960=TRUE,IFERROR(MATCH(DONNEES_SOURCE!$B960,{"2. Très rarement (Moins d'une fois par mois)","3. Rarement (1 à 3 fois par mois)","4. Parfois (Environ une fois par semaine)","5. Régulièrement (Plusieurs fois par semaine)","6. Quotidiennement (Une fois par jour)","7. Très fréquemment (Plusieurs fois par jour)"},0)+1,""),"")</f>
        <v/>
      </c>
      <c r="R960" t="str">
        <f>IF(DONNEES_SOURCE!$CA960=TRUE,DONNEES_SOURCE!$BW960,"")</f>
        <v/>
      </c>
      <c r="S960" t="str">
        <f>IF(DONNEES_SOURCE!$CA960=TRUE,DONNEES_SOURCE!$AU960,"")</f>
        <v/>
      </c>
      <c r="T960" t="str">
        <f>IF(DONNEES_SOURCE!$CA960=TRUE,DONNEES_SOURCE!$BW960,"")</f>
        <v/>
      </c>
      <c r="U960" t="str">
        <f>IF(DONNEES_SOURCE!$CA960=TRUE,IFERROR(MATCH(DONNEES_SOURCE!$B960,{"2. Très rarement (Moins d'une fois par mois)","3. Rarement (1 à 3 fois par mois)","4. Parfois (Environ une fois par semaine)","5. Régulièrement (Plusieurs fois par semaine)","6. Quotidiennement (Une fois par jour)","7. Très fréquemment (Plusieurs fois par jour)"},0)+1,""),"")</f>
        <v/>
      </c>
    </row>
    <row r="961" spans="16:21" x14ac:dyDescent="0.25">
      <c r="P961" t="str">
        <f>IF(DONNEES_SOURCE!$CA961=TRUE,DONNEES_SOURCE!$BV961,"")</f>
        <v/>
      </c>
      <c r="Q961" t="str">
        <f>IF(DONNEES_SOURCE!$CA961=TRUE,IFERROR(MATCH(DONNEES_SOURCE!$B961,{"2. Très rarement (Moins d'une fois par mois)","3. Rarement (1 à 3 fois par mois)","4. Parfois (Environ une fois par semaine)","5. Régulièrement (Plusieurs fois par semaine)","6. Quotidiennement (Une fois par jour)","7. Très fréquemment (Plusieurs fois par jour)"},0)+1,""),"")</f>
        <v/>
      </c>
      <c r="R961" t="str">
        <f>IF(DONNEES_SOURCE!$CA961=TRUE,DONNEES_SOURCE!$BW961,"")</f>
        <v/>
      </c>
      <c r="S961" t="str">
        <f>IF(DONNEES_SOURCE!$CA961=TRUE,DONNEES_SOURCE!$AU961,"")</f>
        <v/>
      </c>
      <c r="T961" t="str">
        <f>IF(DONNEES_SOURCE!$CA961=TRUE,DONNEES_SOURCE!$BW961,"")</f>
        <v/>
      </c>
      <c r="U961" t="str">
        <f>IF(DONNEES_SOURCE!$CA961=TRUE,IFERROR(MATCH(DONNEES_SOURCE!$B961,{"2. Très rarement (Moins d'une fois par mois)","3. Rarement (1 à 3 fois par mois)","4. Parfois (Environ une fois par semaine)","5. Régulièrement (Plusieurs fois par semaine)","6. Quotidiennement (Une fois par jour)","7. Très fréquemment (Plusieurs fois par jour)"},0)+1,""),"")</f>
        <v/>
      </c>
    </row>
    <row r="962" spans="16:21" x14ac:dyDescent="0.25">
      <c r="P962" t="str">
        <f>IF(DONNEES_SOURCE!$CA962=TRUE,DONNEES_SOURCE!$BV962,"")</f>
        <v/>
      </c>
      <c r="Q962" t="str">
        <f>IF(DONNEES_SOURCE!$CA962=TRUE,IFERROR(MATCH(DONNEES_SOURCE!$B962,{"2. Très rarement (Moins d'une fois par mois)","3. Rarement (1 à 3 fois par mois)","4. Parfois (Environ une fois par semaine)","5. Régulièrement (Plusieurs fois par semaine)","6. Quotidiennement (Une fois par jour)","7. Très fréquemment (Plusieurs fois par jour)"},0)+1,""),"")</f>
        <v/>
      </c>
      <c r="R962" t="str">
        <f>IF(DONNEES_SOURCE!$CA962=TRUE,DONNEES_SOURCE!$BW962,"")</f>
        <v/>
      </c>
      <c r="S962" t="str">
        <f>IF(DONNEES_SOURCE!$CA962=TRUE,DONNEES_SOURCE!$AU962,"")</f>
        <v/>
      </c>
      <c r="T962" t="str">
        <f>IF(DONNEES_SOURCE!$CA962=TRUE,DONNEES_SOURCE!$BW962,"")</f>
        <v/>
      </c>
      <c r="U962" t="str">
        <f>IF(DONNEES_SOURCE!$CA962=TRUE,IFERROR(MATCH(DONNEES_SOURCE!$B962,{"2. Très rarement (Moins d'une fois par mois)","3. Rarement (1 à 3 fois par mois)","4. Parfois (Environ une fois par semaine)","5. Régulièrement (Plusieurs fois par semaine)","6. Quotidiennement (Une fois par jour)","7. Très fréquemment (Plusieurs fois par jour)"},0)+1,""),"")</f>
        <v/>
      </c>
    </row>
    <row r="963" spans="16:21" x14ac:dyDescent="0.25">
      <c r="P963" t="str">
        <f>IF(DONNEES_SOURCE!$CA963=TRUE,DONNEES_SOURCE!$BV963,"")</f>
        <v/>
      </c>
      <c r="Q963" t="str">
        <f>IF(DONNEES_SOURCE!$CA963=TRUE,IFERROR(MATCH(DONNEES_SOURCE!$B963,{"2. Très rarement (Moins d'une fois par mois)","3. Rarement (1 à 3 fois par mois)","4. Parfois (Environ une fois par semaine)","5. Régulièrement (Plusieurs fois par semaine)","6. Quotidiennement (Une fois par jour)","7. Très fréquemment (Plusieurs fois par jour)"},0)+1,""),"")</f>
        <v/>
      </c>
      <c r="R963" t="str">
        <f>IF(DONNEES_SOURCE!$CA963=TRUE,DONNEES_SOURCE!$BW963,"")</f>
        <v/>
      </c>
      <c r="S963" t="str">
        <f>IF(DONNEES_SOURCE!$CA963=TRUE,DONNEES_SOURCE!$AU963,"")</f>
        <v/>
      </c>
      <c r="T963" t="str">
        <f>IF(DONNEES_SOURCE!$CA963=TRUE,DONNEES_SOURCE!$BW963,"")</f>
        <v/>
      </c>
      <c r="U963" t="str">
        <f>IF(DONNEES_SOURCE!$CA963=TRUE,IFERROR(MATCH(DONNEES_SOURCE!$B963,{"2. Très rarement (Moins d'une fois par mois)","3. Rarement (1 à 3 fois par mois)","4. Parfois (Environ une fois par semaine)","5. Régulièrement (Plusieurs fois par semaine)","6. Quotidiennement (Une fois par jour)","7. Très fréquemment (Plusieurs fois par jour)"},0)+1,""),"")</f>
        <v/>
      </c>
    </row>
    <row r="964" spans="16:21" x14ac:dyDescent="0.25">
      <c r="P964" t="str">
        <f>IF(DONNEES_SOURCE!$CA964=TRUE,DONNEES_SOURCE!$BV964,"")</f>
        <v/>
      </c>
      <c r="Q964" t="str">
        <f>IF(DONNEES_SOURCE!$CA964=TRUE,IFERROR(MATCH(DONNEES_SOURCE!$B964,{"2. Très rarement (Moins d'une fois par mois)","3. Rarement (1 à 3 fois par mois)","4. Parfois (Environ une fois par semaine)","5. Régulièrement (Plusieurs fois par semaine)","6. Quotidiennement (Une fois par jour)","7. Très fréquemment (Plusieurs fois par jour)"},0)+1,""),"")</f>
        <v/>
      </c>
      <c r="R964" t="str">
        <f>IF(DONNEES_SOURCE!$CA964=TRUE,DONNEES_SOURCE!$BW964,"")</f>
        <v/>
      </c>
      <c r="S964" t="str">
        <f>IF(DONNEES_SOURCE!$CA964=TRUE,DONNEES_SOURCE!$AU964,"")</f>
        <v/>
      </c>
      <c r="T964" t="str">
        <f>IF(DONNEES_SOURCE!$CA964=TRUE,DONNEES_SOURCE!$BW964,"")</f>
        <v/>
      </c>
      <c r="U964" t="str">
        <f>IF(DONNEES_SOURCE!$CA964=TRUE,IFERROR(MATCH(DONNEES_SOURCE!$B964,{"2. Très rarement (Moins d'une fois par mois)","3. Rarement (1 à 3 fois par mois)","4. Parfois (Environ une fois par semaine)","5. Régulièrement (Plusieurs fois par semaine)","6. Quotidiennement (Une fois par jour)","7. Très fréquemment (Plusieurs fois par jour)"},0)+1,""),"")</f>
        <v/>
      </c>
    </row>
    <row r="965" spans="16:21" x14ac:dyDescent="0.25">
      <c r="P965" t="str">
        <f>IF(DONNEES_SOURCE!$CA965=TRUE,DONNEES_SOURCE!$BV965,"")</f>
        <v/>
      </c>
      <c r="Q965" t="str">
        <f>IF(DONNEES_SOURCE!$CA965=TRUE,IFERROR(MATCH(DONNEES_SOURCE!$B965,{"2. Très rarement (Moins d'une fois par mois)","3. Rarement (1 à 3 fois par mois)","4. Parfois (Environ une fois par semaine)","5. Régulièrement (Plusieurs fois par semaine)","6. Quotidiennement (Une fois par jour)","7. Très fréquemment (Plusieurs fois par jour)"},0)+1,""),"")</f>
        <v/>
      </c>
      <c r="R965" t="str">
        <f>IF(DONNEES_SOURCE!$CA965=TRUE,DONNEES_SOURCE!$BW965,"")</f>
        <v/>
      </c>
      <c r="S965" t="str">
        <f>IF(DONNEES_SOURCE!$CA965=TRUE,DONNEES_SOURCE!$AU965,"")</f>
        <v/>
      </c>
      <c r="T965" t="str">
        <f>IF(DONNEES_SOURCE!$CA965=TRUE,DONNEES_SOURCE!$BW965,"")</f>
        <v/>
      </c>
      <c r="U965" t="str">
        <f>IF(DONNEES_SOURCE!$CA965=TRUE,IFERROR(MATCH(DONNEES_SOURCE!$B965,{"2. Très rarement (Moins d'une fois par mois)","3. Rarement (1 à 3 fois par mois)","4. Parfois (Environ une fois par semaine)","5. Régulièrement (Plusieurs fois par semaine)","6. Quotidiennement (Une fois par jour)","7. Très fréquemment (Plusieurs fois par jour)"},0)+1,""),"")</f>
        <v/>
      </c>
    </row>
    <row r="966" spans="16:21" x14ac:dyDescent="0.25">
      <c r="P966" t="str">
        <f>IF(DONNEES_SOURCE!$CA966=TRUE,DONNEES_SOURCE!$BV966,"")</f>
        <v/>
      </c>
      <c r="Q966" t="str">
        <f>IF(DONNEES_SOURCE!$CA966=TRUE,IFERROR(MATCH(DONNEES_SOURCE!$B966,{"2. Très rarement (Moins d'une fois par mois)","3. Rarement (1 à 3 fois par mois)","4. Parfois (Environ une fois par semaine)","5. Régulièrement (Plusieurs fois par semaine)","6. Quotidiennement (Une fois par jour)","7. Très fréquemment (Plusieurs fois par jour)"},0)+1,""),"")</f>
        <v/>
      </c>
      <c r="R966" t="str">
        <f>IF(DONNEES_SOURCE!$CA966=TRUE,DONNEES_SOURCE!$BW966,"")</f>
        <v/>
      </c>
      <c r="S966" t="str">
        <f>IF(DONNEES_SOURCE!$CA966=TRUE,DONNEES_SOURCE!$AU966,"")</f>
        <v/>
      </c>
      <c r="T966" t="str">
        <f>IF(DONNEES_SOURCE!$CA966=TRUE,DONNEES_SOURCE!$BW966,"")</f>
        <v/>
      </c>
      <c r="U966" t="str">
        <f>IF(DONNEES_SOURCE!$CA966=TRUE,IFERROR(MATCH(DONNEES_SOURCE!$B966,{"2. Très rarement (Moins d'une fois par mois)","3. Rarement (1 à 3 fois par mois)","4. Parfois (Environ une fois par semaine)","5. Régulièrement (Plusieurs fois par semaine)","6. Quotidiennement (Une fois par jour)","7. Très fréquemment (Plusieurs fois par jour)"},0)+1,""),"")</f>
        <v/>
      </c>
    </row>
    <row r="967" spans="16:21" x14ac:dyDescent="0.25">
      <c r="P967" t="str">
        <f>IF(DONNEES_SOURCE!$CA967=TRUE,DONNEES_SOURCE!$BV967,"")</f>
        <v/>
      </c>
      <c r="Q967" t="str">
        <f>IF(DONNEES_SOURCE!$CA967=TRUE,IFERROR(MATCH(DONNEES_SOURCE!$B967,{"2. Très rarement (Moins d'une fois par mois)","3. Rarement (1 à 3 fois par mois)","4. Parfois (Environ une fois par semaine)","5. Régulièrement (Plusieurs fois par semaine)","6. Quotidiennement (Une fois par jour)","7. Très fréquemment (Plusieurs fois par jour)"},0)+1,""),"")</f>
        <v/>
      </c>
      <c r="R967" t="str">
        <f>IF(DONNEES_SOURCE!$CA967=TRUE,DONNEES_SOURCE!$BW967,"")</f>
        <v/>
      </c>
      <c r="S967" t="str">
        <f>IF(DONNEES_SOURCE!$CA967=TRUE,DONNEES_SOURCE!$AU967,"")</f>
        <v/>
      </c>
      <c r="T967" t="str">
        <f>IF(DONNEES_SOURCE!$CA967=TRUE,DONNEES_SOURCE!$BW967,"")</f>
        <v/>
      </c>
      <c r="U967" t="str">
        <f>IF(DONNEES_SOURCE!$CA967=TRUE,IFERROR(MATCH(DONNEES_SOURCE!$B967,{"2. Très rarement (Moins d'une fois par mois)","3. Rarement (1 à 3 fois par mois)","4. Parfois (Environ une fois par semaine)","5. Régulièrement (Plusieurs fois par semaine)","6. Quotidiennement (Une fois par jour)","7. Très fréquemment (Plusieurs fois par jour)"},0)+1,""),"")</f>
        <v/>
      </c>
    </row>
    <row r="968" spans="16:21" x14ac:dyDescent="0.25">
      <c r="P968" t="str">
        <f>IF(DONNEES_SOURCE!$CA968=TRUE,DONNEES_SOURCE!$BV968,"")</f>
        <v/>
      </c>
      <c r="Q968" t="str">
        <f>IF(DONNEES_SOURCE!$CA968=TRUE,IFERROR(MATCH(DONNEES_SOURCE!$B968,{"2. Très rarement (Moins d'une fois par mois)","3. Rarement (1 à 3 fois par mois)","4. Parfois (Environ une fois par semaine)","5. Régulièrement (Plusieurs fois par semaine)","6. Quotidiennement (Une fois par jour)","7. Très fréquemment (Plusieurs fois par jour)"},0)+1,""),"")</f>
        <v/>
      </c>
      <c r="R968" t="str">
        <f>IF(DONNEES_SOURCE!$CA968=TRUE,DONNEES_SOURCE!$BW968,"")</f>
        <v/>
      </c>
      <c r="S968" t="str">
        <f>IF(DONNEES_SOURCE!$CA968=TRUE,DONNEES_SOURCE!$AU968,"")</f>
        <v/>
      </c>
      <c r="T968" t="str">
        <f>IF(DONNEES_SOURCE!$CA968=TRUE,DONNEES_SOURCE!$BW968,"")</f>
        <v/>
      </c>
      <c r="U968" t="str">
        <f>IF(DONNEES_SOURCE!$CA968=TRUE,IFERROR(MATCH(DONNEES_SOURCE!$B968,{"2. Très rarement (Moins d'une fois par mois)","3. Rarement (1 à 3 fois par mois)","4. Parfois (Environ une fois par semaine)","5. Régulièrement (Plusieurs fois par semaine)","6. Quotidiennement (Une fois par jour)","7. Très fréquemment (Plusieurs fois par jour)"},0)+1,""),"")</f>
        <v/>
      </c>
    </row>
    <row r="969" spans="16:21" x14ac:dyDescent="0.25">
      <c r="P969" t="str">
        <f>IF(DONNEES_SOURCE!$CA969=TRUE,DONNEES_SOURCE!$BV969,"")</f>
        <v/>
      </c>
      <c r="Q969" t="str">
        <f>IF(DONNEES_SOURCE!$CA969=TRUE,IFERROR(MATCH(DONNEES_SOURCE!$B969,{"2. Très rarement (Moins d'une fois par mois)","3. Rarement (1 à 3 fois par mois)","4. Parfois (Environ une fois par semaine)","5. Régulièrement (Plusieurs fois par semaine)","6. Quotidiennement (Une fois par jour)","7. Très fréquemment (Plusieurs fois par jour)"},0)+1,""),"")</f>
        <v/>
      </c>
      <c r="R969" t="str">
        <f>IF(DONNEES_SOURCE!$CA969=TRUE,DONNEES_SOURCE!$BW969,"")</f>
        <v/>
      </c>
      <c r="S969" t="str">
        <f>IF(DONNEES_SOURCE!$CA969=TRUE,DONNEES_SOURCE!$AU969,"")</f>
        <v/>
      </c>
      <c r="T969" t="str">
        <f>IF(DONNEES_SOURCE!$CA969=TRUE,DONNEES_SOURCE!$BW969,"")</f>
        <v/>
      </c>
      <c r="U969" t="str">
        <f>IF(DONNEES_SOURCE!$CA969=TRUE,IFERROR(MATCH(DONNEES_SOURCE!$B969,{"2. Très rarement (Moins d'une fois par mois)","3. Rarement (1 à 3 fois par mois)","4. Parfois (Environ une fois par semaine)","5. Régulièrement (Plusieurs fois par semaine)","6. Quotidiennement (Une fois par jour)","7. Très fréquemment (Plusieurs fois par jour)"},0)+1,""),"")</f>
        <v/>
      </c>
    </row>
    <row r="970" spans="16:21" x14ac:dyDescent="0.25">
      <c r="P970" t="str">
        <f>IF(DONNEES_SOURCE!$CA970=TRUE,DONNEES_SOURCE!$BV970,"")</f>
        <v/>
      </c>
      <c r="Q970" t="str">
        <f>IF(DONNEES_SOURCE!$CA970=TRUE,IFERROR(MATCH(DONNEES_SOURCE!$B970,{"2. Très rarement (Moins d'une fois par mois)","3. Rarement (1 à 3 fois par mois)","4. Parfois (Environ une fois par semaine)","5. Régulièrement (Plusieurs fois par semaine)","6. Quotidiennement (Une fois par jour)","7. Très fréquemment (Plusieurs fois par jour)"},0)+1,""),"")</f>
        <v/>
      </c>
      <c r="R970" t="str">
        <f>IF(DONNEES_SOURCE!$CA970=TRUE,DONNEES_SOURCE!$BW970,"")</f>
        <v/>
      </c>
      <c r="S970" t="str">
        <f>IF(DONNEES_SOURCE!$CA970=TRUE,DONNEES_SOURCE!$AU970,"")</f>
        <v/>
      </c>
      <c r="T970" t="str">
        <f>IF(DONNEES_SOURCE!$CA970=TRUE,DONNEES_SOURCE!$BW970,"")</f>
        <v/>
      </c>
      <c r="U970" t="str">
        <f>IF(DONNEES_SOURCE!$CA970=TRUE,IFERROR(MATCH(DONNEES_SOURCE!$B970,{"2. Très rarement (Moins d'une fois par mois)","3. Rarement (1 à 3 fois par mois)","4. Parfois (Environ une fois par semaine)","5. Régulièrement (Plusieurs fois par semaine)","6. Quotidiennement (Une fois par jour)","7. Très fréquemment (Plusieurs fois par jour)"},0)+1,""),"")</f>
        <v/>
      </c>
    </row>
    <row r="971" spans="16:21" x14ac:dyDescent="0.25">
      <c r="P971" t="str">
        <f>IF(DONNEES_SOURCE!$CA971=TRUE,DONNEES_SOURCE!$BV971,"")</f>
        <v/>
      </c>
      <c r="Q971" t="str">
        <f>IF(DONNEES_SOURCE!$CA971=TRUE,IFERROR(MATCH(DONNEES_SOURCE!$B971,{"2. Très rarement (Moins d'une fois par mois)","3. Rarement (1 à 3 fois par mois)","4. Parfois (Environ une fois par semaine)","5. Régulièrement (Plusieurs fois par semaine)","6. Quotidiennement (Une fois par jour)","7. Très fréquemment (Plusieurs fois par jour)"},0)+1,""),"")</f>
        <v/>
      </c>
      <c r="R971" t="str">
        <f>IF(DONNEES_SOURCE!$CA971=TRUE,DONNEES_SOURCE!$BW971,"")</f>
        <v/>
      </c>
      <c r="S971" t="str">
        <f>IF(DONNEES_SOURCE!$CA971=TRUE,DONNEES_SOURCE!$AU971,"")</f>
        <v/>
      </c>
      <c r="T971" t="str">
        <f>IF(DONNEES_SOURCE!$CA971=TRUE,DONNEES_SOURCE!$BW971,"")</f>
        <v/>
      </c>
      <c r="U971" t="str">
        <f>IF(DONNEES_SOURCE!$CA971=TRUE,IFERROR(MATCH(DONNEES_SOURCE!$B971,{"2. Très rarement (Moins d'une fois par mois)","3. Rarement (1 à 3 fois par mois)","4. Parfois (Environ une fois par semaine)","5. Régulièrement (Plusieurs fois par semaine)","6. Quotidiennement (Une fois par jour)","7. Très fréquemment (Plusieurs fois par jour)"},0)+1,""),"")</f>
        <v/>
      </c>
    </row>
    <row r="972" spans="16:21" x14ac:dyDescent="0.25">
      <c r="P972" t="str">
        <f>IF(DONNEES_SOURCE!$CA972=TRUE,DONNEES_SOURCE!$BV972,"")</f>
        <v/>
      </c>
      <c r="Q972" t="str">
        <f>IF(DONNEES_SOURCE!$CA972=TRUE,IFERROR(MATCH(DONNEES_SOURCE!$B972,{"2. Très rarement (Moins d'une fois par mois)","3. Rarement (1 à 3 fois par mois)","4. Parfois (Environ une fois par semaine)","5. Régulièrement (Plusieurs fois par semaine)","6. Quotidiennement (Une fois par jour)","7. Très fréquemment (Plusieurs fois par jour)"},0)+1,""),"")</f>
        <v/>
      </c>
      <c r="R972" t="str">
        <f>IF(DONNEES_SOURCE!$CA972=TRUE,DONNEES_SOURCE!$BW972,"")</f>
        <v/>
      </c>
      <c r="S972" t="str">
        <f>IF(DONNEES_SOURCE!$CA972=TRUE,DONNEES_SOURCE!$AU972,"")</f>
        <v/>
      </c>
      <c r="T972" t="str">
        <f>IF(DONNEES_SOURCE!$CA972=TRUE,DONNEES_SOURCE!$BW972,"")</f>
        <v/>
      </c>
      <c r="U972" t="str">
        <f>IF(DONNEES_SOURCE!$CA972=TRUE,IFERROR(MATCH(DONNEES_SOURCE!$B972,{"2. Très rarement (Moins d'une fois par mois)","3. Rarement (1 à 3 fois par mois)","4. Parfois (Environ une fois par semaine)","5. Régulièrement (Plusieurs fois par semaine)","6. Quotidiennement (Une fois par jour)","7. Très fréquemment (Plusieurs fois par jour)"},0)+1,""),"")</f>
        <v/>
      </c>
    </row>
    <row r="973" spans="16:21" x14ac:dyDescent="0.25">
      <c r="P973" t="str">
        <f>IF(DONNEES_SOURCE!$CA973=TRUE,DONNEES_SOURCE!$BV973,"")</f>
        <v/>
      </c>
      <c r="Q973" t="str">
        <f>IF(DONNEES_SOURCE!$CA973=TRUE,IFERROR(MATCH(DONNEES_SOURCE!$B973,{"2. Très rarement (Moins d'une fois par mois)","3. Rarement (1 à 3 fois par mois)","4. Parfois (Environ une fois par semaine)","5. Régulièrement (Plusieurs fois par semaine)","6. Quotidiennement (Une fois par jour)","7. Très fréquemment (Plusieurs fois par jour)"},0)+1,""),"")</f>
        <v/>
      </c>
      <c r="R973" t="str">
        <f>IF(DONNEES_SOURCE!$CA973=TRUE,DONNEES_SOURCE!$BW973,"")</f>
        <v/>
      </c>
      <c r="S973" t="str">
        <f>IF(DONNEES_SOURCE!$CA973=TRUE,DONNEES_SOURCE!$AU973,"")</f>
        <v/>
      </c>
      <c r="T973" t="str">
        <f>IF(DONNEES_SOURCE!$CA973=TRUE,DONNEES_SOURCE!$BW973,"")</f>
        <v/>
      </c>
      <c r="U973" t="str">
        <f>IF(DONNEES_SOURCE!$CA973=TRUE,IFERROR(MATCH(DONNEES_SOURCE!$B973,{"2. Très rarement (Moins d'une fois par mois)","3. Rarement (1 à 3 fois par mois)","4. Parfois (Environ une fois par semaine)","5. Régulièrement (Plusieurs fois par semaine)","6. Quotidiennement (Une fois par jour)","7. Très fréquemment (Plusieurs fois par jour)"},0)+1,""),"")</f>
        <v/>
      </c>
    </row>
    <row r="974" spans="16:21" x14ac:dyDescent="0.25">
      <c r="P974" t="str">
        <f>IF(DONNEES_SOURCE!$CA974=TRUE,DONNEES_SOURCE!$BV974,"")</f>
        <v/>
      </c>
      <c r="Q974" t="str">
        <f>IF(DONNEES_SOURCE!$CA974=TRUE,IFERROR(MATCH(DONNEES_SOURCE!$B974,{"2. Très rarement (Moins d'une fois par mois)","3. Rarement (1 à 3 fois par mois)","4. Parfois (Environ une fois par semaine)","5. Régulièrement (Plusieurs fois par semaine)","6. Quotidiennement (Une fois par jour)","7. Très fréquemment (Plusieurs fois par jour)"},0)+1,""),"")</f>
        <v/>
      </c>
      <c r="R974" t="str">
        <f>IF(DONNEES_SOURCE!$CA974=TRUE,DONNEES_SOURCE!$BW974,"")</f>
        <v/>
      </c>
      <c r="S974" t="str">
        <f>IF(DONNEES_SOURCE!$CA974=TRUE,DONNEES_SOURCE!$AU974,"")</f>
        <v/>
      </c>
      <c r="T974" t="str">
        <f>IF(DONNEES_SOURCE!$CA974=TRUE,DONNEES_SOURCE!$BW974,"")</f>
        <v/>
      </c>
      <c r="U974" t="str">
        <f>IF(DONNEES_SOURCE!$CA974=TRUE,IFERROR(MATCH(DONNEES_SOURCE!$B974,{"2. Très rarement (Moins d'une fois par mois)","3. Rarement (1 à 3 fois par mois)","4. Parfois (Environ une fois par semaine)","5. Régulièrement (Plusieurs fois par semaine)","6. Quotidiennement (Une fois par jour)","7. Très fréquemment (Plusieurs fois par jour)"},0)+1,""),"")</f>
        <v/>
      </c>
    </row>
    <row r="975" spans="16:21" x14ac:dyDescent="0.25">
      <c r="P975" t="str">
        <f>IF(DONNEES_SOURCE!$CA975=TRUE,DONNEES_SOURCE!$BV975,"")</f>
        <v/>
      </c>
      <c r="Q975" t="str">
        <f>IF(DONNEES_SOURCE!$CA975=TRUE,IFERROR(MATCH(DONNEES_SOURCE!$B975,{"2. Très rarement (Moins d'une fois par mois)","3. Rarement (1 à 3 fois par mois)","4. Parfois (Environ une fois par semaine)","5. Régulièrement (Plusieurs fois par semaine)","6. Quotidiennement (Une fois par jour)","7. Très fréquemment (Plusieurs fois par jour)"},0)+1,""),"")</f>
        <v/>
      </c>
      <c r="R975" t="str">
        <f>IF(DONNEES_SOURCE!$CA975=TRUE,DONNEES_SOURCE!$BW975,"")</f>
        <v/>
      </c>
      <c r="S975" t="str">
        <f>IF(DONNEES_SOURCE!$CA975=TRUE,DONNEES_SOURCE!$AU975,"")</f>
        <v/>
      </c>
      <c r="T975" t="str">
        <f>IF(DONNEES_SOURCE!$CA975=TRUE,DONNEES_SOURCE!$BW975,"")</f>
        <v/>
      </c>
      <c r="U975" t="str">
        <f>IF(DONNEES_SOURCE!$CA975=TRUE,IFERROR(MATCH(DONNEES_SOURCE!$B975,{"2. Très rarement (Moins d'une fois par mois)","3. Rarement (1 à 3 fois par mois)","4. Parfois (Environ une fois par semaine)","5. Régulièrement (Plusieurs fois par semaine)","6. Quotidiennement (Une fois par jour)","7. Très fréquemment (Plusieurs fois par jour)"},0)+1,""),"")</f>
        <v/>
      </c>
    </row>
    <row r="976" spans="16:21" x14ac:dyDescent="0.25">
      <c r="P976" t="str">
        <f>IF(DONNEES_SOURCE!$CA976=TRUE,DONNEES_SOURCE!$BV976,"")</f>
        <v/>
      </c>
      <c r="Q976" t="str">
        <f>IF(DONNEES_SOURCE!$CA976=TRUE,IFERROR(MATCH(DONNEES_SOURCE!$B976,{"2. Très rarement (Moins d'une fois par mois)","3. Rarement (1 à 3 fois par mois)","4. Parfois (Environ une fois par semaine)","5. Régulièrement (Plusieurs fois par semaine)","6. Quotidiennement (Une fois par jour)","7. Très fréquemment (Plusieurs fois par jour)"},0)+1,""),"")</f>
        <v/>
      </c>
      <c r="R976" t="str">
        <f>IF(DONNEES_SOURCE!$CA976=TRUE,DONNEES_SOURCE!$BW976,"")</f>
        <v/>
      </c>
      <c r="S976" t="str">
        <f>IF(DONNEES_SOURCE!$CA976=TRUE,DONNEES_SOURCE!$AU976,"")</f>
        <v/>
      </c>
      <c r="T976" t="str">
        <f>IF(DONNEES_SOURCE!$CA976=TRUE,DONNEES_SOURCE!$BW976,"")</f>
        <v/>
      </c>
      <c r="U976" t="str">
        <f>IF(DONNEES_SOURCE!$CA976=TRUE,IFERROR(MATCH(DONNEES_SOURCE!$B976,{"2. Très rarement (Moins d'une fois par mois)","3. Rarement (1 à 3 fois par mois)","4. Parfois (Environ une fois par semaine)","5. Régulièrement (Plusieurs fois par semaine)","6. Quotidiennement (Une fois par jour)","7. Très fréquemment (Plusieurs fois par jour)"},0)+1,""),"")</f>
        <v/>
      </c>
    </row>
    <row r="977" spans="16:21" x14ac:dyDescent="0.25">
      <c r="P977" t="str">
        <f>IF(DONNEES_SOURCE!$CA977=TRUE,DONNEES_SOURCE!$BV977,"")</f>
        <v/>
      </c>
      <c r="Q977" t="str">
        <f>IF(DONNEES_SOURCE!$CA977=TRUE,IFERROR(MATCH(DONNEES_SOURCE!$B977,{"2. Très rarement (Moins d'une fois par mois)","3. Rarement (1 à 3 fois par mois)","4. Parfois (Environ une fois par semaine)","5. Régulièrement (Plusieurs fois par semaine)","6. Quotidiennement (Une fois par jour)","7. Très fréquemment (Plusieurs fois par jour)"},0)+1,""),"")</f>
        <v/>
      </c>
      <c r="R977" t="str">
        <f>IF(DONNEES_SOURCE!$CA977=TRUE,DONNEES_SOURCE!$BW977,"")</f>
        <v/>
      </c>
      <c r="S977" t="str">
        <f>IF(DONNEES_SOURCE!$CA977=TRUE,DONNEES_SOURCE!$AU977,"")</f>
        <v/>
      </c>
      <c r="T977" t="str">
        <f>IF(DONNEES_SOURCE!$CA977=TRUE,DONNEES_SOURCE!$BW977,"")</f>
        <v/>
      </c>
      <c r="U977" t="str">
        <f>IF(DONNEES_SOURCE!$CA977=TRUE,IFERROR(MATCH(DONNEES_SOURCE!$B977,{"2. Très rarement (Moins d'une fois par mois)","3. Rarement (1 à 3 fois par mois)","4. Parfois (Environ une fois par semaine)","5. Régulièrement (Plusieurs fois par semaine)","6. Quotidiennement (Une fois par jour)","7. Très fréquemment (Plusieurs fois par jour)"},0)+1,""),"")</f>
        <v/>
      </c>
    </row>
    <row r="978" spans="16:21" x14ac:dyDescent="0.25">
      <c r="P978" t="str">
        <f>IF(DONNEES_SOURCE!$CA978=TRUE,DONNEES_SOURCE!$BV978,"")</f>
        <v/>
      </c>
      <c r="Q978" t="str">
        <f>IF(DONNEES_SOURCE!$CA978=TRUE,IFERROR(MATCH(DONNEES_SOURCE!$B978,{"2. Très rarement (Moins d'une fois par mois)","3. Rarement (1 à 3 fois par mois)","4. Parfois (Environ une fois par semaine)","5. Régulièrement (Plusieurs fois par semaine)","6. Quotidiennement (Une fois par jour)","7. Très fréquemment (Plusieurs fois par jour)"},0)+1,""),"")</f>
        <v/>
      </c>
      <c r="R978" t="str">
        <f>IF(DONNEES_SOURCE!$CA978=TRUE,DONNEES_SOURCE!$BW978,"")</f>
        <v/>
      </c>
      <c r="S978" t="str">
        <f>IF(DONNEES_SOURCE!$CA978=TRUE,DONNEES_SOURCE!$AU978,"")</f>
        <v/>
      </c>
      <c r="T978" t="str">
        <f>IF(DONNEES_SOURCE!$CA978=TRUE,DONNEES_SOURCE!$BW978,"")</f>
        <v/>
      </c>
      <c r="U978" t="str">
        <f>IF(DONNEES_SOURCE!$CA978=TRUE,IFERROR(MATCH(DONNEES_SOURCE!$B978,{"2. Très rarement (Moins d'une fois par mois)","3. Rarement (1 à 3 fois par mois)","4. Parfois (Environ une fois par semaine)","5. Régulièrement (Plusieurs fois par semaine)","6. Quotidiennement (Une fois par jour)","7. Très fréquemment (Plusieurs fois par jour)"},0)+1,""),"")</f>
        <v/>
      </c>
    </row>
    <row r="979" spans="16:21" x14ac:dyDescent="0.25">
      <c r="P979" t="str">
        <f>IF(DONNEES_SOURCE!$CA979=TRUE,DONNEES_SOURCE!$BV979,"")</f>
        <v/>
      </c>
      <c r="Q979" t="str">
        <f>IF(DONNEES_SOURCE!$CA979=TRUE,IFERROR(MATCH(DONNEES_SOURCE!$B979,{"2. Très rarement (Moins d'une fois par mois)","3. Rarement (1 à 3 fois par mois)","4. Parfois (Environ une fois par semaine)","5. Régulièrement (Plusieurs fois par semaine)","6. Quotidiennement (Une fois par jour)","7. Très fréquemment (Plusieurs fois par jour)"},0)+1,""),"")</f>
        <v/>
      </c>
      <c r="R979" t="str">
        <f>IF(DONNEES_SOURCE!$CA979=TRUE,DONNEES_SOURCE!$BW979,"")</f>
        <v/>
      </c>
      <c r="S979" t="str">
        <f>IF(DONNEES_SOURCE!$CA979=TRUE,DONNEES_SOURCE!$AU979,"")</f>
        <v/>
      </c>
      <c r="T979" t="str">
        <f>IF(DONNEES_SOURCE!$CA979=TRUE,DONNEES_SOURCE!$BW979,"")</f>
        <v/>
      </c>
      <c r="U979" t="str">
        <f>IF(DONNEES_SOURCE!$CA979=TRUE,IFERROR(MATCH(DONNEES_SOURCE!$B979,{"2. Très rarement (Moins d'une fois par mois)","3. Rarement (1 à 3 fois par mois)","4. Parfois (Environ une fois par semaine)","5. Régulièrement (Plusieurs fois par semaine)","6. Quotidiennement (Une fois par jour)","7. Très fréquemment (Plusieurs fois par jour)"},0)+1,""),"")</f>
        <v/>
      </c>
    </row>
    <row r="980" spans="16:21" x14ac:dyDescent="0.25">
      <c r="P980" t="str">
        <f>IF(DONNEES_SOURCE!$CA980=TRUE,DONNEES_SOURCE!$BV980,"")</f>
        <v/>
      </c>
      <c r="Q980" t="str">
        <f>IF(DONNEES_SOURCE!$CA980=TRUE,IFERROR(MATCH(DONNEES_SOURCE!$B980,{"2. Très rarement (Moins d'une fois par mois)","3. Rarement (1 à 3 fois par mois)","4. Parfois (Environ une fois par semaine)","5. Régulièrement (Plusieurs fois par semaine)","6. Quotidiennement (Une fois par jour)","7. Très fréquemment (Plusieurs fois par jour)"},0)+1,""),"")</f>
        <v/>
      </c>
      <c r="R980" t="str">
        <f>IF(DONNEES_SOURCE!$CA980=TRUE,DONNEES_SOURCE!$BW980,"")</f>
        <v/>
      </c>
      <c r="S980" t="str">
        <f>IF(DONNEES_SOURCE!$CA980=TRUE,DONNEES_SOURCE!$AU980,"")</f>
        <v/>
      </c>
      <c r="T980" t="str">
        <f>IF(DONNEES_SOURCE!$CA980=TRUE,DONNEES_SOURCE!$BW980,"")</f>
        <v/>
      </c>
      <c r="U980" t="str">
        <f>IF(DONNEES_SOURCE!$CA980=TRUE,IFERROR(MATCH(DONNEES_SOURCE!$B980,{"2. Très rarement (Moins d'une fois par mois)","3. Rarement (1 à 3 fois par mois)","4. Parfois (Environ une fois par semaine)","5. Régulièrement (Plusieurs fois par semaine)","6. Quotidiennement (Une fois par jour)","7. Très fréquemment (Plusieurs fois par jour)"},0)+1,""),"")</f>
        <v/>
      </c>
    </row>
    <row r="981" spans="16:21" x14ac:dyDescent="0.25">
      <c r="P981" t="str">
        <f>IF(DONNEES_SOURCE!$CA981=TRUE,DONNEES_SOURCE!$BV981,"")</f>
        <v/>
      </c>
      <c r="Q981" t="str">
        <f>IF(DONNEES_SOURCE!$CA981=TRUE,IFERROR(MATCH(DONNEES_SOURCE!$B981,{"2. Très rarement (Moins d'une fois par mois)","3. Rarement (1 à 3 fois par mois)","4. Parfois (Environ une fois par semaine)","5. Régulièrement (Plusieurs fois par semaine)","6. Quotidiennement (Une fois par jour)","7. Très fréquemment (Plusieurs fois par jour)"},0)+1,""),"")</f>
        <v/>
      </c>
      <c r="R981" t="str">
        <f>IF(DONNEES_SOURCE!$CA981=TRUE,DONNEES_SOURCE!$BW981,"")</f>
        <v/>
      </c>
      <c r="S981" t="str">
        <f>IF(DONNEES_SOURCE!$CA981=TRUE,DONNEES_SOURCE!$AU981,"")</f>
        <v/>
      </c>
      <c r="T981" t="str">
        <f>IF(DONNEES_SOURCE!$CA981=TRUE,DONNEES_SOURCE!$BW981,"")</f>
        <v/>
      </c>
      <c r="U981" t="str">
        <f>IF(DONNEES_SOURCE!$CA981=TRUE,IFERROR(MATCH(DONNEES_SOURCE!$B981,{"2. Très rarement (Moins d'une fois par mois)","3. Rarement (1 à 3 fois par mois)","4. Parfois (Environ une fois par semaine)","5. Régulièrement (Plusieurs fois par semaine)","6. Quotidiennement (Une fois par jour)","7. Très fréquemment (Plusieurs fois par jour)"},0)+1,""),"")</f>
        <v/>
      </c>
    </row>
    <row r="982" spans="16:21" x14ac:dyDescent="0.25">
      <c r="P982" t="str">
        <f>IF(DONNEES_SOURCE!$CA982=TRUE,DONNEES_SOURCE!$BV982,"")</f>
        <v/>
      </c>
      <c r="Q982" t="str">
        <f>IF(DONNEES_SOURCE!$CA982=TRUE,IFERROR(MATCH(DONNEES_SOURCE!$B982,{"2. Très rarement (Moins d'une fois par mois)","3. Rarement (1 à 3 fois par mois)","4. Parfois (Environ une fois par semaine)","5. Régulièrement (Plusieurs fois par semaine)","6. Quotidiennement (Une fois par jour)","7. Très fréquemment (Plusieurs fois par jour)"},0)+1,""),"")</f>
        <v/>
      </c>
      <c r="R982" t="str">
        <f>IF(DONNEES_SOURCE!$CA982=TRUE,DONNEES_SOURCE!$BW982,"")</f>
        <v/>
      </c>
      <c r="S982" t="str">
        <f>IF(DONNEES_SOURCE!$CA982=TRUE,DONNEES_SOURCE!$AU982,"")</f>
        <v/>
      </c>
      <c r="T982" t="str">
        <f>IF(DONNEES_SOURCE!$CA982=TRUE,DONNEES_SOURCE!$BW982,"")</f>
        <v/>
      </c>
      <c r="U982" t="str">
        <f>IF(DONNEES_SOURCE!$CA982=TRUE,IFERROR(MATCH(DONNEES_SOURCE!$B982,{"2. Très rarement (Moins d'une fois par mois)","3. Rarement (1 à 3 fois par mois)","4. Parfois (Environ une fois par semaine)","5. Régulièrement (Plusieurs fois par semaine)","6. Quotidiennement (Une fois par jour)","7. Très fréquemment (Plusieurs fois par jour)"},0)+1,""),"")</f>
        <v/>
      </c>
    </row>
    <row r="983" spans="16:21" x14ac:dyDescent="0.25">
      <c r="P983" t="str">
        <f>IF(DONNEES_SOURCE!$CA983=TRUE,DONNEES_SOURCE!$BV983,"")</f>
        <v/>
      </c>
      <c r="Q983" t="str">
        <f>IF(DONNEES_SOURCE!$CA983=TRUE,IFERROR(MATCH(DONNEES_SOURCE!$B983,{"2. Très rarement (Moins d'une fois par mois)","3. Rarement (1 à 3 fois par mois)","4. Parfois (Environ une fois par semaine)","5. Régulièrement (Plusieurs fois par semaine)","6. Quotidiennement (Une fois par jour)","7. Très fréquemment (Plusieurs fois par jour)"},0)+1,""),"")</f>
        <v/>
      </c>
      <c r="R983" t="str">
        <f>IF(DONNEES_SOURCE!$CA983=TRUE,DONNEES_SOURCE!$BW983,"")</f>
        <v/>
      </c>
      <c r="S983" t="str">
        <f>IF(DONNEES_SOURCE!$CA983=TRUE,DONNEES_SOURCE!$AU983,"")</f>
        <v/>
      </c>
      <c r="T983" t="str">
        <f>IF(DONNEES_SOURCE!$CA983=TRUE,DONNEES_SOURCE!$BW983,"")</f>
        <v/>
      </c>
      <c r="U983" t="str">
        <f>IF(DONNEES_SOURCE!$CA983=TRUE,IFERROR(MATCH(DONNEES_SOURCE!$B983,{"2. Très rarement (Moins d'une fois par mois)","3. Rarement (1 à 3 fois par mois)","4. Parfois (Environ une fois par semaine)","5. Régulièrement (Plusieurs fois par semaine)","6. Quotidiennement (Une fois par jour)","7. Très fréquemment (Plusieurs fois par jour)"},0)+1,""),"")</f>
        <v/>
      </c>
    </row>
    <row r="984" spans="16:21" x14ac:dyDescent="0.25">
      <c r="P984" t="str">
        <f>IF(DONNEES_SOURCE!$CA984=TRUE,DONNEES_SOURCE!$BV984,"")</f>
        <v/>
      </c>
      <c r="Q984" t="str">
        <f>IF(DONNEES_SOURCE!$CA984=TRUE,IFERROR(MATCH(DONNEES_SOURCE!$B984,{"2. Très rarement (Moins d'une fois par mois)","3. Rarement (1 à 3 fois par mois)","4. Parfois (Environ une fois par semaine)","5. Régulièrement (Plusieurs fois par semaine)","6. Quotidiennement (Une fois par jour)","7. Très fréquemment (Plusieurs fois par jour)"},0)+1,""),"")</f>
        <v/>
      </c>
      <c r="R984" t="str">
        <f>IF(DONNEES_SOURCE!$CA984=TRUE,DONNEES_SOURCE!$BW984,"")</f>
        <v/>
      </c>
      <c r="S984" t="str">
        <f>IF(DONNEES_SOURCE!$CA984=TRUE,DONNEES_SOURCE!$AU984,"")</f>
        <v/>
      </c>
      <c r="T984" t="str">
        <f>IF(DONNEES_SOURCE!$CA984=TRUE,DONNEES_SOURCE!$BW984,"")</f>
        <v/>
      </c>
      <c r="U984" t="str">
        <f>IF(DONNEES_SOURCE!$CA984=TRUE,IFERROR(MATCH(DONNEES_SOURCE!$B984,{"2. Très rarement (Moins d'une fois par mois)","3. Rarement (1 à 3 fois par mois)","4. Parfois (Environ une fois par semaine)","5. Régulièrement (Plusieurs fois par semaine)","6. Quotidiennement (Une fois par jour)","7. Très fréquemment (Plusieurs fois par jour)"},0)+1,""),"")</f>
        <v/>
      </c>
    </row>
    <row r="985" spans="16:21" x14ac:dyDescent="0.25">
      <c r="P985" t="str">
        <f>IF(DONNEES_SOURCE!$CA985=TRUE,DONNEES_SOURCE!$BV985,"")</f>
        <v/>
      </c>
      <c r="Q985" t="str">
        <f>IF(DONNEES_SOURCE!$CA985=TRUE,IFERROR(MATCH(DONNEES_SOURCE!$B985,{"2. Très rarement (Moins d'une fois par mois)","3. Rarement (1 à 3 fois par mois)","4. Parfois (Environ une fois par semaine)","5. Régulièrement (Plusieurs fois par semaine)","6. Quotidiennement (Une fois par jour)","7. Très fréquemment (Plusieurs fois par jour)"},0)+1,""),"")</f>
        <v/>
      </c>
      <c r="R985" t="str">
        <f>IF(DONNEES_SOURCE!$CA985=TRUE,DONNEES_SOURCE!$BW985,"")</f>
        <v/>
      </c>
      <c r="S985" t="str">
        <f>IF(DONNEES_SOURCE!$CA985=TRUE,DONNEES_SOURCE!$AU985,"")</f>
        <v/>
      </c>
      <c r="T985" t="str">
        <f>IF(DONNEES_SOURCE!$CA985=TRUE,DONNEES_SOURCE!$BW985,"")</f>
        <v/>
      </c>
      <c r="U985" t="str">
        <f>IF(DONNEES_SOURCE!$CA985=TRUE,IFERROR(MATCH(DONNEES_SOURCE!$B985,{"2. Très rarement (Moins d'une fois par mois)","3. Rarement (1 à 3 fois par mois)","4. Parfois (Environ une fois par semaine)","5. Régulièrement (Plusieurs fois par semaine)","6. Quotidiennement (Une fois par jour)","7. Très fréquemment (Plusieurs fois par jour)"},0)+1,""),"")</f>
        <v/>
      </c>
    </row>
    <row r="986" spans="16:21" x14ac:dyDescent="0.25">
      <c r="P986" t="str">
        <f>IF(DONNEES_SOURCE!$CA986=TRUE,DONNEES_SOURCE!$BV986,"")</f>
        <v/>
      </c>
      <c r="Q986" t="str">
        <f>IF(DONNEES_SOURCE!$CA986=TRUE,IFERROR(MATCH(DONNEES_SOURCE!$B986,{"2. Très rarement (Moins d'une fois par mois)","3. Rarement (1 à 3 fois par mois)","4. Parfois (Environ une fois par semaine)","5. Régulièrement (Plusieurs fois par semaine)","6. Quotidiennement (Une fois par jour)","7. Très fréquemment (Plusieurs fois par jour)"},0)+1,""),"")</f>
        <v/>
      </c>
      <c r="R986" t="str">
        <f>IF(DONNEES_SOURCE!$CA986=TRUE,DONNEES_SOURCE!$BW986,"")</f>
        <v/>
      </c>
      <c r="S986" t="str">
        <f>IF(DONNEES_SOURCE!$CA986=TRUE,DONNEES_SOURCE!$AU986,"")</f>
        <v/>
      </c>
      <c r="T986" t="str">
        <f>IF(DONNEES_SOURCE!$CA986=TRUE,DONNEES_SOURCE!$BW986,"")</f>
        <v/>
      </c>
      <c r="U986" t="str">
        <f>IF(DONNEES_SOURCE!$CA986=TRUE,IFERROR(MATCH(DONNEES_SOURCE!$B986,{"2. Très rarement (Moins d'une fois par mois)","3. Rarement (1 à 3 fois par mois)","4. Parfois (Environ une fois par semaine)","5. Régulièrement (Plusieurs fois par semaine)","6. Quotidiennement (Une fois par jour)","7. Très fréquemment (Plusieurs fois par jour)"},0)+1,""),"")</f>
        <v/>
      </c>
    </row>
    <row r="987" spans="16:21" x14ac:dyDescent="0.25">
      <c r="P987" t="str">
        <f>IF(DONNEES_SOURCE!$CA987=TRUE,DONNEES_SOURCE!$BV987,"")</f>
        <v/>
      </c>
      <c r="Q987" t="str">
        <f>IF(DONNEES_SOURCE!$CA987=TRUE,IFERROR(MATCH(DONNEES_SOURCE!$B987,{"2. Très rarement (Moins d'une fois par mois)","3. Rarement (1 à 3 fois par mois)","4. Parfois (Environ une fois par semaine)","5. Régulièrement (Plusieurs fois par semaine)","6. Quotidiennement (Une fois par jour)","7. Très fréquemment (Plusieurs fois par jour)"},0)+1,""),"")</f>
        <v/>
      </c>
      <c r="R987" t="str">
        <f>IF(DONNEES_SOURCE!$CA987=TRUE,DONNEES_SOURCE!$BW987,"")</f>
        <v/>
      </c>
      <c r="S987" t="str">
        <f>IF(DONNEES_SOURCE!$CA987=TRUE,DONNEES_SOURCE!$AU987,"")</f>
        <v/>
      </c>
      <c r="T987" t="str">
        <f>IF(DONNEES_SOURCE!$CA987=TRUE,DONNEES_SOURCE!$BW987,"")</f>
        <v/>
      </c>
      <c r="U987" t="str">
        <f>IF(DONNEES_SOURCE!$CA987=TRUE,IFERROR(MATCH(DONNEES_SOURCE!$B987,{"2. Très rarement (Moins d'une fois par mois)","3. Rarement (1 à 3 fois par mois)","4. Parfois (Environ une fois par semaine)","5. Régulièrement (Plusieurs fois par semaine)","6. Quotidiennement (Une fois par jour)","7. Très fréquemment (Plusieurs fois par jour)"},0)+1,""),"")</f>
        <v/>
      </c>
    </row>
    <row r="988" spans="16:21" x14ac:dyDescent="0.25">
      <c r="P988" t="str">
        <f>IF(DONNEES_SOURCE!$CA988=TRUE,DONNEES_SOURCE!$BV988,"")</f>
        <v/>
      </c>
      <c r="Q988" t="str">
        <f>IF(DONNEES_SOURCE!$CA988=TRUE,IFERROR(MATCH(DONNEES_SOURCE!$B988,{"2. Très rarement (Moins d'une fois par mois)","3. Rarement (1 à 3 fois par mois)","4. Parfois (Environ une fois par semaine)","5. Régulièrement (Plusieurs fois par semaine)","6. Quotidiennement (Une fois par jour)","7. Très fréquemment (Plusieurs fois par jour)"},0)+1,""),"")</f>
        <v/>
      </c>
      <c r="R988" t="str">
        <f>IF(DONNEES_SOURCE!$CA988=TRUE,DONNEES_SOURCE!$BW988,"")</f>
        <v/>
      </c>
      <c r="S988" t="str">
        <f>IF(DONNEES_SOURCE!$CA988=TRUE,DONNEES_SOURCE!$AU988,"")</f>
        <v/>
      </c>
      <c r="T988" t="str">
        <f>IF(DONNEES_SOURCE!$CA988=TRUE,DONNEES_SOURCE!$BW988,"")</f>
        <v/>
      </c>
      <c r="U988" t="str">
        <f>IF(DONNEES_SOURCE!$CA988=TRUE,IFERROR(MATCH(DONNEES_SOURCE!$B988,{"2. Très rarement (Moins d'une fois par mois)","3. Rarement (1 à 3 fois par mois)","4. Parfois (Environ une fois par semaine)","5. Régulièrement (Plusieurs fois par semaine)","6. Quotidiennement (Une fois par jour)","7. Très fréquemment (Plusieurs fois par jour)"},0)+1,""),"")</f>
        <v/>
      </c>
    </row>
    <row r="989" spans="16:21" x14ac:dyDescent="0.25">
      <c r="P989" t="str">
        <f>IF(DONNEES_SOURCE!$CA989=TRUE,DONNEES_SOURCE!$BV989,"")</f>
        <v/>
      </c>
      <c r="Q989" t="str">
        <f>IF(DONNEES_SOURCE!$CA989=TRUE,IFERROR(MATCH(DONNEES_SOURCE!$B989,{"2. Très rarement (Moins d'une fois par mois)","3. Rarement (1 à 3 fois par mois)","4. Parfois (Environ une fois par semaine)","5. Régulièrement (Plusieurs fois par semaine)","6. Quotidiennement (Une fois par jour)","7. Très fréquemment (Plusieurs fois par jour)"},0)+1,""),"")</f>
        <v/>
      </c>
      <c r="R989" t="str">
        <f>IF(DONNEES_SOURCE!$CA989=TRUE,DONNEES_SOURCE!$BW989,"")</f>
        <v/>
      </c>
      <c r="S989" t="str">
        <f>IF(DONNEES_SOURCE!$CA989=TRUE,DONNEES_SOURCE!$AU989,"")</f>
        <v/>
      </c>
      <c r="T989" t="str">
        <f>IF(DONNEES_SOURCE!$CA989=TRUE,DONNEES_SOURCE!$BW989,"")</f>
        <v/>
      </c>
      <c r="U989" t="str">
        <f>IF(DONNEES_SOURCE!$CA989=TRUE,IFERROR(MATCH(DONNEES_SOURCE!$B989,{"2. Très rarement (Moins d'une fois par mois)","3. Rarement (1 à 3 fois par mois)","4. Parfois (Environ une fois par semaine)","5. Régulièrement (Plusieurs fois par semaine)","6. Quotidiennement (Une fois par jour)","7. Très fréquemment (Plusieurs fois par jour)"},0)+1,""),"")</f>
        <v/>
      </c>
    </row>
    <row r="990" spans="16:21" x14ac:dyDescent="0.25">
      <c r="P990" t="str">
        <f>IF(DONNEES_SOURCE!$CA990=TRUE,DONNEES_SOURCE!$BV990,"")</f>
        <v/>
      </c>
      <c r="Q990" t="str">
        <f>IF(DONNEES_SOURCE!$CA990=TRUE,IFERROR(MATCH(DONNEES_SOURCE!$B990,{"2. Très rarement (Moins d'une fois par mois)","3. Rarement (1 à 3 fois par mois)","4. Parfois (Environ une fois par semaine)","5. Régulièrement (Plusieurs fois par semaine)","6. Quotidiennement (Une fois par jour)","7. Très fréquemment (Plusieurs fois par jour)"},0)+1,""),"")</f>
        <v/>
      </c>
      <c r="R990" t="str">
        <f>IF(DONNEES_SOURCE!$CA990=TRUE,DONNEES_SOURCE!$BW990,"")</f>
        <v/>
      </c>
      <c r="S990" t="str">
        <f>IF(DONNEES_SOURCE!$CA990=TRUE,DONNEES_SOURCE!$AU990,"")</f>
        <v/>
      </c>
      <c r="T990" t="str">
        <f>IF(DONNEES_SOURCE!$CA990=TRUE,DONNEES_SOURCE!$BW990,"")</f>
        <v/>
      </c>
      <c r="U990" t="str">
        <f>IF(DONNEES_SOURCE!$CA990=TRUE,IFERROR(MATCH(DONNEES_SOURCE!$B990,{"2. Très rarement (Moins d'une fois par mois)","3. Rarement (1 à 3 fois par mois)","4. Parfois (Environ une fois par semaine)","5. Régulièrement (Plusieurs fois par semaine)","6. Quotidiennement (Une fois par jour)","7. Très fréquemment (Plusieurs fois par jour)"},0)+1,""),"")</f>
        <v/>
      </c>
    </row>
    <row r="991" spans="16:21" x14ac:dyDescent="0.25">
      <c r="P991" t="str">
        <f>IF(DONNEES_SOURCE!$CA991=TRUE,DONNEES_SOURCE!$BV991,"")</f>
        <v/>
      </c>
      <c r="Q991" t="str">
        <f>IF(DONNEES_SOURCE!$CA991=TRUE,IFERROR(MATCH(DONNEES_SOURCE!$B991,{"2. Très rarement (Moins d'une fois par mois)","3. Rarement (1 à 3 fois par mois)","4. Parfois (Environ une fois par semaine)","5. Régulièrement (Plusieurs fois par semaine)","6. Quotidiennement (Une fois par jour)","7. Très fréquemment (Plusieurs fois par jour)"},0)+1,""),"")</f>
        <v/>
      </c>
      <c r="R991" t="str">
        <f>IF(DONNEES_SOURCE!$CA991=TRUE,DONNEES_SOURCE!$BW991,"")</f>
        <v/>
      </c>
      <c r="S991" t="str">
        <f>IF(DONNEES_SOURCE!$CA991=TRUE,DONNEES_SOURCE!$AU991,"")</f>
        <v/>
      </c>
      <c r="T991" t="str">
        <f>IF(DONNEES_SOURCE!$CA991=TRUE,DONNEES_SOURCE!$BW991,"")</f>
        <v/>
      </c>
      <c r="U991" t="str">
        <f>IF(DONNEES_SOURCE!$CA991=TRUE,IFERROR(MATCH(DONNEES_SOURCE!$B991,{"2. Très rarement (Moins d'une fois par mois)","3. Rarement (1 à 3 fois par mois)","4. Parfois (Environ une fois par semaine)","5. Régulièrement (Plusieurs fois par semaine)","6. Quotidiennement (Une fois par jour)","7. Très fréquemment (Plusieurs fois par jour)"},0)+1,""),"")</f>
        <v/>
      </c>
    </row>
    <row r="992" spans="16:21" x14ac:dyDescent="0.25">
      <c r="P992" t="str">
        <f>IF(DONNEES_SOURCE!$CA992=TRUE,DONNEES_SOURCE!$BV992,"")</f>
        <v/>
      </c>
      <c r="Q992" t="str">
        <f>IF(DONNEES_SOURCE!$CA992=TRUE,IFERROR(MATCH(DONNEES_SOURCE!$B992,{"2. Très rarement (Moins d'une fois par mois)","3. Rarement (1 à 3 fois par mois)","4. Parfois (Environ une fois par semaine)","5. Régulièrement (Plusieurs fois par semaine)","6. Quotidiennement (Une fois par jour)","7. Très fréquemment (Plusieurs fois par jour)"},0)+1,""),"")</f>
        <v/>
      </c>
      <c r="R992" t="str">
        <f>IF(DONNEES_SOURCE!$CA992=TRUE,DONNEES_SOURCE!$BW992,"")</f>
        <v/>
      </c>
      <c r="S992" t="str">
        <f>IF(DONNEES_SOURCE!$CA992=TRUE,DONNEES_SOURCE!$AU992,"")</f>
        <v/>
      </c>
      <c r="T992" t="str">
        <f>IF(DONNEES_SOURCE!$CA992=TRUE,DONNEES_SOURCE!$BW992,"")</f>
        <v/>
      </c>
      <c r="U992" t="str">
        <f>IF(DONNEES_SOURCE!$CA992=TRUE,IFERROR(MATCH(DONNEES_SOURCE!$B992,{"2. Très rarement (Moins d'une fois par mois)","3. Rarement (1 à 3 fois par mois)","4. Parfois (Environ une fois par semaine)","5. Régulièrement (Plusieurs fois par semaine)","6. Quotidiennement (Une fois par jour)","7. Très fréquemment (Plusieurs fois par jour)"},0)+1,""),"")</f>
        <v/>
      </c>
    </row>
    <row r="993" spans="16:21" x14ac:dyDescent="0.25">
      <c r="P993" t="str">
        <f>IF(DONNEES_SOURCE!$CA993=TRUE,DONNEES_SOURCE!$BV993,"")</f>
        <v/>
      </c>
      <c r="Q993" t="str">
        <f>IF(DONNEES_SOURCE!$CA993=TRUE,IFERROR(MATCH(DONNEES_SOURCE!$B993,{"2. Très rarement (Moins d'une fois par mois)","3. Rarement (1 à 3 fois par mois)","4. Parfois (Environ une fois par semaine)","5. Régulièrement (Plusieurs fois par semaine)","6. Quotidiennement (Une fois par jour)","7. Très fréquemment (Plusieurs fois par jour)"},0)+1,""),"")</f>
        <v/>
      </c>
      <c r="R993" t="str">
        <f>IF(DONNEES_SOURCE!$CA993=TRUE,DONNEES_SOURCE!$BW993,"")</f>
        <v/>
      </c>
      <c r="S993" t="str">
        <f>IF(DONNEES_SOURCE!$CA993=TRUE,DONNEES_SOURCE!$AU993,"")</f>
        <v/>
      </c>
      <c r="T993" t="str">
        <f>IF(DONNEES_SOURCE!$CA993=TRUE,DONNEES_SOURCE!$BW993,"")</f>
        <v/>
      </c>
      <c r="U993" t="str">
        <f>IF(DONNEES_SOURCE!$CA993=TRUE,IFERROR(MATCH(DONNEES_SOURCE!$B993,{"2. Très rarement (Moins d'une fois par mois)","3. Rarement (1 à 3 fois par mois)","4. Parfois (Environ une fois par semaine)","5. Régulièrement (Plusieurs fois par semaine)","6. Quotidiennement (Une fois par jour)","7. Très fréquemment (Plusieurs fois par jour)"},0)+1,""),"")</f>
        <v/>
      </c>
    </row>
    <row r="994" spans="16:21" x14ac:dyDescent="0.25">
      <c r="P994" t="str">
        <f>IF(DONNEES_SOURCE!$CA994=TRUE,DONNEES_SOURCE!$BV994,"")</f>
        <v/>
      </c>
      <c r="Q994" t="str">
        <f>IF(DONNEES_SOURCE!$CA994=TRUE,IFERROR(MATCH(DONNEES_SOURCE!$B994,{"2. Très rarement (Moins d'une fois par mois)","3. Rarement (1 à 3 fois par mois)","4. Parfois (Environ une fois par semaine)","5. Régulièrement (Plusieurs fois par semaine)","6. Quotidiennement (Une fois par jour)","7. Très fréquemment (Plusieurs fois par jour)"},0)+1,""),"")</f>
        <v/>
      </c>
      <c r="R994" t="str">
        <f>IF(DONNEES_SOURCE!$CA994=TRUE,DONNEES_SOURCE!$BW994,"")</f>
        <v/>
      </c>
      <c r="S994" t="str">
        <f>IF(DONNEES_SOURCE!$CA994=TRUE,DONNEES_SOURCE!$AU994,"")</f>
        <v/>
      </c>
      <c r="T994" t="str">
        <f>IF(DONNEES_SOURCE!$CA994=TRUE,DONNEES_SOURCE!$BW994,"")</f>
        <v/>
      </c>
      <c r="U994" t="str">
        <f>IF(DONNEES_SOURCE!$CA994=TRUE,IFERROR(MATCH(DONNEES_SOURCE!$B994,{"2. Très rarement (Moins d'une fois par mois)","3. Rarement (1 à 3 fois par mois)","4. Parfois (Environ une fois par semaine)","5. Régulièrement (Plusieurs fois par semaine)","6. Quotidiennement (Une fois par jour)","7. Très fréquemment (Plusieurs fois par jour)"},0)+1,""),"")</f>
        <v/>
      </c>
    </row>
    <row r="995" spans="16:21" x14ac:dyDescent="0.25">
      <c r="P995" t="str">
        <f>IF(DONNEES_SOURCE!$CA995=TRUE,DONNEES_SOURCE!$BV995,"")</f>
        <v/>
      </c>
      <c r="Q995" t="str">
        <f>IF(DONNEES_SOURCE!$CA995=TRUE,IFERROR(MATCH(DONNEES_SOURCE!$B995,{"2. Très rarement (Moins d'une fois par mois)","3. Rarement (1 à 3 fois par mois)","4. Parfois (Environ une fois par semaine)","5. Régulièrement (Plusieurs fois par semaine)","6. Quotidiennement (Une fois par jour)","7. Très fréquemment (Plusieurs fois par jour)"},0)+1,""),"")</f>
        <v/>
      </c>
      <c r="R995" t="str">
        <f>IF(DONNEES_SOURCE!$CA995=TRUE,DONNEES_SOURCE!$BW995,"")</f>
        <v/>
      </c>
      <c r="S995" t="str">
        <f>IF(DONNEES_SOURCE!$CA995=TRUE,DONNEES_SOURCE!$AU995,"")</f>
        <v/>
      </c>
      <c r="T995" t="str">
        <f>IF(DONNEES_SOURCE!$CA995=TRUE,DONNEES_SOURCE!$BW995,"")</f>
        <v/>
      </c>
      <c r="U995" t="str">
        <f>IF(DONNEES_SOURCE!$CA995=TRUE,IFERROR(MATCH(DONNEES_SOURCE!$B995,{"2. Très rarement (Moins d'une fois par mois)","3. Rarement (1 à 3 fois par mois)","4. Parfois (Environ une fois par semaine)","5. Régulièrement (Plusieurs fois par semaine)","6. Quotidiennement (Une fois par jour)","7. Très fréquemment (Plusieurs fois par jour)"},0)+1,""),"")</f>
        <v/>
      </c>
    </row>
    <row r="996" spans="16:21" x14ac:dyDescent="0.25">
      <c r="P996" t="str">
        <f>IF(DONNEES_SOURCE!$CA996=TRUE,DONNEES_SOURCE!$BV996,"")</f>
        <v/>
      </c>
      <c r="Q996" t="str">
        <f>IF(DONNEES_SOURCE!$CA996=TRUE,IFERROR(MATCH(DONNEES_SOURCE!$B996,{"2. Très rarement (Moins d'une fois par mois)","3. Rarement (1 à 3 fois par mois)","4. Parfois (Environ une fois par semaine)","5. Régulièrement (Plusieurs fois par semaine)","6. Quotidiennement (Une fois par jour)","7. Très fréquemment (Plusieurs fois par jour)"},0)+1,""),"")</f>
        <v/>
      </c>
      <c r="R996" t="str">
        <f>IF(DONNEES_SOURCE!$CA996=TRUE,DONNEES_SOURCE!$BW996,"")</f>
        <v/>
      </c>
      <c r="S996" t="str">
        <f>IF(DONNEES_SOURCE!$CA996=TRUE,DONNEES_SOURCE!$AU996,"")</f>
        <v/>
      </c>
      <c r="T996" t="str">
        <f>IF(DONNEES_SOURCE!$CA996=TRUE,DONNEES_SOURCE!$BW996,"")</f>
        <v/>
      </c>
      <c r="U996" t="str">
        <f>IF(DONNEES_SOURCE!$CA996=TRUE,IFERROR(MATCH(DONNEES_SOURCE!$B996,{"2. Très rarement (Moins d'une fois par mois)","3. Rarement (1 à 3 fois par mois)","4. Parfois (Environ une fois par semaine)","5. Régulièrement (Plusieurs fois par semaine)","6. Quotidiennement (Une fois par jour)","7. Très fréquemment (Plusieurs fois par jour)"},0)+1,""),"")</f>
        <v/>
      </c>
    </row>
    <row r="997" spans="16:21" x14ac:dyDescent="0.25">
      <c r="P997" t="str">
        <f>IF(DONNEES_SOURCE!$CA997=TRUE,DONNEES_SOURCE!$BV997,"")</f>
        <v/>
      </c>
      <c r="Q997" t="str">
        <f>IF(DONNEES_SOURCE!$CA997=TRUE,IFERROR(MATCH(DONNEES_SOURCE!$B997,{"2. Très rarement (Moins d'une fois par mois)","3. Rarement (1 à 3 fois par mois)","4. Parfois (Environ une fois par semaine)","5. Régulièrement (Plusieurs fois par semaine)","6. Quotidiennement (Une fois par jour)","7. Très fréquemment (Plusieurs fois par jour)"},0)+1,""),"")</f>
        <v/>
      </c>
      <c r="R997" t="str">
        <f>IF(DONNEES_SOURCE!$CA997=TRUE,DONNEES_SOURCE!$BW997,"")</f>
        <v/>
      </c>
      <c r="S997" t="str">
        <f>IF(DONNEES_SOURCE!$CA997=TRUE,DONNEES_SOURCE!$AU997,"")</f>
        <v/>
      </c>
      <c r="T997" t="str">
        <f>IF(DONNEES_SOURCE!$CA997=TRUE,DONNEES_SOURCE!$BW997,"")</f>
        <v/>
      </c>
      <c r="U997" t="str">
        <f>IF(DONNEES_SOURCE!$CA997=TRUE,IFERROR(MATCH(DONNEES_SOURCE!$B997,{"2. Très rarement (Moins d'une fois par mois)","3. Rarement (1 à 3 fois par mois)","4. Parfois (Environ une fois par semaine)","5. Régulièrement (Plusieurs fois par semaine)","6. Quotidiennement (Une fois par jour)","7. Très fréquemment (Plusieurs fois par jour)"},0)+1,""),"")</f>
        <v/>
      </c>
    </row>
    <row r="998" spans="16:21" x14ac:dyDescent="0.25">
      <c r="P998" t="str">
        <f>IF(DONNEES_SOURCE!$CA998=TRUE,DONNEES_SOURCE!$BV998,"")</f>
        <v/>
      </c>
      <c r="Q998" t="str">
        <f>IF(DONNEES_SOURCE!$CA998=TRUE,IFERROR(MATCH(DONNEES_SOURCE!$B998,{"2. Très rarement (Moins d'une fois par mois)","3. Rarement (1 à 3 fois par mois)","4. Parfois (Environ une fois par semaine)","5. Régulièrement (Plusieurs fois par semaine)","6. Quotidiennement (Une fois par jour)","7. Très fréquemment (Plusieurs fois par jour)"},0)+1,""),"")</f>
        <v/>
      </c>
      <c r="R998" t="str">
        <f>IF(DONNEES_SOURCE!$CA998=TRUE,DONNEES_SOURCE!$BW998,"")</f>
        <v/>
      </c>
      <c r="S998" t="str">
        <f>IF(DONNEES_SOURCE!$CA998=TRUE,DONNEES_SOURCE!$AU998,"")</f>
        <v/>
      </c>
      <c r="T998" t="str">
        <f>IF(DONNEES_SOURCE!$CA998=TRUE,DONNEES_SOURCE!$BW998,"")</f>
        <v/>
      </c>
      <c r="U998" t="str">
        <f>IF(DONNEES_SOURCE!$CA998=TRUE,IFERROR(MATCH(DONNEES_SOURCE!$B998,{"2. Très rarement (Moins d'une fois par mois)","3. Rarement (1 à 3 fois par mois)","4. Parfois (Environ une fois par semaine)","5. Régulièrement (Plusieurs fois par semaine)","6. Quotidiennement (Une fois par jour)","7. Très fréquemment (Plusieurs fois par jour)"},0)+1,""),"")</f>
        <v/>
      </c>
    </row>
    <row r="999" spans="16:21" x14ac:dyDescent="0.25">
      <c r="P999" t="str">
        <f>IF(DONNEES_SOURCE!$CA999=TRUE,DONNEES_SOURCE!$BV999,"")</f>
        <v/>
      </c>
      <c r="Q999" t="str">
        <f>IF(DONNEES_SOURCE!$CA999=TRUE,IFERROR(MATCH(DONNEES_SOURCE!$B999,{"2. Très rarement (Moins d'une fois par mois)","3. Rarement (1 à 3 fois par mois)","4. Parfois (Environ une fois par semaine)","5. Régulièrement (Plusieurs fois par semaine)","6. Quotidiennement (Une fois par jour)","7. Très fréquemment (Plusieurs fois par jour)"},0)+1,""),"")</f>
        <v/>
      </c>
      <c r="R999" t="str">
        <f>IF(DONNEES_SOURCE!$CA999=TRUE,DONNEES_SOURCE!$BW999,"")</f>
        <v/>
      </c>
      <c r="S999" t="str">
        <f>IF(DONNEES_SOURCE!$CA999=TRUE,DONNEES_SOURCE!$AU999,"")</f>
        <v/>
      </c>
      <c r="T999" t="str">
        <f>IF(DONNEES_SOURCE!$CA999=TRUE,DONNEES_SOURCE!$BW999,"")</f>
        <v/>
      </c>
      <c r="U999" t="str">
        <f>IF(DONNEES_SOURCE!$CA999=TRUE,IFERROR(MATCH(DONNEES_SOURCE!$B999,{"2. Très rarement (Moins d'une fois par mois)","3. Rarement (1 à 3 fois par mois)","4. Parfois (Environ une fois par semaine)","5. Régulièrement (Plusieurs fois par semaine)","6. Quotidiennement (Une fois par jour)","7. Très fréquemment (Plusieurs fois par jour)"},0)+1,""),"")</f>
        <v/>
      </c>
    </row>
    <row r="1000" spans="16:21" x14ac:dyDescent="0.25">
      <c r="P1000" t="str">
        <f>IF(DONNEES_SOURCE!$CA1000=TRUE,DONNEES_SOURCE!$BV1000,"")</f>
        <v/>
      </c>
      <c r="Q1000" t="str">
        <f>IF(DONNEES_SOURCE!$CA1000=TRUE,IFERROR(MATCH(DONNEES_SOURCE!$B1000,{"2. Très rarement (Moins d'une fois par mois)","3. Rarement (1 à 3 fois par mois)","4. Parfois (Environ une fois par semaine)","5. Régulièrement (Plusieurs fois par semaine)","6. Quotidiennement (Une fois par jour)","7. Très fréquemment (Plusieurs fois par jour)"},0)+1,""),"")</f>
        <v/>
      </c>
      <c r="R1000" t="str">
        <f>IF(DONNEES_SOURCE!$CA1000=TRUE,DONNEES_SOURCE!$BW1000,"")</f>
        <v/>
      </c>
      <c r="S1000" t="str">
        <f>IF(DONNEES_SOURCE!$CA1000=TRUE,DONNEES_SOURCE!$AU1000,"")</f>
        <v/>
      </c>
      <c r="T1000" t="str">
        <f>IF(DONNEES_SOURCE!$CA1000=TRUE,DONNEES_SOURCE!$BW1000,"")</f>
        <v/>
      </c>
      <c r="U1000" t="str">
        <f>IF(DONNEES_SOURCE!$CA1000=TRUE,IFERROR(MATCH(DONNEES_SOURCE!$B1000,{"2. Très rarement (Moins d'une fois par mois)","3. Rarement (1 à 3 fois par mois)","4. Parfois (Environ une fois par semaine)","5. Régulièrement (Plusieurs fois par semaine)","6. Quotidiennement (Une fois par jour)","7. Très fréquemment (Plusieurs fois par jour)"},0)+1,""),"")</f>
        <v/>
      </c>
    </row>
    <row r="1001" spans="16:21" x14ac:dyDescent="0.25">
      <c r="P1001" t="str">
        <f>IF(DONNEES_SOURCE!$CA1001=TRUE,DONNEES_SOURCE!$BV1001,"")</f>
        <v/>
      </c>
      <c r="Q1001" t="str">
        <f>IF(DONNEES_SOURCE!$CA1001=TRUE,IFERROR(MATCH(DONNEES_SOURCE!$B1001,{"2. Très rarement (Moins d'une fois par mois)","3. Rarement (1 à 3 fois par mois)","4. Parfois (Environ une fois par semaine)","5. Régulièrement (Plusieurs fois par semaine)","6. Quotidiennement (Une fois par jour)","7. Très fréquemment (Plusieurs fois par jour)"},0)+1,""),"")</f>
        <v/>
      </c>
      <c r="R1001" t="str">
        <f>IF(DONNEES_SOURCE!$CA1001=TRUE,DONNEES_SOURCE!$BW1001,"")</f>
        <v/>
      </c>
      <c r="S1001" t="str">
        <f>IF(DONNEES_SOURCE!$CA1001=TRUE,DONNEES_SOURCE!$AU1001,"")</f>
        <v/>
      </c>
      <c r="T1001" t="str">
        <f>IF(DONNEES_SOURCE!$CA1001=TRUE,DONNEES_SOURCE!$BW1001,"")</f>
        <v/>
      </c>
      <c r="U1001" t="str">
        <f>IF(DONNEES_SOURCE!$CA1001=TRUE,IFERROR(MATCH(DONNEES_SOURCE!$B1001,{"2. Très rarement (Moins d'une fois par mois)","3. Rarement (1 à 3 fois par mois)","4. Parfois (Environ une fois par semaine)","5. Régulièrement (Plusieurs fois par semaine)","6. Quotidiennement (Une fois par jour)","7. Très fréquemment (Plusieurs fois par jour)"},0)+1,""),"")</f>
        <v/>
      </c>
    </row>
  </sheetData>
  <mergeCells count="5">
    <mergeCell ref="A1:J1"/>
    <mergeCell ref="A14:J14"/>
    <mergeCell ref="A4:J4"/>
    <mergeCell ref="A2:J2"/>
    <mergeCell ref="A19:J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0AFB-DE81-4D1A-B415-425143AF7225}">
  <dimension ref="A1:Y102"/>
  <sheetViews>
    <sheetView topLeftCell="A21" zoomScaleNormal="100" workbookViewId="0">
      <selection activeCell="C32" sqref="C32:C38"/>
    </sheetView>
  </sheetViews>
  <sheetFormatPr baseColWidth="10" defaultRowHeight="15" x14ac:dyDescent="0.25"/>
  <cols>
    <col min="1" max="1" width="34.42578125" bestFit="1" customWidth="1"/>
    <col min="2" max="2" width="15.140625" bestFit="1" customWidth="1"/>
    <col min="3" max="4" width="11.42578125" bestFit="1" customWidth="1"/>
    <col min="5" max="5" width="12.7109375" bestFit="1" customWidth="1"/>
    <col min="6" max="6" width="36.140625" hidden="1" customWidth="1"/>
    <col min="7" max="7" width="7.7109375" bestFit="1" customWidth="1"/>
    <col min="8" max="8" width="12" bestFit="1" customWidth="1"/>
    <col min="9" max="10" width="9.5703125" customWidth="1"/>
    <col min="11" max="20" width="10.42578125" customWidth="1"/>
  </cols>
  <sheetData>
    <row r="1" spans="1:25" ht="18.75" x14ac:dyDescent="0.3">
      <c r="A1" s="298" t="s">
        <v>665</v>
      </c>
      <c r="B1" s="254"/>
      <c r="C1" s="254"/>
      <c r="D1" s="254"/>
      <c r="E1" s="254"/>
      <c r="F1" s="254"/>
      <c r="G1" s="254"/>
      <c r="H1" s="254"/>
      <c r="I1" s="254"/>
      <c r="J1" s="254"/>
      <c r="K1" s="293" t="s">
        <v>710</v>
      </c>
      <c r="L1" s="254"/>
      <c r="M1" s="254"/>
      <c r="N1" s="254"/>
      <c r="O1" s="254"/>
    </row>
    <row r="2" spans="1:25" x14ac:dyDescent="0.25">
      <c r="K2" s="202" t="s">
        <v>711</v>
      </c>
      <c r="L2" s="202" t="s">
        <v>712</v>
      </c>
      <c r="M2" s="202" t="s">
        <v>713</v>
      </c>
      <c r="N2" s="202" t="s">
        <v>714</v>
      </c>
      <c r="O2" s="202" t="s">
        <v>715</v>
      </c>
      <c r="P2" s="202" t="s">
        <v>716</v>
      </c>
      <c r="Q2" s="202" t="s">
        <v>717</v>
      </c>
      <c r="R2" s="202" t="s">
        <v>718</v>
      </c>
      <c r="S2" s="202" t="s">
        <v>295</v>
      </c>
      <c r="T2" s="202" t="s">
        <v>439</v>
      </c>
      <c r="U2" t="s">
        <v>820</v>
      </c>
      <c r="V2" t="s">
        <v>821</v>
      </c>
      <c r="W2" t="s">
        <v>822</v>
      </c>
      <c r="X2" t="s">
        <v>823</v>
      </c>
      <c r="Y2" t="s">
        <v>690</v>
      </c>
    </row>
    <row r="3" spans="1:25" x14ac:dyDescent="0.25">
      <c r="A3" s="291" t="s">
        <v>666</v>
      </c>
      <c r="B3" s="254"/>
      <c r="C3" s="254"/>
      <c r="D3" s="254"/>
      <c r="E3" s="254"/>
      <c r="F3" s="254"/>
      <c r="G3" s="254"/>
      <c r="H3" s="254"/>
      <c r="I3" s="254"/>
      <c r="J3" s="254"/>
      <c r="K3" t="b">
        <f>DONNEES_SOURCE!$CA$2</f>
        <v>1</v>
      </c>
      <c r="L3">
        <f>DONNEES_SOURCE!$CB$2</f>
        <v>3</v>
      </c>
      <c r="M3">
        <f>IFERROR(VALUE(LEFT(DONNEES_SOURCE!$O$2,1)),"")</f>
        <v>1</v>
      </c>
      <c r="N3">
        <f>IFERROR(VALUE(LEFT(DONNEES_SOURCE!$P$2,1)),"")</f>
        <v>2</v>
      </c>
      <c r="O3">
        <f>IFERROR(VALUE(LEFT(DONNEES_SOURCE!$Q$2,1)),"")</f>
        <v>2</v>
      </c>
      <c r="P3">
        <f>IFERROR(VALUE(LEFT(DONNEES_SOURCE!$Y$2,1)),"")</f>
        <v>1</v>
      </c>
      <c r="Q3">
        <f>IFERROR(VALUE(LEFT(DONNEES_SOURCE!$Z$2,1)),"")</f>
        <v>1</v>
      </c>
      <c r="R3">
        <f>IFERROR(VALUE(LEFT(DONNEES_SOURCE!$AA$2,1)),"")</f>
        <v>2</v>
      </c>
      <c r="S3">
        <f>DONNEES_SOURCE!$BU$2</f>
        <v>1.4127000000000001</v>
      </c>
      <c r="T3">
        <f>1</f>
        <v>1</v>
      </c>
      <c r="U3">
        <f>IF(DONNEES_SOURCE!$CA2=TRUE,DONNEES_SOURCE!$AI2,"")</f>
        <v>2</v>
      </c>
      <c r="V3">
        <f>IF(DONNEES_SOURCE!$CA2=TRUE,IFERROR(VALUE(LEFT(DONNEES_SOURCE!$S2,1)),DONNEES_SOURCE!$S2),"")</f>
        <v>2</v>
      </c>
      <c r="W3">
        <f>IF(DONNEES_SOURCE!$CA2=TRUE,IFERROR(VALUE(LEFT(DONNEES_SOURCE!$T2,1)),DONNEES_SOURCE!$T2),"")</f>
        <v>1</v>
      </c>
      <c r="X3">
        <f>IF(DONNEES_SOURCE!$CA2=TRUE,IFERROR(VALUE(LEFT(DONNEES_SOURCE!$U2,1)),DONNEES_SOURCE!$U2),"")</f>
        <v>1</v>
      </c>
      <c r="Y3" t="str">
        <f>IF(DONNEES_SOURCE!$CA2=TRUE,DONNEES_SOURCE!$BZ2,"")</f>
        <v>Senior-Manager</v>
      </c>
    </row>
    <row r="4" spans="1:25" x14ac:dyDescent="0.25">
      <c r="A4" s="290" t="s">
        <v>679</v>
      </c>
      <c r="B4" s="254"/>
      <c r="C4" s="254"/>
      <c r="D4" s="254"/>
      <c r="E4" s="254"/>
      <c r="F4" s="254"/>
      <c r="G4" s="254"/>
      <c r="H4" s="254"/>
      <c r="I4" s="254"/>
      <c r="J4" s="254"/>
      <c r="K4" t="b">
        <f>DONNEES_SOURCE!$CA$3</f>
        <v>1</v>
      </c>
      <c r="L4">
        <f>DONNEES_SOURCE!$CB$3</f>
        <v>5</v>
      </c>
      <c r="M4">
        <f>IFERROR(VALUE(LEFT(DONNEES_SOURCE!$O$3,1)),"")</f>
        <v>1</v>
      </c>
      <c r="N4">
        <f>IFERROR(VALUE(LEFT(DONNEES_SOURCE!$P$3,1)),"")</f>
        <v>2</v>
      </c>
      <c r="O4">
        <f>IFERROR(VALUE(LEFT(DONNEES_SOURCE!$Q$3,1)),"")</f>
        <v>5</v>
      </c>
      <c r="P4">
        <f>IFERROR(VALUE(LEFT(DONNEES_SOURCE!$Y$3,1)),"")</f>
        <v>1</v>
      </c>
      <c r="Q4">
        <f>IFERROR(VALUE(LEFT(DONNEES_SOURCE!$Z$3,1)),"")</f>
        <v>2</v>
      </c>
      <c r="R4">
        <f>IFERROR(VALUE(LEFT(DONNEES_SOURCE!$AA$3,1)),"")</f>
        <v>5</v>
      </c>
      <c r="S4">
        <f>DONNEES_SOURCE!$BU$3</f>
        <v>2.0158999999999998</v>
      </c>
      <c r="T4">
        <f>2</f>
        <v>2</v>
      </c>
      <c r="U4">
        <f>IF(DONNEES_SOURCE!$CA3=TRUE,DONNEES_SOURCE!$AI3,"")</f>
        <v>6</v>
      </c>
      <c r="V4">
        <f>IF(DONNEES_SOURCE!$CA3=TRUE,IFERROR(VALUE(LEFT(DONNEES_SOURCE!$S3,1)),DONNEES_SOURCE!$S3),"")</f>
        <v>2</v>
      </c>
      <c r="W4">
        <f>IF(DONNEES_SOURCE!$CA3=TRUE,IFERROR(VALUE(LEFT(DONNEES_SOURCE!$T3,1)),DONNEES_SOURCE!$T3),"")</f>
        <v>1</v>
      </c>
      <c r="X4">
        <f>IF(DONNEES_SOURCE!$CA3=TRUE,IFERROR(VALUE(LEFT(DONNEES_SOURCE!$U3,1)),DONNEES_SOURCE!$U3),"")</f>
        <v>1</v>
      </c>
      <c r="Y4" t="str">
        <f>IF(DONNEES_SOURCE!$CA3=TRUE,DONNEES_SOURCE!$BZ3,"")</f>
        <v>Junior</v>
      </c>
    </row>
    <row r="5" spans="1:25" x14ac:dyDescent="0.25">
      <c r="K5" t="b">
        <f>DONNEES_SOURCE!$CA$4</f>
        <v>1</v>
      </c>
      <c r="L5">
        <f>DONNEES_SOURCE!$CB$4</f>
        <v>5</v>
      </c>
      <c r="M5">
        <f>IFERROR(VALUE(LEFT(DONNEES_SOURCE!$O$4,1)),"")</f>
        <v>4</v>
      </c>
      <c r="N5">
        <f>IFERROR(VALUE(LEFT(DONNEES_SOURCE!$P$4,1)),"")</f>
        <v>4</v>
      </c>
      <c r="O5">
        <f>IFERROR(VALUE(LEFT(DONNEES_SOURCE!$Q$4,1)),"")</f>
        <v>5</v>
      </c>
      <c r="P5">
        <f>IFERROR(VALUE(LEFT(DONNEES_SOURCE!$Y$4,1)),"")</f>
        <v>4</v>
      </c>
      <c r="Q5">
        <f>IFERROR(VALUE(LEFT(DONNEES_SOURCE!$Z$4,1)),"")</f>
        <v>4</v>
      </c>
      <c r="R5">
        <f>IFERROR(VALUE(LEFT(DONNEES_SOURCE!$AA$4,1)),"")</f>
        <v>4</v>
      </c>
      <c r="S5">
        <f>DONNEES_SOURCE!$BU$4</f>
        <v>3.3332999999999999</v>
      </c>
      <c r="T5">
        <f>3</f>
        <v>3</v>
      </c>
      <c r="U5">
        <f>IF(DONNEES_SOURCE!$CA4=TRUE,DONNEES_SOURCE!$AI4,"")</f>
        <v>7</v>
      </c>
      <c r="V5">
        <f>IF(DONNEES_SOURCE!$CA4=TRUE,IFERROR(VALUE(LEFT(DONNEES_SOURCE!$S4,1)),DONNEES_SOURCE!$S4),"")</f>
        <v>2</v>
      </c>
      <c r="W5">
        <f>IF(DONNEES_SOURCE!$CA4=TRUE,IFERROR(VALUE(LEFT(DONNEES_SOURCE!$T4,1)),DONNEES_SOURCE!$T4),"")</f>
        <v>3</v>
      </c>
      <c r="X5">
        <f>IF(DONNEES_SOURCE!$CA4=TRUE,IFERROR(VALUE(LEFT(DONNEES_SOURCE!$U4,1)),DONNEES_SOURCE!$U4),"")</f>
        <v>3</v>
      </c>
      <c r="Y5" t="str">
        <f>IF(DONNEES_SOURCE!$CA4=TRUE,DONNEES_SOURCE!$BZ4,"")</f>
        <v>Junior</v>
      </c>
    </row>
    <row r="6" spans="1:25" x14ac:dyDescent="0.25">
      <c r="A6" s="192" t="s">
        <v>667</v>
      </c>
      <c r="B6" s="192" t="s">
        <v>668</v>
      </c>
      <c r="C6" s="192" t="s">
        <v>485</v>
      </c>
      <c r="D6" s="192" t="s">
        <v>669</v>
      </c>
      <c r="E6" s="192" t="s">
        <v>670</v>
      </c>
      <c r="F6" s="192" t="s">
        <v>307</v>
      </c>
      <c r="K6" t="b">
        <f>DONNEES_SOURCE!$CA$5</f>
        <v>1</v>
      </c>
      <c r="L6">
        <f>DONNEES_SOURCE!$CB$5</f>
        <v>7</v>
      </c>
      <c r="M6">
        <f>IFERROR(VALUE(LEFT(DONNEES_SOURCE!$O$5,1)),"")</f>
        <v>5</v>
      </c>
      <c r="N6">
        <f>IFERROR(VALUE(LEFT(DONNEES_SOURCE!$P$5,1)),"")</f>
        <v>5</v>
      </c>
      <c r="O6">
        <f>IFERROR(VALUE(LEFT(DONNEES_SOURCE!$Q$5,1)),"")</f>
        <v>5</v>
      </c>
      <c r="P6">
        <f>IFERROR(VALUE(LEFT(DONNEES_SOURCE!$Y$5,1)),"")</f>
        <v>5</v>
      </c>
      <c r="Q6">
        <f>IFERROR(VALUE(LEFT(DONNEES_SOURCE!$Z$5,1)),"")</f>
        <v>4</v>
      </c>
      <c r="R6">
        <f>IFERROR(VALUE(LEFT(DONNEES_SOURCE!$AA$5,1)),"")</f>
        <v>5</v>
      </c>
      <c r="S6">
        <f>DONNEES_SOURCE!$BU$5</f>
        <v>4.0952000000000002</v>
      </c>
      <c r="T6">
        <f>4</f>
        <v>4</v>
      </c>
      <c r="U6">
        <f>IF(DONNEES_SOURCE!$CA5=TRUE,DONNEES_SOURCE!$AI5,"")</f>
        <v>7</v>
      </c>
      <c r="V6">
        <f>IF(DONNEES_SOURCE!$CA5=TRUE,IFERROR(VALUE(LEFT(DONNEES_SOURCE!$S5,1)),DONNEES_SOURCE!$S5),"")</f>
        <v>5</v>
      </c>
      <c r="W6">
        <f>IF(DONNEES_SOURCE!$CA5=TRUE,IFERROR(VALUE(LEFT(DONNEES_SOURCE!$T5,1)),DONNEES_SOURCE!$T5),"")</f>
        <v>3</v>
      </c>
      <c r="X6">
        <f>IF(DONNEES_SOURCE!$CA5=TRUE,IFERROR(VALUE(LEFT(DONNEES_SOURCE!$U5,1)),DONNEES_SOURCE!$U5),"")</f>
        <v>3</v>
      </c>
      <c r="Y6" t="str">
        <f>IF(DONNEES_SOURCE!$CA5=TRUE,DONNEES_SOURCE!$BZ5,"")</f>
        <v>Junior</v>
      </c>
    </row>
    <row r="7" spans="1:25" x14ac:dyDescent="0.25">
      <c r="A7" s="193" t="s">
        <v>671</v>
      </c>
      <c r="B7" s="194" cm="1">
        <f t="array" ref="B7">SUMPRODUCT((DONNEES_SOURCE!$CA$2:$CA$101=TRUE)*(DONNEES_SOURCE!$CB$2:$CB$101&lt;&gt;""))</f>
        <v>67</v>
      </c>
      <c r="C7" s="195">
        <f>AVERAGEIF(DONNEES_SOURCE!$CA$2:$CA$101,TRUE,DONNEES_SOURCE!$CB$2:$CB$101)</f>
        <v>5.0149253731343286</v>
      </c>
      <c r="D7" s="195" cm="1">
        <f t="array" ref="D7">MEDIAN(_xlfn._xlws.FILTER(DONNEES_SOURCE!$CB$2:$CB$101,DONNEES_SOURCE!$CA$2:$CA$101=TRUE))</f>
        <v>5</v>
      </c>
      <c r="E7" s="195" cm="1">
        <f t="array" ref="E7">_xlfn.STDEV.S(_xlfn._xlws.FILTER(DONNEES_SOURCE!$CB$2:$CB$101,DONNEES_SOURCE!$CA$2:$CA$101=TRUE))</f>
        <v>1.3426854289121921</v>
      </c>
      <c r="F7" s="193" t="s">
        <v>680</v>
      </c>
      <c r="K7" t="b">
        <f>DONNEES_SOURCE!$CA$6</f>
        <v>1</v>
      </c>
      <c r="L7">
        <f>DONNEES_SOURCE!$CB$6</f>
        <v>5</v>
      </c>
      <c r="M7">
        <f>IFERROR(VALUE(LEFT(DONNEES_SOURCE!$O$6,1)),"")</f>
        <v>5</v>
      </c>
      <c r="N7">
        <f>IFERROR(VALUE(LEFT(DONNEES_SOURCE!$P$6,1)),"")</f>
        <v>5</v>
      </c>
      <c r="O7">
        <f>IFERROR(VALUE(LEFT(DONNEES_SOURCE!$Q$6,1)),"")</f>
        <v>4</v>
      </c>
      <c r="P7">
        <f>IFERROR(VALUE(LEFT(DONNEES_SOURCE!$Y$6,1)),"")</f>
        <v>5</v>
      </c>
      <c r="Q7">
        <f>IFERROR(VALUE(LEFT(DONNEES_SOURCE!$Z$6,1)),"")</f>
        <v>5</v>
      </c>
      <c r="R7">
        <f>IFERROR(VALUE(LEFT(DONNEES_SOURCE!$AA$6,1)),"")</f>
        <v>5</v>
      </c>
      <c r="S7">
        <f>DONNEES_SOURCE!$BU$6</f>
        <v>4.5872999999999999</v>
      </c>
      <c r="T7">
        <f>5</f>
        <v>5</v>
      </c>
      <c r="U7">
        <f>IF(DONNEES_SOURCE!$CA6=TRUE,DONNEES_SOURCE!$AI6,"")</f>
        <v>6</v>
      </c>
      <c r="V7">
        <f>IF(DONNEES_SOURCE!$CA6=TRUE,IFERROR(VALUE(LEFT(DONNEES_SOURCE!$S6,1)),DONNEES_SOURCE!$S6),"")</f>
        <v>5</v>
      </c>
      <c r="W7">
        <f>IF(DONNEES_SOURCE!$CA6=TRUE,IFERROR(VALUE(LEFT(DONNEES_SOURCE!$T6,1)),DONNEES_SOURCE!$T6),"")</f>
        <v>4</v>
      </c>
      <c r="X7">
        <f>IF(DONNEES_SOURCE!$CA6=TRUE,IFERROR(VALUE(LEFT(DONNEES_SOURCE!$U6,1)),DONNEES_SOURCE!$U6),"")</f>
        <v>1</v>
      </c>
      <c r="Y7" t="str">
        <f>IF(DONNEES_SOURCE!$CA6=TRUE,DONNEES_SOURCE!$BZ6,"")</f>
        <v>Junior</v>
      </c>
    </row>
    <row r="8" spans="1:25" x14ac:dyDescent="0.25">
      <c r="A8" s="193" t="s">
        <v>672</v>
      </c>
      <c r="B8" s="194" cm="1">
        <f t="array" ref="B8">SUMPRODUCT((DONNEES_SOURCE!$CA$2:$CA$101=TRUE)*(DONNEES_SOURCE!$BU$2:$BU$101&lt;&gt;""))</f>
        <v>67</v>
      </c>
      <c r="C8" s="195">
        <f>AVERAGEIF(DONNEES_SOURCE!$CA$2:$CA$101,TRUE,DONNEES_SOURCE!$BU$2:$BU$101)</f>
        <v>3.3987223880597002</v>
      </c>
      <c r="D8" s="195" cm="1">
        <f t="array" ref="D8">MEDIAN(_xlfn._xlws.FILTER(DONNEES_SOURCE!$BU$2:$BU$101,DONNEES_SOURCE!$CA$2:$CA$101=TRUE))</f>
        <v>3.4762</v>
      </c>
      <c r="E8" s="195" cm="1">
        <f t="array" ref="E8">_xlfn.STDEV.S(_xlfn._xlws.FILTER(DONNEES_SOURCE!$BU$2:$BU$101,DONNEES_SOURCE!$CA$2:$CA$101=TRUE))</f>
        <v>0.57966150175115505</v>
      </c>
      <c r="F8" s="193" t="s">
        <v>681</v>
      </c>
      <c r="K8" t="b">
        <f>DONNEES_SOURCE!$CA$7</f>
        <v>1</v>
      </c>
      <c r="L8">
        <f>DONNEES_SOURCE!$CB$7</f>
        <v>5</v>
      </c>
      <c r="M8">
        <f>IFERROR(VALUE(LEFT(DONNEES_SOURCE!$O$7,1)),"")</f>
        <v>3</v>
      </c>
      <c r="N8">
        <f>IFERROR(VALUE(LEFT(DONNEES_SOURCE!$P$7,1)),"")</f>
        <v>5</v>
      </c>
      <c r="O8">
        <f>IFERROR(VALUE(LEFT(DONNEES_SOURCE!$Q$7,1)),"")</f>
        <v>5</v>
      </c>
      <c r="P8">
        <f>IFERROR(VALUE(LEFT(DONNEES_SOURCE!$Y$7,1)),"")</f>
        <v>4</v>
      </c>
      <c r="Q8">
        <f>IFERROR(VALUE(LEFT(DONNEES_SOURCE!$Z$7,1)),"")</f>
        <v>5</v>
      </c>
      <c r="R8">
        <f>IFERROR(VALUE(LEFT(DONNEES_SOURCE!$AA$7,1)),"")</f>
        <v>5</v>
      </c>
      <c r="S8">
        <f>DONNEES_SOURCE!$BU$7</f>
        <v>2.4603000000000002</v>
      </c>
      <c r="T8">
        <f>6</f>
        <v>6</v>
      </c>
      <c r="U8">
        <f>IF(DONNEES_SOURCE!$CA7=TRUE,DONNEES_SOURCE!$AI7,"")</f>
        <v>5</v>
      </c>
      <c r="V8">
        <f>IF(DONNEES_SOURCE!$CA7=TRUE,IFERROR(VALUE(LEFT(DONNEES_SOURCE!$S7,1)),DONNEES_SOURCE!$S7),"")</f>
        <v>1</v>
      </c>
      <c r="W8">
        <f>IF(DONNEES_SOURCE!$CA7=TRUE,IFERROR(VALUE(LEFT(DONNEES_SOURCE!$T7,1)),DONNEES_SOURCE!$T7),"")</f>
        <v>1</v>
      </c>
      <c r="X8">
        <f>IF(DONNEES_SOURCE!$CA7=TRUE,IFERROR(VALUE(LEFT(DONNEES_SOURCE!$U7,1)),DONNEES_SOURCE!$U7),"")</f>
        <v>1</v>
      </c>
      <c r="Y8" t="str">
        <f>IF(DONNEES_SOURCE!$CA7=TRUE,DONNEES_SOURCE!$BZ7,"")</f>
        <v>Junior</v>
      </c>
    </row>
    <row r="9" spans="1:25" x14ac:dyDescent="0.25">
      <c r="A9" s="193" t="s">
        <v>673</v>
      </c>
      <c r="B9" s="194" cm="1">
        <f t="array" ref="B9">SUMPRODUCT((DONNEES_SOURCE!$CA$2:$CA$101=TRUE)*(DONNEES_SOURCE!$O$2:$O$101&lt;&gt;""))</f>
        <v>67</v>
      </c>
      <c r="C9" s="195" cm="1">
        <f t="array" ref="C9">AVERAGE(_xlfn._xlws.FILTER(VALUE(LEFT(DONNEES_SOURCE!$O$2:$O$101,1)),(DONNEES_SOURCE!$CA$2:$CA$101=TRUE)*(DONNEES_SOURCE!$O$2:$O$101&lt;&gt;"")))</f>
        <v>3.6417910447761193</v>
      </c>
      <c r="D9" s="195" cm="1">
        <f t="array" ref="D9">MEDIAN(_xlfn._xlws.FILTER(VALUE(LEFT(DONNEES_SOURCE!$O$2:$O$101,1)),(DONNEES_SOURCE!$CA$2:$CA$101=TRUE)*(DONNEES_SOURCE!$O$2:$O$101&lt;&gt;"")))</f>
        <v>4</v>
      </c>
      <c r="E9" s="195" cm="1">
        <f t="array" ref="E9">_xlfn.STDEV.S(_xlfn._xlws.FILTER(VALUE(LEFT(DONNEES_SOURCE!$O$2:$O$101,1)),(DONNEES_SOURCE!$CA$2:$CA$101=TRUE)*(DONNEES_SOURCE!$O$2:$O$101&lt;&gt;"")))</f>
        <v>1.1768150718154156</v>
      </c>
      <c r="F9" s="193" t="s">
        <v>682</v>
      </c>
      <c r="K9" t="b">
        <f>DONNEES_SOURCE!$CA$8</f>
        <v>1</v>
      </c>
      <c r="L9">
        <f>DONNEES_SOURCE!$CB$8</f>
        <v>3</v>
      </c>
      <c r="M9">
        <f>IFERROR(VALUE(LEFT(DONNEES_SOURCE!$O$8,1)),"")</f>
        <v>3</v>
      </c>
      <c r="N9">
        <f>IFERROR(VALUE(LEFT(DONNEES_SOURCE!$P$8,1)),"")</f>
        <v>5</v>
      </c>
      <c r="O9">
        <f>IFERROR(VALUE(LEFT(DONNEES_SOURCE!$Q$8,1)),"")</f>
        <v>4</v>
      </c>
      <c r="P9">
        <f>IFERROR(VALUE(LEFT(DONNEES_SOURCE!$Y$8,1)),"")</f>
        <v>3</v>
      </c>
      <c r="Q9">
        <f>IFERROR(VALUE(LEFT(DONNEES_SOURCE!$Z$8,1)),"")</f>
        <v>4</v>
      </c>
      <c r="R9">
        <f>IFERROR(VALUE(LEFT(DONNEES_SOURCE!$AA$8,1)),"")</f>
        <v>4</v>
      </c>
      <c r="S9">
        <f>DONNEES_SOURCE!$BU$8</f>
        <v>2.8889</v>
      </c>
      <c r="T9">
        <f>7</f>
        <v>7</v>
      </c>
      <c r="U9">
        <f>IF(DONNEES_SOURCE!$CA8=TRUE,DONNEES_SOURCE!$AI8,"")</f>
        <v>5</v>
      </c>
      <c r="V9">
        <f>IF(DONNEES_SOURCE!$CA8=TRUE,IFERROR(VALUE(LEFT(DONNEES_SOURCE!$S8,1)),DONNEES_SOURCE!$S8),"")</f>
        <v>3</v>
      </c>
      <c r="W9">
        <f>IF(DONNEES_SOURCE!$CA8=TRUE,IFERROR(VALUE(LEFT(DONNEES_SOURCE!$T8,1)),DONNEES_SOURCE!$T8),"")</f>
        <v>1</v>
      </c>
      <c r="X9">
        <f>IF(DONNEES_SOURCE!$CA8=TRUE,IFERROR(VALUE(LEFT(DONNEES_SOURCE!$U8,1)),DONNEES_SOURCE!$U8),"")</f>
        <v>1</v>
      </c>
      <c r="Y9" t="str">
        <f>IF(DONNEES_SOURCE!$CA8=TRUE,DONNEES_SOURCE!$BZ8,"")</f>
        <v>Junior</v>
      </c>
    </row>
    <row r="10" spans="1:25" x14ac:dyDescent="0.25">
      <c r="A10" s="193" t="s">
        <v>674</v>
      </c>
      <c r="B10" s="194" cm="1">
        <f t="array" ref="B10">SUMPRODUCT((DONNEES_SOURCE!$CA$2:$CA$101=TRUE)*(DONNEES_SOURCE!$P$2:$P$101&lt;&gt;""))</f>
        <v>67</v>
      </c>
      <c r="C10" s="195" cm="1">
        <f t="array" ref="C10">AVERAGE(_xlfn._xlws.FILTER(VALUE(LEFT(DONNEES_SOURCE!$P$2:$P$101,1)),(DONNEES_SOURCE!$CA$2:$CA$101=TRUE)*(DONNEES_SOURCE!$P$2:$P$101&lt;&gt;"")))</f>
        <v>4.1641791044776122</v>
      </c>
      <c r="D10" s="195" cm="1">
        <f t="array" ref="D10">MEDIAN(_xlfn._xlws.FILTER(VALUE(LEFT(DONNEES_SOURCE!$P$2:$P$101,1)),(DONNEES_SOURCE!$CA$2:$CA$101=TRUE)*(DONNEES_SOURCE!$P$2:$P$101&lt;&gt;"")))</f>
        <v>4</v>
      </c>
      <c r="E10" s="195" cm="1">
        <f t="array" ref="E10">_xlfn.STDEV.S(_xlfn._xlws.FILTER(VALUE(LEFT(DONNEES_SOURCE!$P$2:$P$101,1)),(DONNEES_SOURCE!$CA$2:$CA$101=TRUE)*(DONNEES_SOURCE!$P$2:$P$101&lt;&gt;"")))</f>
        <v>0.93090075188485755</v>
      </c>
      <c r="F10" s="193" t="s">
        <v>683</v>
      </c>
      <c r="K10" t="b">
        <f>DONNEES_SOURCE!$CA$9</f>
        <v>1</v>
      </c>
      <c r="L10">
        <f>DONNEES_SOURCE!$CB$9</f>
        <v>3</v>
      </c>
      <c r="M10">
        <f>IFERROR(VALUE(LEFT(DONNEES_SOURCE!$O$9,1)),"")</f>
        <v>4</v>
      </c>
      <c r="N10">
        <f>IFERROR(VALUE(LEFT(DONNEES_SOURCE!$P$9,1)),"")</f>
        <v>4</v>
      </c>
      <c r="O10">
        <f>IFERROR(VALUE(LEFT(DONNEES_SOURCE!$Q$9,1)),"")</f>
        <v>2</v>
      </c>
      <c r="P10">
        <f>IFERROR(VALUE(LEFT(DONNEES_SOURCE!$Y$9,1)),"")</f>
        <v>4</v>
      </c>
      <c r="Q10">
        <f>IFERROR(VALUE(LEFT(DONNEES_SOURCE!$Z$9,1)),"")</f>
        <v>3</v>
      </c>
      <c r="R10">
        <f>IFERROR(VALUE(LEFT(DONNEES_SOURCE!$AA$9,1)),"")</f>
        <v>2</v>
      </c>
      <c r="S10">
        <f>DONNEES_SOURCE!$BU$9</f>
        <v>2.4285999999999999</v>
      </c>
      <c r="T10">
        <f>8</f>
        <v>8</v>
      </c>
      <c r="U10">
        <f>IF(DONNEES_SOURCE!$CA9=TRUE,DONNEES_SOURCE!$AI9,"")</f>
        <v>4</v>
      </c>
      <c r="V10">
        <f>IF(DONNEES_SOURCE!$CA9=TRUE,IFERROR(VALUE(LEFT(DONNEES_SOURCE!$S9,1)),DONNEES_SOURCE!$S9),"")</f>
        <v>3</v>
      </c>
      <c r="W10">
        <f>IF(DONNEES_SOURCE!$CA9=TRUE,IFERROR(VALUE(LEFT(DONNEES_SOURCE!$T9,1)),DONNEES_SOURCE!$T9),"")</f>
        <v>1</v>
      </c>
      <c r="X10">
        <f>IF(DONNEES_SOURCE!$CA9=TRUE,IFERROR(VALUE(LEFT(DONNEES_SOURCE!$U9,1)),DONNEES_SOURCE!$U9),"")</f>
        <v>1</v>
      </c>
      <c r="Y10" t="str">
        <f>IF(DONNEES_SOURCE!$CA9=TRUE,DONNEES_SOURCE!$BZ9,"")</f>
        <v>Junior</v>
      </c>
    </row>
    <row r="11" spans="1:25" x14ac:dyDescent="0.25">
      <c r="A11" s="193" t="s">
        <v>675</v>
      </c>
      <c r="B11" s="194" cm="1">
        <f t="array" ref="B11">SUMPRODUCT((DONNEES_SOURCE!$CA$2:$CA$101=TRUE)*(DONNEES_SOURCE!$Q$2:$Q$101&lt;&gt;""))</f>
        <v>67</v>
      </c>
      <c r="C11" s="195" cm="1">
        <f t="array" ref="C11">AVERAGE(_xlfn._xlws.FILTER(VALUE(LEFT(DONNEES_SOURCE!$Q$2:$Q$101,1)),(DONNEES_SOURCE!$CA$2:$CA$101=TRUE)*(DONNEES_SOURCE!$Q$2:$Q$101&lt;&gt;"")))</f>
        <v>4.3283582089552235</v>
      </c>
      <c r="D11" s="195" cm="1">
        <f t="array" ref="D11">MEDIAN(_xlfn._xlws.FILTER(VALUE(LEFT(DONNEES_SOURCE!$Q$2:$Q$101,1)),(DONNEES_SOURCE!$CA$2:$CA$101=TRUE)*(DONNEES_SOURCE!$Q$2:$Q$101&lt;&gt;"")))</f>
        <v>5</v>
      </c>
      <c r="E11" s="195" cm="1">
        <f t="array" ref="E11">_xlfn.STDEV.S(_xlfn._xlws.FILTER(VALUE(LEFT(DONNEES_SOURCE!$Q$2:$Q$101,1)),(DONNEES_SOURCE!$CA$2:$CA$101=TRUE)*(DONNEES_SOURCE!$Q$2:$Q$101&lt;&gt;"")))</f>
        <v>0.85966976925238092</v>
      </c>
      <c r="F11" s="193" t="s">
        <v>684</v>
      </c>
      <c r="K11" t="b">
        <f>DONNEES_SOURCE!$CA$10</f>
        <v>1</v>
      </c>
      <c r="L11">
        <f>DONNEES_SOURCE!$CB$10</f>
        <v>4</v>
      </c>
      <c r="M11">
        <f>IFERROR(VALUE(LEFT(DONNEES_SOURCE!$O$10,1)),"")</f>
        <v>2</v>
      </c>
      <c r="N11">
        <f>IFERROR(VALUE(LEFT(DONNEES_SOURCE!$P$10,1)),"")</f>
        <v>4</v>
      </c>
      <c r="O11">
        <f>IFERROR(VALUE(LEFT(DONNEES_SOURCE!$Q$10,1)),"")</f>
        <v>5</v>
      </c>
      <c r="P11">
        <f>IFERROR(VALUE(LEFT(DONNEES_SOURCE!$Y$10,1)),"")</f>
        <v>1</v>
      </c>
      <c r="Q11">
        <f>IFERROR(VALUE(LEFT(DONNEES_SOURCE!$Z$10,1)),"")</f>
        <v>1</v>
      </c>
      <c r="R11">
        <f>IFERROR(VALUE(LEFT(DONNEES_SOURCE!$AA$10,1)),"")</f>
        <v>1</v>
      </c>
      <c r="S11">
        <f>DONNEES_SOURCE!$BU$10</f>
        <v>2.3809999999999998</v>
      </c>
      <c r="T11">
        <f>9</f>
        <v>9</v>
      </c>
      <c r="U11">
        <f>IF(DONNEES_SOURCE!$CA10=TRUE,DONNEES_SOURCE!$AI10,"")</f>
        <v>7</v>
      </c>
      <c r="V11">
        <f>IF(DONNEES_SOURCE!$CA10=TRUE,IFERROR(VALUE(LEFT(DONNEES_SOURCE!$S10,1)),DONNEES_SOURCE!$S10),"")</f>
        <v>4</v>
      </c>
      <c r="W11">
        <f>IF(DONNEES_SOURCE!$CA10=TRUE,IFERROR(VALUE(LEFT(DONNEES_SOURCE!$T10,1)),DONNEES_SOURCE!$T10),"")</f>
        <v>3</v>
      </c>
      <c r="X11">
        <f>IF(DONNEES_SOURCE!$CA10=TRUE,IFERROR(VALUE(LEFT(DONNEES_SOURCE!$U10,1)),DONNEES_SOURCE!$U10),"")</f>
        <v>3</v>
      </c>
      <c r="Y11" t="str">
        <f>IF(DONNEES_SOURCE!$CA10=TRUE,DONNEES_SOURCE!$BZ10,"")</f>
        <v>Junior</v>
      </c>
    </row>
    <row r="12" spans="1:25" x14ac:dyDescent="0.25">
      <c r="A12" s="193" t="s">
        <v>676</v>
      </c>
      <c r="B12" s="194" cm="1">
        <f t="array" ref="B12">SUMPRODUCT((DONNEES_SOURCE!$CA$2:$CA$101=TRUE)*(DONNEES_SOURCE!$Y$2:$Y$101&lt;&gt;""))</f>
        <v>67</v>
      </c>
      <c r="C12" s="195" cm="1">
        <f t="array" ref="C12">AVERAGE(_xlfn._xlws.FILTER(VALUE(LEFT(DONNEES_SOURCE!$Y$2:$Y$101,1)),(DONNEES_SOURCE!$CA$2:$CA$101=TRUE)*(DONNEES_SOURCE!$Y$2:$Y$101&lt;&gt;"")))</f>
        <v>3.716417910447761</v>
      </c>
      <c r="D12" s="195" cm="1">
        <f t="array" ref="D12">MEDIAN(_xlfn._xlws.FILTER(VALUE(LEFT(DONNEES_SOURCE!$Y$2:$Y$101,1)),(DONNEES_SOURCE!$CA$2:$CA$101=TRUE)*(DONNEES_SOURCE!$Y$2:$Y$101&lt;&gt;"")))</f>
        <v>4</v>
      </c>
      <c r="E12" s="195" cm="1">
        <f t="array" ref="E12">_xlfn.STDEV.S(_xlfn._xlws.FILTER(VALUE(LEFT(DONNEES_SOURCE!$Y$2:$Y$101,1)),(DONNEES_SOURCE!$CA$2:$CA$101=TRUE)*(DONNEES_SOURCE!$Y$2:$Y$101&lt;&gt;"")))</f>
        <v>1.1909503481655173</v>
      </c>
      <c r="F12" s="193" t="s">
        <v>685</v>
      </c>
      <c r="K12" t="b">
        <f>DONNEES_SOURCE!$CA$11</f>
        <v>1</v>
      </c>
      <c r="L12">
        <f>DONNEES_SOURCE!$CB$11</f>
        <v>4</v>
      </c>
      <c r="M12">
        <f>IFERROR(VALUE(LEFT(DONNEES_SOURCE!$O$11,1)),"")</f>
        <v>5</v>
      </c>
      <c r="N12">
        <f>IFERROR(VALUE(LEFT(DONNEES_SOURCE!$P$11,1)),"")</f>
        <v>4</v>
      </c>
      <c r="O12">
        <f>IFERROR(VALUE(LEFT(DONNEES_SOURCE!$Q$11,1)),"")</f>
        <v>5</v>
      </c>
      <c r="P12">
        <f>IFERROR(VALUE(LEFT(DONNEES_SOURCE!$Y$11,1)),"")</f>
        <v>4</v>
      </c>
      <c r="Q12">
        <f>IFERROR(VALUE(LEFT(DONNEES_SOURCE!$Z$11,1)),"")</f>
        <v>5</v>
      </c>
      <c r="R12">
        <f>IFERROR(VALUE(LEFT(DONNEES_SOURCE!$AA$11,1)),"")</f>
        <v>5</v>
      </c>
      <c r="S12">
        <f>DONNEES_SOURCE!$BU$11</f>
        <v>3.5238</v>
      </c>
      <c r="T12">
        <f>10</f>
        <v>10</v>
      </c>
      <c r="U12">
        <f>IF(DONNEES_SOURCE!$CA11=TRUE,DONNEES_SOURCE!$AI11,"")</f>
        <v>7</v>
      </c>
      <c r="V12">
        <f>IF(DONNEES_SOURCE!$CA11=TRUE,IFERROR(VALUE(LEFT(DONNEES_SOURCE!$S11,1)),DONNEES_SOURCE!$S11),"")</f>
        <v>4</v>
      </c>
      <c r="W12">
        <f>IF(DONNEES_SOURCE!$CA11=TRUE,IFERROR(VALUE(LEFT(DONNEES_SOURCE!$T11,1)),DONNEES_SOURCE!$T11),"")</f>
        <v>2</v>
      </c>
      <c r="X12">
        <f>IF(DONNEES_SOURCE!$CA11=TRUE,IFERROR(VALUE(LEFT(DONNEES_SOURCE!$U11,1)),DONNEES_SOURCE!$U11),"")</f>
        <v>2</v>
      </c>
      <c r="Y12" t="str">
        <f>IF(DONNEES_SOURCE!$CA11=TRUE,DONNEES_SOURCE!$BZ11,"")</f>
        <v>Junior</v>
      </c>
    </row>
    <row r="13" spans="1:25" x14ac:dyDescent="0.25">
      <c r="A13" s="193" t="s">
        <v>677</v>
      </c>
      <c r="B13" s="194" cm="1">
        <f t="array" ref="B13">SUMPRODUCT((DONNEES_SOURCE!$CA$2:$CA$101=TRUE)*(DONNEES_SOURCE!$Z$2:$Z$101&lt;&gt;""))</f>
        <v>67</v>
      </c>
      <c r="C13" s="195" cm="1">
        <f t="array" ref="C13">AVERAGE(_xlfn._xlws.FILTER(VALUE(LEFT(DONNEES_SOURCE!$Z$2:$Z$101,1)),(DONNEES_SOURCE!$CA$2:$CA$101=TRUE)*(DONNEES_SOURCE!$Z$2:$Z$101&lt;&gt;"")))</f>
        <v>4.0149253731343286</v>
      </c>
      <c r="D13" s="195" cm="1">
        <f t="array" ref="D13">MEDIAN(_xlfn._xlws.FILTER(VALUE(LEFT(DONNEES_SOURCE!$Z$2:$Z$101,1)),(DONNEES_SOURCE!$CA$2:$CA$101=TRUE)*(DONNEES_SOURCE!$Z$2:$Z$101&lt;&gt;"")))</f>
        <v>4</v>
      </c>
      <c r="E13" s="195" cm="1">
        <f t="array" ref="E13">_xlfn.STDEV.S(_xlfn._xlws.FILTER(VALUE(LEFT(DONNEES_SOURCE!$Z$2:$Z$101,1)),(DONNEES_SOURCE!$CA$2:$CA$101=TRUE)*(DONNEES_SOURCE!$Z$2:$Z$101&lt;&gt;"")))</f>
        <v>0.99228138289060897</v>
      </c>
      <c r="F13" s="193" t="s">
        <v>686</v>
      </c>
      <c r="K13" t="b">
        <f>DONNEES_SOURCE!$CA$12</f>
        <v>1</v>
      </c>
      <c r="L13">
        <f>DONNEES_SOURCE!$CB$12</f>
        <v>7</v>
      </c>
      <c r="M13">
        <f>IFERROR(VALUE(LEFT(DONNEES_SOURCE!$O$12,1)),"")</f>
        <v>1</v>
      </c>
      <c r="N13">
        <f>IFERROR(VALUE(LEFT(DONNEES_SOURCE!$P$12,1)),"")</f>
        <v>3</v>
      </c>
      <c r="O13">
        <f>IFERROR(VALUE(LEFT(DONNEES_SOURCE!$Q$12,1)),"")</f>
        <v>5</v>
      </c>
      <c r="P13">
        <f>IFERROR(VALUE(LEFT(DONNEES_SOURCE!$Y$12,1)),"")</f>
        <v>4</v>
      </c>
      <c r="Q13">
        <f>IFERROR(VALUE(LEFT(DONNEES_SOURCE!$Z$12,1)),"")</f>
        <v>4</v>
      </c>
      <c r="R13">
        <f>IFERROR(VALUE(LEFT(DONNEES_SOURCE!$AA$12,1)),"")</f>
        <v>4</v>
      </c>
      <c r="S13">
        <f>DONNEES_SOURCE!$BU$12</f>
        <v>3.3174999999999999</v>
      </c>
      <c r="T13">
        <f>11</f>
        <v>11</v>
      </c>
      <c r="U13">
        <f>IF(DONNEES_SOURCE!$CA12=TRUE,DONNEES_SOURCE!$AI12,"")</f>
        <v>5</v>
      </c>
      <c r="V13">
        <f>IF(DONNEES_SOURCE!$CA12=TRUE,IFERROR(VALUE(LEFT(DONNEES_SOURCE!$S12,1)),DONNEES_SOURCE!$S12),"")</f>
        <v>5</v>
      </c>
      <c r="W13">
        <f>IF(DONNEES_SOURCE!$CA12=TRUE,IFERROR(VALUE(LEFT(DONNEES_SOURCE!$T12,1)),DONNEES_SOURCE!$T12),"")</f>
        <v>3</v>
      </c>
      <c r="X13">
        <f>IF(DONNEES_SOURCE!$CA12=TRUE,IFERROR(VALUE(LEFT(DONNEES_SOURCE!$U12,1)),DONNEES_SOURCE!$U12),"")</f>
        <v>2</v>
      </c>
      <c r="Y13" t="str">
        <f>IF(DONNEES_SOURCE!$CA12=TRUE,DONNEES_SOURCE!$BZ12,"")</f>
        <v>Junior</v>
      </c>
    </row>
    <row r="14" spans="1:25" x14ac:dyDescent="0.25">
      <c r="A14" s="193" t="s">
        <v>678</v>
      </c>
      <c r="B14" s="194" cm="1">
        <f t="array" ref="B14">SUMPRODUCT((DONNEES_SOURCE!$CA$2:$CA$101=TRUE)*(DONNEES_SOURCE!$AA$2:$AA$101&lt;&gt;""))</f>
        <v>67</v>
      </c>
      <c r="C14" s="195" cm="1">
        <f t="array" ref="C14">AVERAGE(_xlfn._xlws.FILTER(VALUE(LEFT(DONNEES_SOURCE!$AA$2:$AA$101,1)),(DONNEES_SOURCE!$CA$2:$CA$101=TRUE)*(DONNEES_SOURCE!$AA$2:$AA$101&lt;&gt;"")))</f>
        <v>4.2238805970149258</v>
      </c>
      <c r="D14" s="195" cm="1">
        <f t="array" ref="D14">MEDIAN(_xlfn._xlws.FILTER(VALUE(LEFT(DONNEES_SOURCE!$AA$2:$AA$101,1)),(DONNEES_SOURCE!$CA$2:$CA$101=TRUE)*(DONNEES_SOURCE!$AA$2:$AA$101&lt;&gt;"")))</f>
        <v>4</v>
      </c>
      <c r="E14" s="195" cm="1">
        <f t="array" ref="E14">_xlfn.STDEV.S(_xlfn._xlws.FILTER(VALUE(LEFT(DONNEES_SOURCE!$AA$2:$AA$101,1)),(DONNEES_SOURCE!$CA$2:$CA$101=TRUE)*(DONNEES_SOURCE!$AA$2:$AA$101&lt;&gt;"")))</f>
        <v>0.90152892896974401</v>
      </c>
      <c r="F14" s="193" t="s">
        <v>687</v>
      </c>
      <c r="K14" t="b">
        <f>DONNEES_SOURCE!$CA$13</f>
        <v>1</v>
      </c>
      <c r="L14">
        <f>DONNEES_SOURCE!$CB$13</f>
        <v>7</v>
      </c>
      <c r="M14">
        <f>IFERROR(VALUE(LEFT(DONNEES_SOURCE!$O$13,1)),"")</f>
        <v>1</v>
      </c>
      <c r="N14">
        <f>IFERROR(VALUE(LEFT(DONNEES_SOURCE!$P$13,1)),"")</f>
        <v>4</v>
      </c>
      <c r="O14">
        <f>IFERROR(VALUE(LEFT(DONNEES_SOURCE!$Q$13,1)),"")</f>
        <v>5</v>
      </c>
      <c r="P14">
        <f>IFERROR(VALUE(LEFT(DONNEES_SOURCE!$Y$13,1)),"")</f>
        <v>3</v>
      </c>
      <c r="Q14">
        <f>IFERROR(VALUE(LEFT(DONNEES_SOURCE!$Z$13,1)),"")</f>
        <v>4</v>
      </c>
      <c r="R14">
        <f>IFERROR(VALUE(LEFT(DONNEES_SOURCE!$AA$13,1)),"")</f>
        <v>5</v>
      </c>
      <c r="S14">
        <f>DONNEES_SOURCE!$BU$13</f>
        <v>3.6190000000000002</v>
      </c>
      <c r="T14">
        <f>12</f>
        <v>12</v>
      </c>
      <c r="U14">
        <f>IF(DONNEES_SOURCE!$CA13=TRUE,DONNEES_SOURCE!$AI13,"")</f>
        <v>7</v>
      </c>
      <c r="V14">
        <f>IF(DONNEES_SOURCE!$CA13=TRUE,IFERROR(VALUE(LEFT(DONNEES_SOURCE!$S13,1)),DONNEES_SOURCE!$S13),"")</f>
        <v>5</v>
      </c>
      <c r="W14">
        <f>IF(DONNEES_SOURCE!$CA13=TRUE,IFERROR(VALUE(LEFT(DONNEES_SOURCE!$T13,1)),DONNEES_SOURCE!$T13),"")</f>
        <v>3</v>
      </c>
      <c r="X14">
        <f>IF(DONNEES_SOURCE!$CA13=TRUE,IFERROR(VALUE(LEFT(DONNEES_SOURCE!$U13,1)),DONNEES_SOURCE!$U13),"")</f>
        <v>3</v>
      </c>
      <c r="Y14" t="str">
        <f>IF(DONNEES_SOURCE!$CA13=TRUE,DONNEES_SOURCE!$BZ13,"")</f>
        <v>Senior-Manager</v>
      </c>
    </row>
    <row r="15" spans="1:25" x14ac:dyDescent="0.25">
      <c r="K15" t="b">
        <f>DONNEES_SOURCE!$CA$14</f>
        <v>1</v>
      </c>
      <c r="L15">
        <f>DONNEES_SOURCE!$CB$14</f>
        <v>6</v>
      </c>
      <c r="M15">
        <f>IFERROR(VALUE(LEFT(DONNEES_SOURCE!$O$14,1)),"")</f>
        <v>5</v>
      </c>
      <c r="N15">
        <f>IFERROR(VALUE(LEFT(DONNEES_SOURCE!$P$14,1)),"")</f>
        <v>5</v>
      </c>
      <c r="O15">
        <f>IFERROR(VALUE(LEFT(DONNEES_SOURCE!$Q$14,1)),"")</f>
        <v>5</v>
      </c>
      <c r="P15">
        <f>IFERROR(VALUE(LEFT(DONNEES_SOURCE!$Y$14,1)),"")</f>
        <v>3</v>
      </c>
      <c r="Q15">
        <f>IFERROR(VALUE(LEFT(DONNEES_SOURCE!$Z$14,1)),"")</f>
        <v>5</v>
      </c>
      <c r="R15">
        <f>IFERROR(VALUE(LEFT(DONNEES_SOURCE!$AA$14,1)),"")</f>
        <v>5</v>
      </c>
      <c r="S15">
        <f>DONNEES_SOURCE!$BU$14</f>
        <v>3.5872999999999999</v>
      </c>
      <c r="T15">
        <f>13</f>
        <v>13</v>
      </c>
      <c r="U15">
        <f>IF(DONNEES_SOURCE!$CA14=TRUE,DONNEES_SOURCE!$AI14,"")</f>
        <v>6</v>
      </c>
      <c r="V15">
        <f>IF(DONNEES_SOURCE!$CA14=TRUE,IFERROR(VALUE(LEFT(DONNEES_SOURCE!$S14,1)),DONNEES_SOURCE!$S14),"")</f>
        <v>5</v>
      </c>
      <c r="W15">
        <f>IF(DONNEES_SOURCE!$CA14=TRUE,IFERROR(VALUE(LEFT(DONNEES_SOURCE!$T14,1)),DONNEES_SOURCE!$T14),"")</f>
        <v>2</v>
      </c>
      <c r="X15">
        <f>IF(DONNEES_SOURCE!$CA14=TRUE,IFERROR(VALUE(LEFT(DONNEES_SOURCE!$U14,1)),DONNEES_SOURCE!$U14),"")</f>
        <v>2</v>
      </c>
      <c r="Y15" t="str">
        <f>IF(DONNEES_SOURCE!$CA14=TRUE,DONNEES_SOURCE!$BZ14,"")</f>
        <v>Junior</v>
      </c>
    </row>
    <row r="16" spans="1:25" x14ac:dyDescent="0.25">
      <c r="A16" s="291" t="s">
        <v>688</v>
      </c>
      <c r="B16" s="254"/>
      <c r="C16" s="254"/>
      <c r="D16" s="254"/>
      <c r="E16" s="254"/>
      <c r="F16" s="254"/>
      <c r="G16" s="254"/>
      <c r="H16" s="254"/>
      <c r="I16" s="254"/>
      <c r="J16" s="254"/>
      <c r="K16" t="b">
        <f>DONNEES_SOURCE!$CA$15</f>
        <v>1</v>
      </c>
      <c r="L16">
        <f>DONNEES_SOURCE!$CB$15</f>
        <v>3</v>
      </c>
      <c r="M16">
        <f>IFERROR(VALUE(LEFT(DONNEES_SOURCE!$O$15,1)),"")</f>
        <v>3</v>
      </c>
      <c r="N16">
        <f>IFERROR(VALUE(LEFT(DONNEES_SOURCE!$P$15,1)),"")</f>
        <v>5</v>
      </c>
      <c r="O16">
        <f>IFERROR(VALUE(LEFT(DONNEES_SOURCE!$Q$15,1)),"")</f>
        <v>5</v>
      </c>
      <c r="P16">
        <f>IFERROR(VALUE(LEFT(DONNEES_SOURCE!$Y$15,1)),"")</f>
        <v>2</v>
      </c>
      <c r="Q16">
        <f>IFERROR(VALUE(LEFT(DONNEES_SOURCE!$Z$15,1)),"")</f>
        <v>4</v>
      </c>
      <c r="R16">
        <f>IFERROR(VALUE(LEFT(DONNEES_SOURCE!$AA$15,1)),"")</f>
        <v>5</v>
      </c>
      <c r="S16">
        <f>DONNEES_SOURCE!$BU$15</f>
        <v>3.5238</v>
      </c>
      <c r="T16">
        <f>14</f>
        <v>14</v>
      </c>
      <c r="U16">
        <f>IF(DONNEES_SOURCE!$CA15=TRUE,DONNEES_SOURCE!$AI15,"")</f>
        <v>4</v>
      </c>
      <c r="V16">
        <f>IF(DONNEES_SOURCE!$CA15=TRUE,IFERROR(VALUE(LEFT(DONNEES_SOURCE!$S15,1)),DONNEES_SOURCE!$S15),"")</f>
        <v>3</v>
      </c>
      <c r="W16">
        <f>IF(DONNEES_SOURCE!$CA15=TRUE,IFERROR(VALUE(LEFT(DONNEES_SOURCE!$T15,1)),DONNEES_SOURCE!$T15),"")</f>
        <v>2</v>
      </c>
      <c r="X16">
        <f>IF(DONNEES_SOURCE!$CA15=TRUE,IFERROR(VALUE(LEFT(DONNEES_SOURCE!$U15,1)),DONNEES_SOURCE!$U15),"")</f>
        <v>2</v>
      </c>
      <c r="Y16" t="str">
        <f>IF(DONNEES_SOURCE!$CA15=TRUE,DONNEES_SOURCE!$BZ15,"")</f>
        <v>Junior</v>
      </c>
    </row>
    <row r="17" spans="1:25" x14ac:dyDescent="0.25">
      <c r="A17" s="290" t="s">
        <v>689</v>
      </c>
      <c r="B17" s="254"/>
      <c r="C17" s="254"/>
      <c r="D17" s="254"/>
      <c r="E17" s="254"/>
      <c r="F17" s="254"/>
      <c r="G17" s="254"/>
      <c r="H17" s="254"/>
      <c r="I17" s="254"/>
      <c r="J17" s="254"/>
      <c r="K17" t="b">
        <f>DONNEES_SOURCE!$CA$16</f>
        <v>1</v>
      </c>
      <c r="L17">
        <f>DONNEES_SOURCE!$CB$16</f>
        <v>7</v>
      </c>
      <c r="M17">
        <f>IFERROR(VALUE(LEFT(DONNEES_SOURCE!$O$16,1)),"")</f>
        <v>4</v>
      </c>
      <c r="N17">
        <f>IFERROR(VALUE(LEFT(DONNEES_SOURCE!$P$16,1)),"")</f>
        <v>5</v>
      </c>
      <c r="O17">
        <f>IFERROR(VALUE(LEFT(DONNEES_SOURCE!$Q$16,1)),"")</f>
        <v>4</v>
      </c>
      <c r="P17">
        <f>IFERROR(VALUE(LEFT(DONNEES_SOURCE!$Y$16,1)),"")</f>
        <v>4</v>
      </c>
      <c r="Q17">
        <f>IFERROR(VALUE(LEFT(DONNEES_SOURCE!$Z$16,1)),"")</f>
        <v>3</v>
      </c>
      <c r="R17">
        <f>IFERROR(VALUE(LEFT(DONNEES_SOURCE!$AA$16,1)),"")</f>
        <v>3</v>
      </c>
      <c r="S17">
        <f>DONNEES_SOURCE!$BU$16</f>
        <v>3.2698</v>
      </c>
      <c r="T17">
        <f>15</f>
        <v>15</v>
      </c>
      <c r="U17">
        <f>IF(DONNEES_SOURCE!$CA16=TRUE,DONNEES_SOURCE!$AI16,"")</f>
        <v>5</v>
      </c>
      <c r="V17">
        <f>IF(DONNEES_SOURCE!$CA16=TRUE,IFERROR(VALUE(LEFT(DONNEES_SOURCE!$S16,1)),DONNEES_SOURCE!$S16),"")</f>
        <v>5</v>
      </c>
      <c r="W17">
        <f>IF(DONNEES_SOURCE!$CA16=TRUE,IFERROR(VALUE(LEFT(DONNEES_SOURCE!$T16,1)),DONNEES_SOURCE!$T16),"")</f>
        <v>3</v>
      </c>
      <c r="X17">
        <f>IF(DONNEES_SOURCE!$CA16=TRUE,IFERROR(VALUE(LEFT(DONNEES_SOURCE!$U16,1)),DONNEES_SOURCE!$U16),"")</f>
        <v>3</v>
      </c>
      <c r="Y17" t="str">
        <f>IF(DONNEES_SOURCE!$CA16=TRUE,DONNEES_SOURCE!$BZ16,"")</f>
        <v>Senior-Manager</v>
      </c>
    </row>
    <row r="18" spans="1:25" x14ac:dyDescent="0.25">
      <c r="K18" t="b">
        <f>DONNEES_SOURCE!$CA$17</f>
        <v>1</v>
      </c>
      <c r="L18">
        <f>DONNEES_SOURCE!$CB$17</f>
        <v>5</v>
      </c>
      <c r="M18">
        <f>IFERROR(VALUE(LEFT(DONNEES_SOURCE!$O$17,1)),"")</f>
        <v>4</v>
      </c>
      <c r="N18">
        <f>IFERROR(VALUE(LEFT(DONNEES_SOURCE!$P$17,1)),"")</f>
        <v>5</v>
      </c>
      <c r="O18">
        <f>IFERROR(VALUE(LEFT(DONNEES_SOURCE!$Q$17,1)),"")</f>
        <v>4</v>
      </c>
      <c r="P18">
        <f>IFERROR(VALUE(LEFT(DONNEES_SOURCE!$Y$17,1)),"")</f>
        <v>5</v>
      </c>
      <c r="Q18">
        <f>IFERROR(VALUE(LEFT(DONNEES_SOURCE!$Z$17,1)),"")</f>
        <v>5</v>
      </c>
      <c r="R18">
        <f>IFERROR(VALUE(LEFT(DONNEES_SOURCE!$AA$17,1)),"")</f>
        <v>4</v>
      </c>
      <c r="S18">
        <f>DONNEES_SOURCE!$BU$17</f>
        <v>3.7778</v>
      </c>
      <c r="T18">
        <f>16</f>
        <v>16</v>
      </c>
      <c r="U18">
        <f>IF(DONNEES_SOURCE!$CA17=TRUE,DONNEES_SOURCE!$AI17,"")</f>
        <v>6</v>
      </c>
      <c r="V18">
        <f>IF(DONNEES_SOURCE!$CA17=TRUE,IFERROR(VALUE(LEFT(DONNEES_SOURCE!$S17,1)),DONNEES_SOURCE!$S17),"")</f>
        <v>3</v>
      </c>
      <c r="W18">
        <f>IF(DONNEES_SOURCE!$CA17=TRUE,IFERROR(VALUE(LEFT(DONNEES_SOURCE!$T17,1)),DONNEES_SOURCE!$T17),"")</f>
        <v>4</v>
      </c>
      <c r="X18">
        <f>IF(DONNEES_SOURCE!$CA17=TRUE,IFERROR(VALUE(LEFT(DONNEES_SOURCE!$U17,1)),DONNEES_SOURCE!$U17),"")</f>
        <v>1</v>
      </c>
      <c r="Y18" t="str">
        <f>IF(DONNEES_SOURCE!$CA17=TRUE,DONNEES_SOURCE!$BZ17,"")</f>
        <v>Senior-Manager</v>
      </c>
    </row>
    <row r="19" spans="1:25" x14ac:dyDescent="0.25">
      <c r="A19" s="192" t="s">
        <v>667</v>
      </c>
      <c r="B19" s="192" t="s">
        <v>690</v>
      </c>
      <c r="C19" s="192" t="s">
        <v>379</v>
      </c>
      <c r="D19" s="192" t="s">
        <v>485</v>
      </c>
      <c r="E19" s="192" t="s">
        <v>670</v>
      </c>
      <c r="K19" t="b">
        <f>DONNEES_SOURCE!$CA$18</f>
        <v>1</v>
      </c>
      <c r="L19">
        <f>DONNEES_SOURCE!$CB$18</f>
        <v>4</v>
      </c>
      <c r="M19">
        <f>IFERROR(VALUE(LEFT(DONNEES_SOURCE!$O$18,1)),"")</f>
        <v>4</v>
      </c>
      <c r="N19">
        <f>IFERROR(VALUE(LEFT(DONNEES_SOURCE!$P$18,1)),"")</f>
        <v>4</v>
      </c>
      <c r="O19">
        <f>IFERROR(VALUE(LEFT(DONNEES_SOURCE!$Q$18,1)),"")</f>
        <v>4</v>
      </c>
      <c r="P19">
        <f>IFERROR(VALUE(LEFT(DONNEES_SOURCE!$Y$18,1)),"")</f>
        <v>4</v>
      </c>
      <c r="Q19">
        <f>IFERROR(VALUE(LEFT(DONNEES_SOURCE!$Z$18,1)),"")</f>
        <v>4</v>
      </c>
      <c r="R19">
        <f>IFERROR(VALUE(LEFT(DONNEES_SOURCE!$AA$18,1)),"")</f>
        <v>4</v>
      </c>
      <c r="S19">
        <f>DONNEES_SOURCE!$BU$18</f>
        <v>3.4762</v>
      </c>
      <c r="T19">
        <f>17</f>
        <v>17</v>
      </c>
      <c r="U19">
        <f>IF(DONNEES_SOURCE!$CA18=TRUE,DONNEES_SOURCE!$AI18,"")</f>
        <v>4</v>
      </c>
      <c r="V19">
        <f>IF(DONNEES_SOURCE!$CA18=TRUE,IFERROR(VALUE(LEFT(DONNEES_SOURCE!$S18,1)),DONNEES_SOURCE!$S18),"")</f>
        <v>3</v>
      </c>
      <c r="W19">
        <f>IF(DONNEES_SOURCE!$CA18=TRUE,IFERROR(VALUE(LEFT(DONNEES_SOURCE!$T18,1)),DONNEES_SOURCE!$T18),"")</f>
        <v>4</v>
      </c>
      <c r="X19">
        <f>IF(DONNEES_SOURCE!$CA18=TRUE,IFERROR(VALUE(LEFT(DONNEES_SOURCE!$U18,1)),DONNEES_SOURCE!$U18),"")</f>
        <v>2</v>
      </c>
      <c r="Y19" t="str">
        <f>IF(DONNEES_SOURCE!$CA18=TRUE,DONNEES_SOURCE!$BZ18,"")</f>
        <v>Senior-Manager</v>
      </c>
    </row>
    <row r="20" spans="1:25" x14ac:dyDescent="0.25">
      <c r="A20" s="193" t="s">
        <v>691</v>
      </c>
      <c r="B20" s="193" t="s">
        <v>140</v>
      </c>
      <c r="C20" s="194">
        <f>COUNTIFS(DONNEES_SOURCE!$BZ$2:$BZ$101,"Junior",DONNEES_SOURCE!$CA$2:$CA$101,TRUE,DONNEES_SOURCE!$CB$2:$CB$101,"&lt;&gt;")</f>
        <v>32</v>
      </c>
      <c r="D20" s="195">
        <f>AVERAGEIFS(DONNEES_SOURCE!$CB$2:$CB$101,DONNEES_SOURCE!$BZ$2:$BZ$101,"Junior",DONNEES_SOURCE!$CA$2:$CA$101,TRUE)</f>
        <v>4.9375</v>
      </c>
      <c r="E20" s="195" cm="1">
        <f t="array" ref="E20">_xlfn.STDEV.S(_xlfn._xlws.FILTER(DONNEES_SOURCE!$CB$2:$CB$101,(DONNEES_SOURCE!$CA$2:$CA$101=TRUE)*(DONNEES_SOURCE!$BZ$2:$BZ$101="Junior")))</f>
        <v>1.4797013648139472</v>
      </c>
      <c r="K20" t="b">
        <f>DONNEES_SOURCE!$CA$19</f>
        <v>1</v>
      </c>
      <c r="L20">
        <f>DONNEES_SOURCE!$CB$19</f>
        <v>5</v>
      </c>
      <c r="M20">
        <f>IFERROR(VALUE(LEFT(DONNEES_SOURCE!$O$19,1)),"")</f>
        <v>4</v>
      </c>
      <c r="N20">
        <f>IFERROR(VALUE(LEFT(DONNEES_SOURCE!$P$19,1)),"")</f>
        <v>4</v>
      </c>
      <c r="O20">
        <f>IFERROR(VALUE(LEFT(DONNEES_SOURCE!$Q$19,1)),"")</f>
        <v>5</v>
      </c>
      <c r="P20">
        <f>IFERROR(VALUE(LEFT(DONNEES_SOURCE!$Y$19,1)),"")</f>
        <v>5</v>
      </c>
      <c r="Q20">
        <f>IFERROR(VALUE(LEFT(DONNEES_SOURCE!$Z$19,1)),"")</f>
        <v>5</v>
      </c>
      <c r="R20">
        <f>IFERROR(VALUE(LEFT(DONNEES_SOURCE!$AA$19,1)),"")</f>
        <v>5</v>
      </c>
      <c r="S20">
        <f>DONNEES_SOURCE!$BU$19</f>
        <v>3.5396999999999998</v>
      </c>
      <c r="T20">
        <f>18</f>
        <v>18</v>
      </c>
      <c r="U20">
        <f>IF(DONNEES_SOURCE!$CA19=TRUE,DONNEES_SOURCE!$AI19,"")</f>
        <v>6</v>
      </c>
      <c r="V20">
        <f>IF(DONNEES_SOURCE!$CA19=TRUE,IFERROR(VALUE(LEFT(DONNEES_SOURCE!$S19,1)),DONNEES_SOURCE!$S19),"")</f>
        <v>3</v>
      </c>
      <c r="W20">
        <f>IF(DONNEES_SOURCE!$CA19=TRUE,IFERROR(VALUE(LEFT(DONNEES_SOURCE!$T19,1)),DONNEES_SOURCE!$T19),"")</f>
        <v>3</v>
      </c>
      <c r="X20">
        <f>IF(DONNEES_SOURCE!$CA19=TRUE,IFERROR(VALUE(LEFT(DONNEES_SOURCE!$U19,1)),DONNEES_SOURCE!$U19),"")</f>
        <v>3</v>
      </c>
      <c r="Y20" t="str">
        <f>IF(DONNEES_SOURCE!$CA19=TRUE,DONNEES_SOURCE!$BZ19,"")</f>
        <v>Senior-Manager</v>
      </c>
    </row>
    <row r="21" spans="1:25" x14ac:dyDescent="0.25">
      <c r="A21" s="193"/>
      <c r="B21" s="193" t="s">
        <v>373</v>
      </c>
      <c r="C21" s="194">
        <f>COUNTIFS(DONNEES_SOURCE!$BZ$2:$BZ$101,"Senior-Manager",DONNEES_SOURCE!$CA$2:$CA$101,TRUE,DONNEES_SOURCE!$CB$2:$CB$101,"&lt;&gt;")</f>
        <v>17</v>
      </c>
      <c r="D21" s="195">
        <f>AVERAGEIFS(DONNEES_SOURCE!$CB$2:$CB$101,DONNEES_SOURCE!$BZ$2:$BZ$101,"Senior-Manager",DONNEES_SOURCE!$CA$2:$CA$101,TRUE)</f>
        <v>5.2352941176470589</v>
      </c>
      <c r="E21" s="195" cm="1">
        <f t="array" ref="E21">_xlfn.STDEV.S(_xlfn._xlws.FILTER(DONNEES_SOURCE!$CB$2:$CB$101,(DONNEES_SOURCE!$CA$2:$CA$101=TRUE)*(DONNEES_SOURCE!$BZ$2:$BZ$101="Senior-Manager")))</f>
        <v>1.4802622979013671</v>
      </c>
      <c r="K21" t="b">
        <f>DONNEES_SOURCE!$CA$20</f>
        <v>1</v>
      </c>
      <c r="L21">
        <f>DONNEES_SOURCE!$CB$20</f>
        <v>7</v>
      </c>
      <c r="M21">
        <f>IFERROR(VALUE(LEFT(DONNEES_SOURCE!$O$20,1)),"")</f>
        <v>3</v>
      </c>
      <c r="N21">
        <f>IFERROR(VALUE(LEFT(DONNEES_SOURCE!$P$20,1)),"")</f>
        <v>3</v>
      </c>
      <c r="O21">
        <f>IFERROR(VALUE(LEFT(DONNEES_SOURCE!$Q$20,1)),"")</f>
        <v>3</v>
      </c>
      <c r="P21">
        <f>IFERROR(VALUE(LEFT(DONNEES_SOURCE!$Y$20,1)),"")</f>
        <v>3</v>
      </c>
      <c r="Q21">
        <f>IFERROR(VALUE(LEFT(DONNEES_SOURCE!$Z$20,1)),"")</f>
        <v>3</v>
      </c>
      <c r="R21">
        <f>IFERROR(VALUE(LEFT(DONNEES_SOURCE!$AA$20,1)),"")</f>
        <v>3</v>
      </c>
      <c r="S21">
        <f>DONNEES_SOURCE!$BU$20</f>
        <v>2.6667000000000001</v>
      </c>
      <c r="T21">
        <f>19</f>
        <v>19</v>
      </c>
      <c r="U21">
        <f>IF(DONNEES_SOURCE!$CA20=TRUE,DONNEES_SOURCE!$AI20,"")</f>
        <v>7</v>
      </c>
      <c r="V21">
        <f>IF(DONNEES_SOURCE!$CA20=TRUE,IFERROR(VALUE(LEFT(DONNEES_SOURCE!$S20,1)),DONNEES_SOURCE!$S20),"")</f>
        <v>3</v>
      </c>
      <c r="W21">
        <f>IF(DONNEES_SOURCE!$CA20=TRUE,IFERROR(VALUE(LEFT(DONNEES_SOURCE!$T20,1)),DONNEES_SOURCE!$T20),"")</f>
        <v>3</v>
      </c>
      <c r="X21">
        <f>IF(DONNEES_SOURCE!$CA20=TRUE,IFERROR(VALUE(LEFT(DONNEES_SOURCE!$U20,1)),DONNEES_SOURCE!$U20),"")</f>
        <v>3</v>
      </c>
      <c r="Y21" t="str">
        <f>IF(DONNEES_SOURCE!$CA20=TRUE,DONNEES_SOURCE!$BZ20,"")</f>
        <v>Senior-Manager</v>
      </c>
    </row>
    <row r="22" spans="1:25" x14ac:dyDescent="0.25">
      <c r="A22" s="193"/>
      <c r="B22" s="193" t="s">
        <v>384</v>
      </c>
      <c r="C22" s="194">
        <f>COUNTIFS(DONNEES_SOURCE!$BZ$2:$BZ$101,"Associe",DONNEES_SOURCE!$CA$2:$CA$101,TRUE,DONNEES_SOURCE!$CB$2:$CB$101,"&lt;&gt;")</f>
        <v>18</v>
      </c>
      <c r="D22" s="195">
        <f>AVERAGEIFS(DONNEES_SOURCE!$CB$2:$CB$101,DONNEES_SOURCE!$BZ$2:$BZ$101,"Associe",DONNEES_SOURCE!$CA$2:$CA$101,TRUE)</f>
        <v>4.9444444444444446</v>
      </c>
      <c r="E22" s="195" cm="1">
        <f t="array" ref="E22">_xlfn.STDEV.S(_xlfn._xlws.FILTER(DONNEES_SOURCE!$CB$2:$CB$101,(DONNEES_SOURCE!$CA$2:$CA$101=TRUE)*(DONNEES_SOURCE!$BZ$2:$BZ$101="Associe")))</f>
        <v>0.93759531105923422</v>
      </c>
      <c r="K22" t="b">
        <f>DONNEES_SOURCE!$CA$21</f>
        <v>1</v>
      </c>
      <c r="L22">
        <f>DONNEES_SOURCE!$CB$21</f>
        <v>3</v>
      </c>
      <c r="M22">
        <f>IFERROR(VALUE(LEFT(DONNEES_SOURCE!$O$21,1)),"")</f>
        <v>5</v>
      </c>
      <c r="N22">
        <f>IFERROR(VALUE(LEFT(DONNEES_SOURCE!$P$21,1)),"")</f>
        <v>2</v>
      </c>
      <c r="O22">
        <f>IFERROR(VALUE(LEFT(DONNEES_SOURCE!$Q$21,1)),"")</f>
        <v>4</v>
      </c>
      <c r="P22">
        <f>IFERROR(VALUE(LEFT(DONNEES_SOURCE!$Y$21,1)),"")</f>
        <v>5</v>
      </c>
      <c r="Q22">
        <f>IFERROR(VALUE(LEFT(DONNEES_SOURCE!$Z$21,1)),"")</f>
        <v>4</v>
      </c>
      <c r="R22">
        <f>IFERROR(VALUE(LEFT(DONNEES_SOURCE!$AA$21,1)),"")</f>
        <v>4</v>
      </c>
      <c r="S22">
        <f>DONNEES_SOURCE!$BU$21</f>
        <v>3.2698</v>
      </c>
      <c r="T22">
        <f>20</f>
        <v>20</v>
      </c>
      <c r="U22">
        <f>IF(DONNEES_SOURCE!$CA21=TRUE,DONNEES_SOURCE!$AI21,"")</f>
        <v>5</v>
      </c>
      <c r="V22">
        <f>IF(DONNEES_SOURCE!$CA21=TRUE,IFERROR(VALUE(LEFT(DONNEES_SOURCE!$S21,1)),DONNEES_SOURCE!$S21),"")</f>
        <v>4</v>
      </c>
      <c r="W22">
        <f>IF(DONNEES_SOURCE!$CA21=TRUE,IFERROR(VALUE(LEFT(DONNEES_SOURCE!$T21,1)),DONNEES_SOURCE!$T21),"")</f>
        <v>4</v>
      </c>
      <c r="X22">
        <f>IF(DONNEES_SOURCE!$CA21=TRUE,IFERROR(VALUE(LEFT(DONNEES_SOURCE!$U21,1)),DONNEES_SOURCE!$U21),"")</f>
        <v>1</v>
      </c>
      <c r="Y22" t="str">
        <f>IF(DONNEES_SOURCE!$CA21=TRUE,DONNEES_SOURCE!$BZ21,"")</f>
        <v>Junior</v>
      </c>
    </row>
    <row r="23" spans="1:25" x14ac:dyDescent="0.25">
      <c r="A23" s="193"/>
      <c r="B23" s="193"/>
      <c r="C23" s="194"/>
      <c r="D23" s="195"/>
      <c r="E23" s="195"/>
      <c r="K23" t="b">
        <f>DONNEES_SOURCE!$CA$22</f>
        <v>1</v>
      </c>
      <c r="L23">
        <f>DONNEES_SOURCE!$CB$22</f>
        <v>2</v>
      </c>
      <c r="M23">
        <f>IFERROR(VALUE(LEFT(DONNEES_SOURCE!$O$22,1)),"")</f>
        <v>3</v>
      </c>
      <c r="N23">
        <f>IFERROR(VALUE(LEFT(DONNEES_SOURCE!$P$22,1)),"")</f>
        <v>3</v>
      </c>
      <c r="O23">
        <f>IFERROR(VALUE(LEFT(DONNEES_SOURCE!$Q$22,1)),"")</f>
        <v>3</v>
      </c>
      <c r="P23">
        <f>IFERROR(VALUE(LEFT(DONNEES_SOURCE!$Y$22,1)),"")</f>
        <v>2</v>
      </c>
      <c r="Q23">
        <f>IFERROR(VALUE(LEFT(DONNEES_SOURCE!$Z$22,1)),"")</f>
        <v>2</v>
      </c>
      <c r="R23">
        <f>IFERROR(VALUE(LEFT(DONNEES_SOURCE!$AA$22,1)),"")</f>
        <v>2</v>
      </c>
      <c r="S23">
        <f>DONNEES_SOURCE!$BU$22</f>
        <v>2.3174999999999999</v>
      </c>
      <c r="T23">
        <f>21</f>
        <v>21</v>
      </c>
      <c r="U23">
        <f>IF(DONNEES_SOURCE!$CA22=TRUE,DONNEES_SOURCE!$AI22,"")</f>
        <v>5</v>
      </c>
      <c r="V23">
        <f>IF(DONNEES_SOURCE!$CA22=TRUE,IFERROR(VALUE(LEFT(DONNEES_SOURCE!$S22,1)),DONNEES_SOURCE!$S22),"")</f>
        <v>2</v>
      </c>
      <c r="W23">
        <f>IF(DONNEES_SOURCE!$CA22=TRUE,IFERROR(VALUE(LEFT(DONNEES_SOURCE!$T22,1)),DONNEES_SOURCE!$T22),"")</f>
        <v>3</v>
      </c>
      <c r="X23">
        <f>IF(DONNEES_SOURCE!$CA22=TRUE,IFERROR(VALUE(LEFT(DONNEES_SOURCE!$U22,1)),DONNEES_SOURCE!$U22),"")</f>
        <v>2</v>
      </c>
      <c r="Y23" t="str">
        <f>IF(DONNEES_SOURCE!$CA22=TRUE,DONNEES_SOURCE!$BZ22,"")</f>
        <v>Senior-Manager</v>
      </c>
    </row>
    <row r="24" spans="1:25" x14ac:dyDescent="0.25">
      <c r="A24" s="193" t="s">
        <v>692</v>
      </c>
      <c r="B24" s="193" t="s">
        <v>140</v>
      </c>
      <c r="C24" s="194">
        <f>COUNTIFS(DONNEES_SOURCE!$BZ$2:$BZ$101,"Junior",DONNEES_SOURCE!$CA$2:$CA$101,TRUE,DONNEES_SOURCE!$BU$2:$BU$101,"&lt;&gt;")</f>
        <v>32</v>
      </c>
      <c r="D24" s="195">
        <f>AVERAGEIFS(DONNEES_SOURCE!$BU$2:$BU$101,DONNEES_SOURCE!$BZ$2:$BZ$101,"Junior",DONNEES_SOURCE!$CA$2:$CA$101,TRUE)</f>
        <v>3.3174625000000004</v>
      </c>
      <c r="E24" s="195" cm="1">
        <f t="array" ref="E24">_xlfn.STDEV.S(_xlfn._xlws.FILTER(DONNEES_SOURCE!$BU$2:$BU$101,(DONNEES_SOURCE!$CA$2:$CA$101=TRUE)*(DONNEES_SOURCE!$BZ$2:$BZ$101="Junior")))</f>
        <v>0.5698111083451618</v>
      </c>
      <c r="K24" t="b">
        <f>DONNEES_SOURCE!$CA$23</f>
        <v>1</v>
      </c>
      <c r="L24">
        <f>DONNEES_SOURCE!$CB$23</f>
        <v>7</v>
      </c>
      <c r="M24">
        <f>IFERROR(VALUE(LEFT(DONNEES_SOURCE!$O$23,1)),"")</f>
        <v>5</v>
      </c>
      <c r="N24">
        <f>IFERROR(VALUE(LEFT(DONNEES_SOURCE!$P$23,1)),"")</f>
        <v>5</v>
      </c>
      <c r="O24">
        <f>IFERROR(VALUE(LEFT(DONNEES_SOURCE!$Q$23,1)),"")</f>
        <v>5</v>
      </c>
      <c r="P24">
        <f>IFERROR(VALUE(LEFT(DONNEES_SOURCE!$Y$23,1)),"")</f>
        <v>5</v>
      </c>
      <c r="Q24">
        <f>IFERROR(VALUE(LEFT(DONNEES_SOURCE!$Z$23,1)),"")</f>
        <v>5</v>
      </c>
      <c r="R24">
        <f>IFERROR(VALUE(LEFT(DONNEES_SOURCE!$AA$23,1)),"")</f>
        <v>5</v>
      </c>
      <c r="S24">
        <f>DONNEES_SOURCE!$BU$23</f>
        <v>3.3967999999999998</v>
      </c>
      <c r="T24">
        <f>22</f>
        <v>22</v>
      </c>
      <c r="U24">
        <f>IF(DONNEES_SOURCE!$CA23=TRUE,DONNEES_SOURCE!$AI23,"")</f>
        <v>6</v>
      </c>
      <c r="V24">
        <f>IF(DONNEES_SOURCE!$CA23=TRUE,IFERROR(VALUE(LEFT(DONNEES_SOURCE!$S23,1)),DONNEES_SOURCE!$S23),"")</f>
        <v>5</v>
      </c>
      <c r="W24">
        <f>IF(DONNEES_SOURCE!$CA23=TRUE,IFERROR(VALUE(LEFT(DONNEES_SOURCE!$T23,1)),DONNEES_SOURCE!$T23),"")</f>
        <v>1</v>
      </c>
      <c r="X24">
        <f>IF(DONNEES_SOURCE!$CA23=TRUE,IFERROR(VALUE(LEFT(DONNEES_SOURCE!$U23,1)),DONNEES_SOURCE!$U23),"")</f>
        <v>1</v>
      </c>
      <c r="Y24" t="str">
        <f>IF(DONNEES_SOURCE!$CA23=TRUE,DONNEES_SOURCE!$BZ23,"")</f>
        <v>Junior</v>
      </c>
    </row>
    <row r="25" spans="1:25" x14ac:dyDescent="0.25">
      <c r="A25" s="193"/>
      <c r="B25" s="193" t="s">
        <v>373</v>
      </c>
      <c r="C25" s="194">
        <f>COUNTIFS(DONNEES_SOURCE!$BZ$2:$BZ$101,"Senior-Manager",DONNEES_SOURCE!$CA$2:$CA$101,TRUE,DONNEES_SOURCE!$BU$2:$BU$101,"&lt;&gt;")</f>
        <v>17</v>
      </c>
      <c r="D25" s="195">
        <f>AVERAGEIFS(DONNEES_SOURCE!$BU$2:$BU$101,DONNEES_SOURCE!$BZ$2:$BZ$101,"Senior-Manager",DONNEES_SOURCE!$CA$2:$CA$101,TRUE)</f>
        <v>3.3557411764705876</v>
      </c>
      <c r="E25" s="195" cm="1">
        <f t="array" ref="E25">_xlfn.STDEV.S(_xlfn._xlws.FILTER(DONNEES_SOURCE!$BU$2:$BU$101,(DONNEES_SOURCE!$CA$2:$CA$101=TRUE)*(DONNEES_SOURCE!$BZ$2:$BZ$101="Senior-Manager")))</f>
        <v>0.68112459768645695</v>
      </c>
      <c r="K25" t="b">
        <f>DONNEES_SOURCE!$CA$24</f>
        <v>1</v>
      </c>
      <c r="L25">
        <f>DONNEES_SOURCE!$CB$24</f>
        <v>5</v>
      </c>
      <c r="M25">
        <f>IFERROR(VALUE(LEFT(DONNEES_SOURCE!$O$24,1)),"")</f>
        <v>3</v>
      </c>
      <c r="N25">
        <f>IFERROR(VALUE(LEFT(DONNEES_SOURCE!$P$24,1)),"")</f>
        <v>3</v>
      </c>
      <c r="O25">
        <f>IFERROR(VALUE(LEFT(DONNEES_SOURCE!$Q$24,1)),"")</f>
        <v>3</v>
      </c>
      <c r="P25">
        <f>IFERROR(VALUE(LEFT(DONNEES_SOURCE!$Y$24,1)),"")</f>
        <v>3</v>
      </c>
      <c r="Q25">
        <f>IFERROR(VALUE(LEFT(DONNEES_SOURCE!$Z$24,1)),"")</f>
        <v>4</v>
      </c>
      <c r="R25">
        <f>IFERROR(VALUE(LEFT(DONNEES_SOURCE!$AA$24,1)),"")</f>
        <v>4</v>
      </c>
      <c r="S25">
        <f>DONNEES_SOURCE!$BU$24</f>
        <v>3.3016000000000001</v>
      </c>
      <c r="T25">
        <f>23</f>
        <v>23</v>
      </c>
      <c r="U25">
        <f>IF(DONNEES_SOURCE!$CA24=TRUE,DONNEES_SOURCE!$AI24,"")</f>
        <v>6</v>
      </c>
      <c r="V25">
        <f>IF(DONNEES_SOURCE!$CA24=TRUE,IFERROR(VALUE(LEFT(DONNEES_SOURCE!$S24,1)),DONNEES_SOURCE!$S24),"")</f>
        <v>3</v>
      </c>
      <c r="W25">
        <f>IF(DONNEES_SOURCE!$CA24=TRUE,IFERROR(VALUE(LEFT(DONNEES_SOURCE!$T24,1)),DONNEES_SOURCE!$T24),"")</f>
        <v>3</v>
      </c>
      <c r="X25">
        <f>IF(DONNEES_SOURCE!$CA24=TRUE,IFERROR(VALUE(LEFT(DONNEES_SOURCE!$U24,1)),DONNEES_SOURCE!$U24),"")</f>
        <v>3</v>
      </c>
      <c r="Y25" t="str">
        <f>IF(DONNEES_SOURCE!$CA24=TRUE,DONNEES_SOURCE!$BZ24,"")</f>
        <v>Junior</v>
      </c>
    </row>
    <row r="26" spans="1:25" x14ac:dyDescent="0.25">
      <c r="A26" s="193"/>
      <c r="B26" s="193" t="s">
        <v>384</v>
      </c>
      <c r="C26" s="194">
        <f>COUNTIFS(DONNEES_SOURCE!$BZ$2:$BZ$101,"Associe",DONNEES_SOURCE!$CA$2:$CA$101,TRUE,DONNEES_SOURCE!$BU$2:$BU$101,"&lt;&gt;")</f>
        <v>18</v>
      </c>
      <c r="D26" s="195">
        <f>AVERAGEIFS(DONNEES_SOURCE!$BU$2:$BU$101,DONNEES_SOURCE!$BZ$2:$BZ$101,"Associe",DONNEES_SOURCE!$CA$2:$CA$101,TRUE)</f>
        <v>3.5837777777777777</v>
      </c>
      <c r="E26" s="195" cm="1">
        <f t="array" ref="E26">_xlfn.STDEV.S(_xlfn._xlws.FILTER(DONNEES_SOURCE!$BU$2:$BU$101,(DONNEES_SOURCE!$CA$2:$CA$101=TRUE)*(DONNEES_SOURCE!$BZ$2:$BZ$101="Associe")))</f>
        <v>0.47460504143917503</v>
      </c>
      <c r="K26" t="b">
        <f>DONNEES_SOURCE!$CA$25</f>
        <v>1</v>
      </c>
      <c r="L26">
        <f>DONNEES_SOURCE!$CB$25</f>
        <v>7</v>
      </c>
      <c r="M26">
        <f>IFERROR(VALUE(LEFT(DONNEES_SOURCE!$O$25,1)),"")</f>
        <v>4</v>
      </c>
      <c r="N26">
        <f>IFERROR(VALUE(LEFT(DONNEES_SOURCE!$P$25,1)),"")</f>
        <v>4</v>
      </c>
      <c r="O26">
        <f>IFERROR(VALUE(LEFT(DONNEES_SOURCE!$Q$25,1)),"")</f>
        <v>4</v>
      </c>
      <c r="P26">
        <f>IFERROR(VALUE(LEFT(DONNEES_SOURCE!$Y$25,1)),"")</f>
        <v>4</v>
      </c>
      <c r="Q26">
        <f>IFERROR(VALUE(LEFT(DONNEES_SOURCE!$Z$25,1)),"")</f>
        <v>4</v>
      </c>
      <c r="R26">
        <f>IFERROR(VALUE(LEFT(DONNEES_SOURCE!$AA$25,1)),"")</f>
        <v>4</v>
      </c>
      <c r="S26">
        <f>DONNEES_SOURCE!$BU$25</f>
        <v>3.5078999999999998</v>
      </c>
      <c r="T26">
        <f>24</f>
        <v>24</v>
      </c>
      <c r="U26">
        <f>IF(DONNEES_SOURCE!$CA25=TRUE,DONNEES_SOURCE!$AI25,"")</f>
        <v>5</v>
      </c>
      <c r="V26">
        <f>IF(DONNEES_SOURCE!$CA25=TRUE,IFERROR(VALUE(LEFT(DONNEES_SOURCE!$S25,1)),DONNEES_SOURCE!$S25),"")</f>
        <v>5</v>
      </c>
      <c r="W26">
        <f>IF(DONNEES_SOURCE!$CA25=TRUE,IFERROR(VALUE(LEFT(DONNEES_SOURCE!$T25,1)),DONNEES_SOURCE!$T25),"")</f>
        <v>3</v>
      </c>
      <c r="X26">
        <f>IF(DONNEES_SOURCE!$CA25=TRUE,IFERROR(VALUE(LEFT(DONNEES_SOURCE!$U25,1)),DONNEES_SOURCE!$U25),"")</f>
        <v>2</v>
      </c>
      <c r="Y26" t="str">
        <f>IF(DONNEES_SOURCE!$CA25=TRUE,DONNEES_SOURCE!$BZ25,"")</f>
        <v>Senior-Manager</v>
      </c>
    </row>
    <row r="27" spans="1:25" x14ac:dyDescent="0.25">
      <c r="K27" t="b">
        <f>DONNEES_SOURCE!$CA$26</f>
        <v>1</v>
      </c>
      <c r="L27">
        <f>DONNEES_SOURCE!$CB$26</f>
        <v>5</v>
      </c>
      <c r="M27">
        <f>IFERROR(VALUE(LEFT(DONNEES_SOURCE!$O$26,1)),"")</f>
        <v>5</v>
      </c>
      <c r="N27">
        <f>IFERROR(VALUE(LEFT(DONNEES_SOURCE!$P$26,1)),"")</f>
        <v>4</v>
      </c>
      <c r="O27">
        <f>IFERROR(VALUE(LEFT(DONNEES_SOURCE!$Q$26,1)),"")</f>
        <v>3</v>
      </c>
      <c r="P27">
        <f>IFERROR(VALUE(LEFT(DONNEES_SOURCE!$Y$26,1)),"")</f>
        <v>4</v>
      </c>
      <c r="Q27">
        <f>IFERROR(VALUE(LEFT(DONNEES_SOURCE!$Z$26,1)),"")</f>
        <v>5</v>
      </c>
      <c r="R27">
        <f>IFERROR(VALUE(LEFT(DONNEES_SOURCE!$AA$26,1)),"")</f>
        <v>5</v>
      </c>
      <c r="S27">
        <f>DONNEES_SOURCE!$BU$26</f>
        <v>3.5556000000000001</v>
      </c>
      <c r="T27">
        <f>25</f>
        <v>25</v>
      </c>
      <c r="U27">
        <f>IF(DONNEES_SOURCE!$CA26=TRUE,DONNEES_SOURCE!$AI26,"")</f>
        <v>5</v>
      </c>
      <c r="V27">
        <f>IF(DONNEES_SOURCE!$CA26=TRUE,IFERROR(VALUE(LEFT(DONNEES_SOURCE!$S26,1)),DONNEES_SOURCE!$S26),"")</f>
        <v>5</v>
      </c>
      <c r="W27">
        <f>IF(DONNEES_SOURCE!$CA26=TRUE,IFERROR(VALUE(LEFT(DONNEES_SOURCE!$T26,1)),DONNEES_SOURCE!$T26),"")</f>
        <v>3</v>
      </c>
      <c r="X27">
        <f>IF(DONNEES_SOURCE!$CA26=TRUE,IFERROR(VALUE(LEFT(DONNEES_SOURCE!$U26,1)),DONNEES_SOURCE!$U26),"")</f>
        <v>1</v>
      </c>
      <c r="Y27" t="str">
        <f>IF(DONNEES_SOURCE!$CA26=TRUE,DONNEES_SOURCE!$BZ26,"")</f>
        <v>Senior-Manager</v>
      </c>
    </row>
    <row r="28" spans="1:25" x14ac:dyDescent="0.25">
      <c r="A28" s="291" t="s">
        <v>693</v>
      </c>
      <c r="B28" s="254"/>
      <c r="C28" s="254"/>
      <c r="D28" s="254"/>
      <c r="E28" s="254"/>
      <c r="F28" s="254"/>
      <c r="G28" s="254"/>
      <c r="H28" s="254"/>
      <c r="I28" s="254"/>
      <c r="J28" s="254"/>
      <c r="K28" t="b">
        <f>DONNEES_SOURCE!$CA$27</f>
        <v>1</v>
      </c>
      <c r="L28">
        <f>DONNEES_SOURCE!$CB$27</f>
        <v>2</v>
      </c>
      <c r="M28">
        <f>IFERROR(VALUE(LEFT(DONNEES_SOURCE!$O$27,1)),"")</f>
        <v>4</v>
      </c>
      <c r="N28">
        <f>IFERROR(VALUE(LEFT(DONNEES_SOURCE!$P$27,1)),"")</f>
        <v>4</v>
      </c>
      <c r="O28">
        <f>IFERROR(VALUE(LEFT(DONNEES_SOURCE!$Q$27,1)),"")</f>
        <v>4</v>
      </c>
      <c r="P28">
        <f>IFERROR(VALUE(LEFT(DONNEES_SOURCE!$Y$27,1)),"")</f>
        <v>4</v>
      </c>
      <c r="Q28">
        <f>IFERROR(VALUE(LEFT(DONNEES_SOURCE!$Z$27,1)),"")</f>
        <v>4</v>
      </c>
      <c r="R28">
        <f>IFERROR(VALUE(LEFT(DONNEES_SOURCE!$AA$27,1)),"")</f>
        <v>4</v>
      </c>
      <c r="S28">
        <f>DONNEES_SOURCE!$BU$27</f>
        <v>3.9205999999999999</v>
      </c>
      <c r="T28">
        <f>26</f>
        <v>26</v>
      </c>
      <c r="U28">
        <f>IF(DONNEES_SOURCE!$CA27=TRUE,DONNEES_SOURCE!$AI27,"")</f>
        <v>6</v>
      </c>
      <c r="V28">
        <f>IF(DONNEES_SOURCE!$CA27=TRUE,IFERROR(VALUE(LEFT(DONNEES_SOURCE!$S27,1)),DONNEES_SOURCE!$S27),"")</f>
        <v>4</v>
      </c>
      <c r="W28">
        <f>IF(DONNEES_SOURCE!$CA27=TRUE,IFERROR(VALUE(LEFT(DONNEES_SOURCE!$T27,1)),DONNEES_SOURCE!$T27),"")</f>
        <v>4</v>
      </c>
      <c r="X28">
        <f>IF(DONNEES_SOURCE!$CA27=TRUE,IFERROR(VALUE(LEFT(DONNEES_SOURCE!$U27,1)),DONNEES_SOURCE!$U27),"")</f>
        <v>4</v>
      </c>
      <c r="Y28" t="str">
        <f>IF(DONNEES_SOURCE!$CA27=TRUE,DONNEES_SOURCE!$BZ27,"")</f>
        <v>Junior</v>
      </c>
    </row>
    <row r="29" spans="1:25" x14ac:dyDescent="0.25">
      <c r="A29" s="290" t="s">
        <v>694</v>
      </c>
      <c r="B29" s="254"/>
      <c r="C29" s="254"/>
      <c r="D29" s="254"/>
      <c r="E29" s="254"/>
      <c r="F29" s="254"/>
      <c r="G29" s="254"/>
      <c r="H29" s="254"/>
      <c r="I29" s="254"/>
      <c r="J29" s="254"/>
      <c r="K29" t="b">
        <f>DONNEES_SOURCE!$CA$28</f>
        <v>1</v>
      </c>
      <c r="L29">
        <f>DONNEES_SOURCE!$CB$28</f>
        <v>2</v>
      </c>
      <c r="M29">
        <f>IFERROR(VALUE(LEFT(DONNEES_SOURCE!$O$28,1)),"")</f>
        <v>3</v>
      </c>
      <c r="N29">
        <f>IFERROR(VALUE(LEFT(DONNEES_SOURCE!$P$28,1)),"")</f>
        <v>4</v>
      </c>
      <c r="O29">
        <f>IFERROR(VALUE(LEFT(DONNEES_SOURCE!$Q$28,1)),"")</f>
        <v>4</v>
      </c>
      <c r="P29">
        <f>IFERROR(VALUE(LEFT(DONNEES_SOURCE!$Y$28,1)),"")</f>
        <v>3</v>
      </c>
      <c r="Q29">
        <f>IFERROR(VALUE(LEFT(DONNEES_SOURCE!$Z$28,1)),"")</f>
        <v>3</v>
      </c>
      <c r="R29">
        <f>IFERROR(VALUE(LEFT(DONNEES_SOURCE!$AA$28,1)),"")</f>
        <v>3</v>
      </c>
      <c r="S29">
        <f>DONNEES_SOURCE!$BU$28</f>
        <v>2.5556000000000001</v>
      </c>
      <c r="T29">
        <f>27</f>
        <v>27</v>
      </c>
      <c r="U29">
        <f>IF(DONNEES_SOURCE!$CA28=TRUE,DONNEES_SOURCE!$AI28,"")</f>
        <v>5</v>
      </c>
      <c r="V29">
        <f>IF(DONNEES_SOURCE!$CA28=TRUE,IFERROR(VALUE(LEFT(DONNEES_SOURCE!$S28,1)),DONNEES_SOURCE!$S28),"")</f>
        <v>4</v>
      </c>
      <c r="W29">
        <f>IF(DONNEES_SOURCE!$CA28=TRUE,IFERROR(VALUE(LEFT(DONNEES_SOURCE!$T28,1)),DONNEES_SOURCE!$T28),"")</f>
        <v>2</v>
      </c>
      <c r="X29">
        <f>IF(DONNEES_SOURCE!$CA28=TRUE,IFERROR(VALUE(LEFT(DONNEES_SOURCE!$U28,1)),DONNEES_SOURCE!$U28),"")</f>
        <v>2</v>
      </c>
      <c r="Y29" t="str">
        <f>IF(DONNEES_SOURCE!$CA28=TRUE,DONNEES_SOURCE!$BZ28,"")</f>
        <v>Junior</v>
      </c>
    </row>
    <row r="30" spans="1:25" x14ac:dyDescent="0.25">
      <c r="K30" t="b">
        <f>DONNEES_SOURCE!$CA$29</f>
        <v>1</v>
      </c>
      <c r="L30">
        <f>DONNEES_SOURCE!$CB$29</f>
        <v>6</v>
      </c>
      <c r="M30">
        <f>IFERROR(VALUE(LEFT(DONNEES_SOURCE!$O$29,1)),"")</f>
        <v>2</v>
      </c>
      <c r="N30">
        <f>IFERROR(VALUE(LEFT(DONNEES_SOURCE!$P$29,1)),"")</f>
        <v>5</v>
      </c>
      <c r="O30">
        <f>IFERROR(VALUE(LEFT(DONNEES_SOURCE!$Q$29,1)),"")</f>
        <v>5</v>
      </c>
      <c r="P30">
        <f>IFERROR(VALUE(LEFT(DONNEES_SOURCE!$Y$29,1)),"")</f>
        <v>2</v>
      </c>
      <c r="Q30">
        <f>IFERROR(VALUE(LEFT(DONNEES_SOURCE!$Z$29,1)),"")</f>
        <v>4</v>
      </c>
      <c r="R30">
        <f>IFERROR(VALUE(LEFT(DONNEES_SOURCE!$AA$29,1)),"")</f>
        <v>5</v>
      </c>
      <c r="S30">
        <f>DONNEES_SOURCE!$BU$29</f>
        <v>3.3174999999999999</v>
      </c>
      <c r="T30">
        <f>28</f>
        <v>28</v>
      </c>
      <c r="U30">
        <f>IF(DONNEES_SOURCE!$CA29=TRUE,DONNEES_SOURCE!$AI29,"")</f>
        <v>5</v>
      </c>
      <c r="V30">
        <f>IF(DONNEES_SOURCE!$CA29=TRUE,IFERROR(VALUE(LEFT(DONNEES_SOURCE!$S29,1)),DONNEES_SOURCE!$S29),"")</f>
        <v>5</v>
      </c>
      <c r="W30">
        <f>IF(DONNEES_SOURCE!$CA29=TRUE,IFERROR(VALUE(LEFT(DONNEES_SOURCE!$T29,1)),DONNEES_SOURCE!$T29),"")</f>
        <v>2</v>
      </c>
      <c r="X30">
        <f>IF(DONNEES_SOURCE!$CA29=TRUE,IFERROR(VALUE(LEFT(DONNEES_SOURCE!$U29,1)),DONNEES_SOURCE!$U29),"")</f>
        <v>3</v>
      </c>
      <c r="Y30" t="str">
        <f>IF(DONNEES_SOURCE!$CA29=TRUE,DONNEES_SOURCE!$BZ29,"")</f>
        <v>Junior</v>
      </c>
    </row>
    <row r="31" spans="1:25" x14ac:dyDescent="0.25">
      <c r="A31" s="196" t="s">
        <v>695</v>
      </c>
      <c r="B31" s="196" t="s">
        <v>379</v>
      </c>
      <c r="C31" s="196" t="s">
        <v>696</v>
      </c>
      <c r="D31" s="196" t="s">
        <v>629</v>
      </c>
      <c r="E31" s="196" t="s">
        <v>697</v>
      </c>
      <c r="F31" s="196" t="s">
        <v>548</v>
      </c>
      <c r="G31" s="196" t="s">
        <v>698</v>
      </c>
      <c r="K31" t="b">
        <f>DONNEES_SOURCE!$CA$30</f>
        <v>1</v>
      </c>
      <c r="L31">
        <f>DONNEES_SOURCE!$CB$30</f>
        <v>7</v>
      </c>
      <c r="M31">
        <f>IFERROR(VALUE(LEFT(DONNEES_SOURCE!$O$30,1)),"")</f>
        <v>4</v>
      </c>
      <c r="N31">
        <f>IFERROR(VALUE(LEFT(DONNEES_SOURCE!$P$30,1)),"")</f>
        <v>5</v>
      </c>
      <c r="O31">
        <f>IFERROR(VALUE(LEFT(DONNEES_SOURCE!$Q$30,1)),"")</f>
        <v>5</v>
      </c>
      <c r="P31">
        <f>IFERROR(VALUE(LEFT(DONNEES_SOURCE!$Y$30,1)),"")</f>
        <v>4</v>
      </c>
      <c r="Q31">
        <f>IFERROR(VALUE(LEFT(DONNEES_SOURCE!$Z$30,1)),"")</f>
        <v>4</v>
      </c>
      <c r="R31">
        <f>IFERROR(VALUE(LEFT(DONNEES_SOURCE!$AA$30,1)),"")</f>
        <v>4</v>
      </c>
      <c r="S31">
        <f>DONNEES_SOURCE!$BU$30</f>
        <v>3.4762</v>
      </c>
      <c r="T31">
        <f>29</f>
        <v>29</v>
      </c>
      <c r="U31">
        <f>IF(DONNEES_SOURCE!$CA30=TRUE,DONNEES_SOURCE!$AI30,"")</f>
        <v>7</v>
      </c>
      <c r="V31">
        <f>IF(DONNEES_SOURCE!$CA30=TRUE,IFERROR(VALUE(LEFT(DONNEES_SOURCE!$S30,1)),DONNEES_SOURCE!$S30),"")</f>
        <v>4</v>
      </c>
      <c r="W31">
        <f>IF(DONNEES_SOURCE!$CA30=TRUE,IFERROR(VALUE(LEFT(DONNEES_SOURCE!$T30,1)),DONNEES_SOURCE!$T30),"")</f>
        <v>1</v>
      </c>
      <c r="X31">
        <f>IF(DONNEES_SOURCE!$CA30=TRUE,IFERROR(VALUE(LEFT(DONNEES_SOURCE!$U30,1)),DONNEES_SOURCE!$U30),"")</f>
        <v>1</v>
      </c>
      <c r="Y31" t="str">
        <f>IF(DONNEES_SOURCE!$CA30=TRUE,DONNEES_SOURCE!$BZ30,"")</f>
        <v>Junior</v>
      </c>
    </row>
    <row r="32" spans="1:25" x14ac:dyDescent="0.25">
      <c r="A32" s="197" t="s">
        <v>699</v>
      </c>
      <c r="B32" s="198">
        <f>D45</f>
        <v>67</v>
      </c>
      <c r="C32" s="252">
        <f t="shared" ref="B32:G38" si="0">E45</f>
        <v>0.16799573079388649</v>
      </c>
      <c r="D32" s="199">
        <f t="shared" si="0"/>
        <v>1.3739518670599664</v>
      </c>
      <c r="E32" s="198">
        <f t="shared" si="0"/>
        <v>65</v>
      </c>
      <c r="F32" s="199">
        <f t="shared" si="0"/>
        <v>0.17417627109125927</v>
      </c>
      <c r="G32" s="197" t="str">
        <f t="shared" si="0"/>
        <v>NS</v>
      </c>
      <c r="K32" t="b">
        <f>DONNEES_SOURCE!$CA$31</f>
        <v>1</v>
      </c>
      <c r="L32">
        <f>DONNEES_SOURCE!$CB$31</f>
        <v>6</v>
      </c>
      <c r="M32">
        <f>IFERROR(VALUE(LEFT(DONNEES_SOURCE!$O$31,1)),"")</f>
        <v>5</v>
      </c>
      <c r="N32">
        <f>IFERROR(VALUE(LEFT(DONNEES_SOURCE!$P$31,1)),"")</f>
        <v>5</v>
      </c>
      <c r="O32">
        <f>IFERROR(VALUE(LEFT(DONNEES_SOURCE!$Q$31,1)),"")</f>
        <v>5</v>
      </c>
      <c r="P32">
        <f>IFERROR(VALUE(LEFT(DONNEES_SOURCE!$Y$31,1)),"")</f>
        <v>4</v>
      </c>
      <c r="Q32">
        <f>IFERROR(VALUE(LEFT(DONNEES_SOURCE!$Z$31,1)),"")</f>
        <v>4</v>
      </c>
      <c r="R32">
        <f>IFERROR(VALUE(LEFT(DONNEES_SOURCE!$AA$31,1)),"")</f>
        <v>5</v>
      </c>
      <c r="S32">
        <f>DONNEES_SOURCE!$BU$31</f>
        <v>3.6349</v>
      </c>
      <c r="T32">
        <f>30</f>
        <v>30</v>
      </c>
      <c r="U32">
        <f>IF(DONNEES_SOURCE!$CA31=TRUE,DONNEES_SOURCE!$AI31,"")</f>
        <v>6</v>
      </c>
      <c r="V32">
        <f>IF(DONNEES_SOURCE!$CA31=TRUE,IFERROR(VALUE(LEFT(DONNEES_SOURCE!$S31,1)),DONNEES_SOURCE!$S31),"")</f>
        <v>3</v>
      </c>
      <c r="W32">
        <f>IF(DONNEES_SOURCE!$CA31=TRUE,IFERROR(VALUE(LEFT(DONNEES_SOURCE!$T31,1)),DONNEES_SOURCE!$T31),"")</f>
        <v>3</v>
      </c>
      <c r="X32">
        <f>IF(DONNEES_SOURCE!$CA31=TRUE,IFERROR(VALUE(LEFT(DONNEES_SOURCE!$U31,1)),DONNEES_SOURCE!$U31),"")</f>
        <v>2</v>
      </c>
      <c r="Y32" t="str">
        <f>IF(DONNEES_SOURCE!$CA31=TRUE,DONNEES_SOURCE!$BZ31,"")</f>
        <v>Junior</v>
      </c>
    </row>
    <row r="33" spans="1:25" x14ac:dyDescent="0.25">
      <c r="A33" s="197" t="s">
        <v>700</v>
      </c>
      <c r="B33" s="198">
        <f t="shared" si="0"/>
        <v>67</v>
      </c>
      <c r="C33" s="252">
        <f t="shared" si="0"/>
        <v>2.9164521293034693E-2</v>
      </c>
      <c r="D33" s="199">
        <f t="shared" si="0"/>
        <v>0.23523194958970634</v>
      </c>
      <c r="E33" s="198">
        <f t="shared" si="0"/>
        <v>65</v>
      </c>
      <c r="F33" s="199">
        <f t="shared" si="0"/>
        <v>0.8147682316895084</v>
      </c>
      <c r="G33" s="197" t="str">
        <f t="shared" si="0"/>
        <v>NS</v>
      </c>
      <c r="K33" t="b">
        <f>DONNEES_SOURCE!$CA$32</f>
        <v>1</v>
      </c>
      <c r="L33">
        <f>DONNEES_SOURCE!$CB$32</f>
        <v>4</v>
      </c>
      <c r="M33">
        <f>IFERROR(VALUE(LEFT(DONNEES_SOURCE!$O$32,1)),"")</f>
        <v>3</v>
      </c>
      <c r="N33">
        <f>IFERROR(VALUE(LEFT(DONNEES_SOURCE!$P$32,1)),"")</f>
        <v>5</v>
      </c>
      <c r="O33">
        <f>IFERROR(VALUE(LEFT(DONNEES_SOURCE!$Q$32,1)),"")</f>
        <v>5</v>
      </c>
      <c r="P33">
        <f>IFERROR(VALUE(LEFT(DONNEES_SOURCE!$Y$32,1)),"")</f>
        <v>3</v>
      </c>
      <c r="Q33">
        <f>IFERROR(VALUE(LEFT(DONNEES_SOURCE!$Z$32,1)),"")</f>
        <v>5</v>
      </c>
      <c r="R33">
        <f>IFERROR(VALUE(LEFT(DONNEES_SOURCE!$AA$32,1)),"")</f>
        <v>4</v>
      </c>
      <c r="S33">
        <f>DONNEES_SOURCE!$BU$32</f>
        <v>3.4285999999999999</v>
      </c>
      <c r="T33">
        <f>31</f>
        <v>31</v>
      </c>
      <c r="U33">
        <f>IF(DONNEES_SOURCE!$CA32=TRUE,DONNEES_SOURCE!$AI32,"")</f>
        <v>7</v>
      </c>
      <c r="V33">
        <f>IF(DONNEES_SOURCE!$CA32=TRUE,IFERROR(VALUE(LEFT(DONNEES_SOURCE!$S32,1)),DONNEES_SOURCE!$S32),"")</f>
        <v>3</v>
      </c>
      <c r="W33">
        <f>IF(DONNEES_SOURCE!$CA32=TRUE,IFERROR(VALUE(LEFT(DONNEES_SOURCE!$T32,1)),DONNEES_SOURCE!$T32),"")</f>
        <v>3</v>
      </c>
      <c r="X33">
        <f>IF(DONNEES_SOURCE!$CA32=TRUE,IFERROR(VALUE(LEFT(DONNEES_SOURCE!$U32,1)),DONNEES_SOURCE!$U32),"")</f>
        <v>3</v>
      </c>
      <c r="Y33" t="str">
        <f>IF(DONNEES_SOURCE!$CA32=TRUE,DONNEES_SOURCE!$BZ32,"")</f>
        <v>Junior</v>
      </c>
    </row>
    <row r="34" spans="1:25" x14ac:dyDescent="0.25">
      <c r="A34" s="197" t="s">
        <v>701</v>
      </c>
      <c r="B34" s="198">
        <f>D47</f>
        <v>67</v>
      </c>
      <c r="C34" s="252">
        <f t="shared" si="0"/>
        <v>5.088250358683033E-2</v>
      </c>
      <c r="D34" s="199">
        <f t="shared" si="0"/>
        <v>0.41075993814230682</v>
      </c>
      <c r="E34" s="198">
        <f t="shared" si="0"/>
        <v>65</v>
      </c>
      <c r="F34" s="199">
        <f t="shared" si="0"/>
        <v>0.68259956793442567</v>
      </c>
      <c r="G34" s="197" t="str">
        <f t="shared" si="0"/>
        <v>NS</v>
      </c>
      <c r="K34" t="b">
        <f>DONNEES_SOURCE!$CA$33</f>
        <v>1</v>
      </c>
      <c r="L34">
        <f>DONNEES_SOURCE!$CB$33</f>
        <v>7</v>
      </c>
      <c r="M34">
        <f>IFERROR(VALUE(LEFT(DONNEES_SOURCE!$O$33,1)),"")</f>
        <v>5</v>
      </c>
      <c r="N34">
        <f>IFERROR(VALUE(LEFT(DONNEES_SOURCE!$P$33,1)),"")</f>
        <v>4</v>
      </c>
      <c r="O34">
        <f>IFERROR(VALUE(LEFT(DONNEES_SOURCE!$Q$33,1)),"")</f>
        <v>5</v>
      </c>
      <c r="P34">
        <f>IFERROR(VALUE(LEFT(DONNEES_SOURCE!$Y$33,1)),"")</f>
        <v>5</v>
      </c>
      <c r="Q34">
        <f>IFERROR(VALUE(LEFT(DONNEES_SOURCE!$Z$33,1)),"")</f>
        <v>5</v>
      </c>
      <c r="R34">
        <f>IFERROR(VALUE(LEFT(DONNEES_SOURCE!$AA$33,1)),"")</f>
        <v>5</v>
      </c>
      <c r="S34">
        <f>DONNEES_SOURCE!$BU$33</f>
        <v>4.0635000000000003</v>
      </c>
      <c r="T34">
        <f>32</f>
        <v>32</v>
      </c>
      <c r="U34">
        <f>IF(DONNEES_SOURCE!$CA33=TRUE,DONNEES_SOURCE!$AI33,"")</f>
        <v>6</v>
      </c>
      <c r="V34">
        <f>IF(DONNEES_SOURCE!$CA33=TRUE,IFERROR(VALUE(LEFT(DONNEES_SOURCE!$S33,1)),DONNEES_SOURCE!$S33),"")</f>
        <v>5</v>
      </c>
      <c r="W34">
        <f>IF(DONNEES_SOURCE!$CA33=TRUE,IFERROR(VALUE(LEFT(DONNEES_SOURCE!$T33,1)),DONNEES_SOURCE!$T33),"")</f>
        <v>3</v>
      </c>
      <c r="X34">
        <f>IF(DONNEES_SOURCE!$CA33=TRUE,IFERROR(VALUE(LEFT(DONNEES_SOURCE!$U33,1)),DONNEES_SOURCE!$U33),"")</f>
        <v>2</v>
      </c>
      <c r="Y34" t="str">
        <f>IF(DONNEES_SOURCE!$CA33=TRUE,DONNEES_SOURCE!$BZ33,"")</f>
        <v>Junior</v>
      </c>
    </row>
    <row r="35" spans="1:25" x14ac:dyDescent="0.25">
      <c r="A35" s="197" t="s">
        <v>702</v>
      </c>
      <c r="B35" s="198">
        <f t="shared" si="0"/>
        <v>67</v>
      </c>
      <c r="C35" s="252">
        <f t="shared" si="0"/>
        <v>0.22958556725377732</v>
      </c>
      <c r="D35" s="199">
        <f t="shared" si="0"/>
        <v>1.9017773810776508</v>
      </c>
      <c r="E35" s="198">
        <f t="shared" si="0"/>
        <v>65</v>
      </c>
      <c r="F35" s="199">
        <f t="shared" si="0"/>
        <v>6.1633630644010381E-2</v>
      </c>
      <c r="G35" s="197" t="str">
        <f t="shared" si="0"/>
        <v>.</v>
      </c>
      <c r="K35" t="b">
        <f>DONNEES_SOURCE!$CA$34</f>
        <v>1</v>
      </c>
      <c r="L35">
        <f>DONNEES_SOURCE!$CB$34</f>
        <v>5</v>
      </c>
      <c r="M35">
        <f>IFERROR(VALUE(LEFT(DONNEES_SOURCE!$O$34,1)),"")</f>
        <v>2</v>
      </c>
      <c r="N35">
        <f>IFERROR(VALUE(LEFT(DONNEES_SOURCE!$P$34,1)),"")</f>
        <v>2</v>
      </c>
      <c r="O35">
        <f>IFERROR(VALUE(LEFT(DONNEES_SOURCE!$Q$34,1)),"")</f>
        <v>5</v>
      </c>
      <c r="P35">
        <f>IFERROR(VALUE(LEFT(DONNEES_SOURCE!$Y$34,1)),"")</f>
        <v>3</v>
      </c>
      <c r="Q35">
        <f>IFERROR(VALUE(LEFT(DONNEES_SOURCE!$Z$34,1)),"")</f>
        <v>4</v>
      </c>
      <c r="R35">
        <f>IFERROR(VALUE(LEFT(DONNEES_SOURCE!$AA$34,1)),"")</f>
        <v>4</v>
      </c>
      <c r="S35">
        <f>DONNEES_SOURCE!$BU$34</f>
        <v>3.1587000000000001</v>
      </c>
      <c r="T35">
        <f>33</f>
        <v>33</v>
      </c>
      <c r="U35">
        <f>IF(DONNEES_SOURCE!$CA34=TRUE,DONNEES_SOURCE!$AI34,"")</f>
        <v>6</v>
      </c>
      <c r="V35">
        <f>IF(DONNEES_SOURCE!$CA34=TRUE,IFERROR(VALUE(LEFT(DONNEES_SOURCE!$S34,1)),DONNEES_SOURCE!$S34),"")</f>
        <v>3</v>
      </c>
      <c r="W35">
        <f>IF(DONNEES_SOURCE!$CA34=TRUE,IFERROR(VALUE(LEFT(DONNEES_SOURCE!$T34,1)),DONNEES_SOURCE!$T34),"")</f>
        <v>1</v>
      </c>
      <c r="X35">
        <f>IF(DONNEES_SOURCE!$CA34=TRUE,IFERROR(VALUE(LEFT(DONNEES_SOURCE!$U34,1)),DONNEES_SOURCE!$U34),"")</f>
        <v>3</v>
      </c>
      <c r="Y35" t="str">
        <f>IF(DONNEES_SOURCE!$CA34=TRUE,DONNEES_SOURCE!$BZ34,"")</f>
        <v>Junior</v>
      </c>
    </row>
    <row r="36" spans="1:25" x14ac:dyDescent="0.25">
      <c r="A36" s="197" t="s">
        <v>703</v>
      </c>
      <c r="B36" s="198">
        <f t="shared" si="0"/>
        <v>67</v>
      </c>
      <c r="C36" s="252">
        <f t="shared" si="0"/>
        <v>8.8273721895141322E-2</v>
      </c>
      <c r="D36" s="199">
        <f t="shared" si="0"/>
        <v>0.71447462477825496</v>
      </c>
      <c r="E36" s="198">
        <f t="shared" si="0"/>
        <v>65</v>
      </c>
      <c r="F36" s="199">
        <f t="shared" si="0"/>
        <v>0.47749186264837407</v>
      </c>
      <c r="G36" s="197" t="str">
        <f t="shared" si="0"/>
        <v>NS</v>
      </c>
      <c r="K36" t="b">
        <f>DONNEES_SOURCE!$CA$35</f>
        <v>1</v>
      </c>
      <c r="L36">
        <f>DONNEES_SOURCE!$CB$35</f>
        <v>5</v>
      </c>
      <c r="M36">
        <f>IFERROR(VALUE(LEFT(DONNEES_SOURCE!$O$35,1)),"")</f>
        <v>2</v>
      </c>
      <c r="N36">
        <f>IFERROR(VALUE(LEFT(DONNEES_SOURCE!$P$35,1)),"")</f>
        <v>4</v>
      </c>
      <c r="O36">
        <f>IFERROR(VALUE(LEFT(DONNEES_SOURCE!$Q$35,1)),"")</f>
        <v>4</v>
      </c>
      <c r="P36">
        <f>IFERROR(VALUE(LEFT(DONNEES_SOURCE!$Y$35,1)),"")</f>
        <v>1</v>
      </c>
      <c r="Q36">
        <f>IFERROR(VALUE(LEFT(DONNEES_SOURCE!$Z$35,1)),"")</f>
        <v>4</v>
      </c>
      <c r="R36">
        <f>IFERROR(VALUE(LEFT(DONNEES_SOURCE!$AA$35,1)),"")</f>
        <v>4</v>
      </c>
      <c r="S36">
        <f>DONNEES_SOURCE!$BU$35</f>
        <v>2.8730000000000002</v>
      </c>
      <c r="T36">
        <f>34</f>
        <v>34</v>
      </c>
      <c r="U36">
        <f>IF(DONNEES_SOURCE!$CA35=TRUE,DONNEES_SOURCE!$AI35,"")</f>
        <v>6</v>
      </c>
      <c r="V36">
        <f>IF(DONNEES_SOURCE!$CA35=TRUE,IFERROR(VALUE(LEFT(DONNEES_SOURCE!$S35,1)),DONNEES_SOURCE!$S35),"")</f>
        <v>4</v>
      </c>
      <c r="W36">
        <f>IF(DONNEES_SOURCE!$CA35=TRUE,IFERROR(VALUE(LEFT(DONNEES_SOURCE!$T35,1)),DONNEES_SOURCE!$T35),"")</f>
        <v>3</v>
      </c>
      <c r="X36">
        <f>IF(DONNEES_SOURCE!$CA35=TRUE,IFERROR(VALUE(LEFT(DONNEES_SOURCE!$U35,1)),DONNEES_SOURCE!$U35),"")</f>
        <v>3</v>
      </c>
      <c r="Y36" t="str">
        <f>IF(DONNEES_SOURCE!$CA35=TRUE,DONNEES_SOURCE!$BZ35,"")</f>
        <v>Senior-Manager</v>
      </c>
    </row>
    <row r="37" spans="1:25" x14ac:dyDescent="0.25">
      <c r="A37" s="197" t="s">
        <v>704</v>
      </c>
      <c r="B37" s="198">
        <f t="shared" si="0"/>
        <v>67</v>
      </c>
      <c r="C37" s="252">
        <f t="shared" si="0"/>
        <v>9.3850573388190972E-2</v>
      </c>
      <c r="D37" s="199">
        <f t="shared" si="0"/>
        <v>0.76000193718140274</v>
      </c>
      <c r="E37" s="198">
        <f t="shared" si="0"/>
        <v>65</v>
      </c>
      <c r="F37" s="199">
        <f t="shared" si="0"/>
        <v>0.45000128356621472</v>
      </c>
      <c r="G37" s="197" t="str">
        <f t="shared" si="0"/>
        <v>NS</v>
      </c>
      <c r="K37" t="b">
        <f>DONNEES_SOURCE!$CA$36</f>
        <v>1</v>
      </c>
      <c r="L37">
        <f>DONNEES_SOURCE!$CB$36</f>
        <v>5</v>
      </c>
      <c r="M37">
        <f>IFERROR(VALUE(LEFT(DONNEES_SOURCE!$O$36,1)),"")</f>
        <v>5</v>
      </c>
      <c r="N37">
        <f>IFERROR(VALUE(LEFT(DONNEES_SOURCE!$P$36,1)),"")</f>
        <v>5</v>
      </c>
      <c r="O37">
        <f>IFERROR(VALUE(LEFT(DONNEES_SOURCE!$Q$36,1)),"")</f>
        <v>5</v>
      </c>
      <c r="P37">
        <f>IFERROR(VALUE(LEFT(DONNEES_SOURCE!$Y$36,1)),"")</f>
        <v>5</v>
      </c>
      <c r="Q37">
        <f>IFERROR(VALUE(LEFT(DONNEES_SOURCE!$Z$36,1)),"")</f>
        <v>5</v>
      </c>
      <c r="R37">
        <f>IFERROR(VALUE(LEFT(DONNEES_SOURCE!$AA$36,1)),"")</f>
        <v>5</v>
      </c>
      <c r="S37">
        <f>DONNEES_SOURCE!$BU$36</f>
        <v>3.4921000000000002</v>
      </c>
      <c r="T37">
        <f>35</f>
        <v>35</v>
      </c>
      <c r="U37">
        <f>IF(DONNEES_SOURCE!$CA36=TRUE,DONNEES_SOURCE!$AI36,"")</f>
        <v>6</v>
      </c>
      <c r="V37">
        <f>IF(DONNEES_SOURCE!$CA36=TRUE,IFERROR(VALUE(LEFT(DONNEES_SOURCE!$S36,1)),DONNEES_SOURCE!$S36),"")</f>
        <v>3</v>
      </c>
      <c r="W37">
        <f>IF(DONNEES_SOURCE!$CA36=TRUE,IFERROR(VALUE(LEFT(DONNEES_SOURCE!$T36,1)),DONNEES_SOURCE!$T36),"")</f>
        <v>3</v>
      </c>
      <c r="X37">
        <f>IF(DONNEES_SOURCE!$CA36=TRUE,IFERROR(VALUE(LEFT(DONNEES_SOURCE!$U36,1)),DONNEES_SOURCE!$U36),"")</f>
        <v>1</v>
      </c>
      <c r="Y37" t="str">
        <f>IF(DONNEES_SOURCE!$CA36=TRUE,DONNEES_SOURCE!$BZ36,"")</f>
        <v>Associe</v>
      </c>
    </row>
    <row r="38" spans="1:25" x14ac:dyDescent="0.25">
      <c r="A38" s="197" t="s">
        <v>705</v>
      </c>
      <c r="B38" s="198">
        <f>D51</f>
        <v>67</v>
      </c>
      <c r="C38" s="252">
        <f t="shared" si="0"/>
        <v>0.32557696659379498</v>
      </c>
      <c r="D38" s="199">
        <f t="shared" si="0"/>
        <v>2.7761420166645081</v>
      </c>
      <c r="E38" s="198">
        <f t="shared" si="0"/>
        <v>65</v>
      </c>
      <c r="F38" s="199">
        <f t="shared" si="0"/>
        <v>7.1776758539115531E-3</v>
      </c>
      <c r="G38" s="197" t="str">
        <f t="shared" si="0"/>
        <v>**</v>
      </c>
      <c r="K38" t="b">
        <f>DONNEES_SOURCE!$CA$37</f>
        <v>1</v>
      </c>
      <c r="L38">
        <f>DONNEES_SOURCE!$CB$37</f>
        <v>4</v>
      </c>
      <c r="M38">
        <f>IFERROR(VALUE(LEFT(DONNEES_SOURCE!$O$37,1)),"")</f>
        <v>4</v>
      </c>
      <c r="N38">
        <f>IFERROR(VALUE(LEFT(DONNEES_SOURCE!$P$37,1)),"")</f>
        <v>5</v>
      </c>
      <c r="O38">
        <f>IFERROR(VALUE(LEFT(DONNEES_SOURCE!$Q$37,1)),"")</f>
        <v>5</v>
      </c>
      <c r="P38">
        <f>IFERROR(VALUE(LEFT(DONNEES_SOURCE!$Y$37,1)),"")</f>
        <v>4</v>
      </c>
      <c r="Q38">
        <f>IFERROR(VALUE(LEFT(DONNEES_SOURCE!$Z$37,1)),"")</f>
        <v>5</v>
      </c>
      <c r="R38">
        <f>IFERROR(VALUE(LEFT(DONNEES_SOURCE!$AA$37,1)),"")</f>
        <v>5</v>
      </c>
      <c r="S38">
        <f>DONNEES_SOURCE!$BU$37</f>
        <v>3.9205999999999999</v>
      </c>
      <c r="T38">
        <f>36</f>
        <v>36</v>
      </c>
      <c r="U38">
        <f>IF(DONNEES_SOURCE!$CA37=TRUE,DONNEES_SOURCE!$AI37,"")</f>
        <v>6</v>
      </c>
      <c r="V38">
        <f>IF(DONNEES_SOURCE!$CA37=TRUE,IFERROR(VALUE(LEFT(DONNEES_SOURCE!$S37,1)),DONNEES_SOURCE!$S37),"")</f>
        <v>3</v>
      </c>
      <c r="W38">
        <f>IF(DONNEES_SOURCE!$CA37=TRUE,IFERROR(VALUE(LEFT(DONNEES_SOURCE!$T37,1)),DONNEES_SOURCE!$T37),"")</f>
        <v>4</v>
      </c>
      <c r="X38">
        <f>IF(DONNEES_SOURCE!$CA37=TRUE,IFERROR(VALUE(LEFT(DONNEES_SOURCE!$U37,1)),DONNEES_SOURCE!$U37),"")</f>
        <v>3</v>
      </c>
      <c r="Y38" t="str">
        <f>IF(DONNEES_SOURCE!$CA37=TRUE,DONNEES_SOURCE!$BZ37,"")</f>
        <v>Senior-Manager</v>
      </c>
    </row>
    <row r="39" spans="1:25" x14ac:dyDescent="0.25">
      <c r="K39" t="b">
        <f>DONNEES_SOURCE!$CA$38</f>
        <v>1</v>
      </c>
      <c r="L39">
        <f>DONNEES_SOURCE!$CB$38</f>
        <v>5</v>
      </c>
      <c r="M39">
        <f>IFERROR(VALUE(LEFT(DONNEES_SOURCE!$O$38,1)),"")</f>
        <v>4</v>
      </c>
      <c r="N39">
        <f>IFERROR(VALUE(LEFT(DONNEES_SOURCE!$P$38,1)),"")</f>
        <v>5</v>
      </c>
      <c r="O39">
        <f>IFERROR(VALUE(LEFT(DONNEES_SOURCE!$Q$38,1)),"")</f>
        <v>5</v>
      </c>
      <c r="P39">
        <f>IFERROR(VALUE(LEFT(DONNEES_SOURCE!$Y$38,1)),"")</f>
        <v>5</v>
      </c>
      <c r="Q39">
        <f>IFERROR(VALUE(LEFT(DONNEES_SOURCE!$Z$38,1)),"")</f>
        <v>5</v>
      </c>
      <c r="R39">
        <f>IFERROR(VALUE(LEFT(DONNEES_SOURCE!$AA$38,1)),"")</f>
        <v>5</v>
      </c>
      <c r="S39">
        <f>DONNEES_SOURCE!$BU$38</f>
        <v>3.9365000000000001</v>
      </c>
      <c r="T39">
        <f>37</f>
        <v>37</v>
      </c>
      <c r="U39">
        <f>IF(DONNEES_SOURCE!$CA38=TRUE,DONNEES_SOURCE!$AI38,"")</f>
        <v>5</v>
      </c>
      <c r="V39">
        <f>IF(DONNEES_SOURCE!$CA38=TRUE,IFERROR(VALUE(LEFT(DONNEES_SOURCE!$S38,1)),DONNEES_SOURCE!$S38),"")</f>
        <v>3</v>
      </c>
      <c r="W39">
        <f>IF(DONNEES_SOURCE!$CA38=TRUE,IFERROR(VALUE(LEFT(DONNEES_SOURCE!$T38,1)),DONNEES_SOURCE!$T38),"")</f>
        <v>4</v>
      </c>
      <c r="X39">
        <f>IF(DONNEES_SOURCE!$CA38=TRUE,IFERROR(VALUE(LEFT(DONNEES_SOURCE!$U38,1)),DONNEES_SOURCE!$U38),"")</f>
        <v>4</v>
      </c>
      <c r="Y39" t="str">
        <f>IF(DONNEES_SOURCE!$CA38=TRUE,DONNEES_SOURCE!$BZ38,"")</f>
        <v>Associe</v>
      </c>
    </row>
    <row r="40" spans="1:25" x14ac:dyDescent="0.25">
      <c r="A40" s="291" t="s">
        <v>706</v>
      </c>
      <c r="B40" s="254"/>
      <c r="C40" s="254"/>
      <c r="D40" s="254"/>
      <c r="E40" s="254"/>
      <c r="F40" s="254"/>
      <c r="G40" s="254"/>
      <c r="H40" s="254"/>
      <c r="I40" s="254"/>
      <c r="J40" s="254"/>
      <c r="K40" t="b">
        <f>DONNEES_SOURCE!$CA$39</f>
        <v>1</v>
      </c>
      <c r="L40">
        <f>DONNEES_SOURCE!$CB$39</f>
        <v>6</v>
      </c>
      <c r="M40">
        <f>IFERROR(VALUE(LEFT(DONNEES_SOURCE!$O$39,1)),"")</f>
        <v>3</v>
      </c>
      <c r="N40">
        <f>IFERROR(VALUE(LEFT(DONNEES_SOURCE!$P$39,1)),"")</f>
        <v>4</v>
      </c>
      <c r="O40">
        <f>IFERROR(VALUE(LEFT(DONNEES_SOURCE!$Q$39,1)),"")</f>
        <v>5</v>
      </c>
      <c r="P40">
        <f>IFERROR(VALUE(LEFT(DONNEES_SOURCE!$Y$39,1)),"")</f>
        <v>4</v>
      </c>
      <c r="Q40">
        <f>IFERROR(VALUE(LEFT(DONNEES_SOURCE!$Z$39,1)),"")</f>
        <v>4</v>
      </c>
      <c r="R40">
        <f>IFERROR(VALUE(LEFT(DONNEES_SOURCE!$AA$39,1)),"")</f>
        <v>5</v>
      </c>
      <c r="S40">
        <f>DONNEES_SOURCE!$BU$39</f>
        <v>4.0952000000000002</v>
      </c>
      <c r="T40">
        <f>38</f>
        <v>38</v>
      </c>
      <c r="U40">
        <f>IF(DONNEES_SOURCE!$CA39=TRUE,DONNEES_SOURCE!$AI39,"")</f>
        <v>7</v>
      </c>
      <c r="V40">
        <f>IF(DONNEES_SOURCE!$CA39=TRUE,IFERROR(VALUE(LEFT(DONNEES_SOURCE!$S39,1)),DONNEES_SOURCE!$S39),"")</f>
        <v>5</v>
      </c>
      <c r="W40">
        <f>IF(DONNEES_SOURCE!$CA39=TRUE,IFERROR(VALUE(LEFT(DONNEES_SOURCE!$T39,1)),DONNEES_SOURCE!$T39),"")</f>
        <v>3</v>
      </c>
      <c r="X40">
        <f>IF(DONNEES_SOURCE!$CA39=TRUE,IFERROR(VALUE(LEFT(DONNEES_SOURCE!$U39,1)),DONNEES_SOURCE!$U39),"")</f>
        <v>3</v>
      </c>
      <c r="Y40" t="str">
        <f>IF(DONNEES_SOURCE!$CA39=TRUE,DONNEES_SOURCE!$BZ39,"")</f>
        <v>Associe</v>
      </c>
    </row>
    <row r="41" spans="1:25" x14ac:dyDescent="0.25">
      <c r="A41" s="290" t="s">
        <v>707</v>
      </c>
      <c r="B41" s="254"/>
      <c r="C41" s="254"/>
      <c r="D41" s="254"/>
      <c r="E41" s="254"/>
      <c r="F41" s="254"/>
      <c r="G41" s="254"/>
      <c r="H41" s="254"/>
      <c r="I41" s="254"/>
      <c r="J41" s="254"/>
      <c r="K41" t="b">
        <f>DONNEES_SOURCE!$CA$40</f>
        <v>1</v>
      </c>
      <c r="L41">
        <f>DONNEES_SOURCE!$CB$40</f>
        <v>4</v>
      </c>
      <c r="M41">
        <f>IFERROR(VALUE(LEFT(DONNEES_SOURCE!$O$40,1)),"")</f>
        <v>4</v>
      </c>
      <c r="N41">
        <f>IFERROR(VALUE(LEFT(DONNEES_SOURCE!$P$40,1)),"")</f>
        <v>4</v>
      </c>
      <c r="O41">
        <f>IFERROR(VALUE(LEFT(DONNEES_SOURCE!$Q$40,1)),"")</f>
        <v>3</v>
      </c>
      <c r="P41">
        <f>IFERROR(VALUE(LEFT(DONNEES_SOURCE!$Y$40,1)),"")</f>
        <v>4</v>
      </c>
      <c r="Q41">
        <f>IFERROR(VALUE(LEFT(DONNEES_SOURCE!$Z$40,1)),"")</f>
        <v>4</v>
      </c>
      <c r="R41">
        <f>IFERROR(VALUE(LEFT(DONNEES_SOURCE!$AA$40,1)),"")</f>
        <v>3</v>
      </c>
      <c r="S41">
        <f>DONNEES_SOURCE!$BU$40</f>
        <v>3.3809999999999998</v>
      </c>
      <c r="T41">
        <f>39</f>
        <v>39</v>
      </c>
      <c r="U41">
        <f>IF(DONNEES_SOURCE!$CA40=TRUE,DONNEES_SOURCE!$AI40,"")</f>
        <v>4</v>
      </c>
      <c r="V41">
        <f>IF(DONNEES_SOURCE!$CA40=TRUE,IFERROR(VALUE(LEFT(DONNEES_SOURCE!$S40,1)),DONNEES_SOURCE!$S40),"")</f>
        <v>5</v>
      </c>
      <c r="W41">
        <f>IF(DONNEES_SOURCE!$CA40=TRUE,IFERROR(VALUE(LEFT(DONNEES_SOURCE!$T40,1)),DONNEES_SOURCE!$T40),"")</f>
        <v>2</v>
      </c>
      <c r="X41">
        <f>IF(DONNEES_SOURCE!$CA40=TRUE,IFERROR(VALUE(LEFT(DONNEES_SOURCE!$U40,1)),DONNEES_SOURCE!$U40),"")</f>
        <v>2</v>
      </c>
      <c r="Y41" t="str">
        <f>IF(DONNEES_SOURCE!$CA40=TRUE,DONNEES_SOURCE!$BZ40,"")</f>
        <v>Associe</v>
      </c>
    </row>
    <row r="42" spans="1:25" x14ac:dyDescent="0.25">
      <c r="A42" s="292" t="s">
        <v>708</v>
      </c>
      <c r="B42" s="254"/>
      <c r="C42" s="254"/>
      <c r="D42" s="254"/>
      <c r="E42" s="254"/>
      <c r="F42" s="254"/>
      <c r="G42" s="254"/>
      <c r="H42" s="254"/>
      <c r="I42" s="254"/>
      <c r="J42" s="254"/>
      <c r="K42" t="b">
        <f>DONNEES_SOURCE!$CA$41</f>
        <v>1</v>
      </c>
      <c r="L42">
        <f>DONNEES_SOURCE!$CB$41</f>
        <v>5</v>
      </c>
      <c r="M42">
        <f>IFERROR(VALUE(LEFT(DONNEES_SOURCE!$O$41,1)),"")</f>
        <v>2</v>
      </c>
      <c r="N42">
        <f>IFERROR(VALUE(LEFT(DONNEES_SOURCE!$P$41,1)),"")</f>
        <v>2</v>
      </c>
      <c r="O42">
        <f>IFERROR(VALUE(LEFT(DONNEES_SOURCE!$Q$41,1)),"")</f>
        <v>5</v>
      </c>
      <c r="P42">
        <f>IFERROR(VALUE(LEFT(DONNEES_SOURCE!$Y$41,1)),"")</f>
        <v>1</v>
      </c>
      <c r="Q42">
        <f>IFERROR(VALUE(LEFT(DONNEES_SOURCE!$Z$41,1)),"")</f>
        <v>1</v>
      </c>
      <c r="R42">
        <f>IFERROR(VALUE(LEFT(DONNEES_SOURCE!$AA$41,1)),"")</f>
        <v>5</v>
      </c>
      <c r="S42">
        <f>DONNEES_SOURCE!$BU$41</f>
        <v>2.9365000000000001</v>
      </c>
      <c r="T42">
        <f>40</f>
        <v>40</v>
      </c>
      <c r="U42">
        <f>IF(DONNEES_SOURCE!$CA41=TRUE,DONNEES_SOURCE!$AI41,"")</f>
        <v>5</v>
      </c>
      <c r="V42">
        <f>IF(DONNEES_SOURCE!$CA41=TRUE,IFERROR(VALUE(LEFT(DONNEES_SOURCE!$S41,1)),DONNEES_SOURCE!$S41),"")</f>
        <v>5</v>
      </c>
      <c r="W42">
        <f>IF(DONNEES_SOURCE!$CA41=TRUE,IFERROR(VALUE(LEFT(DONNEES_SOURCE!$T41,1)),DONNEES_SOURCE!$T41),"")</f>
        <v>3</v>
      </c>
      <c r="X42">
        <f>IF(DONNEES_SOURCE!$CA41=TRUE,IFERROR(VALUE(LEFT(DONNEES_SOURCE!$U41,1)),DONNEES_SOURCE!$U41),"")</f>
        <v>3</v>
      </c>
      <c r="Y42" t="str">
        <f>IF(DONNEES_SOURCE!$CA41=TRUE,DONNEES_SOURCE!$BZ41,"")</f>
        <v>Associe</v>
      </c>
    </row>
    <row r="43" spans="1:25" x14ac:dyDescent="0.25">
      <c r="K43" t="b">
        <f>DONNEES_SOURCE!$CA$42</f>
        <v>1</v>
      </c>
      <c r="L43">
        <f>DONNEES_SOURCE!$CB$42</f>
        <v>7</v>
      </c>
      <c r="M43">
        <f>IFERROR(VALUE(LEFT(DONNEES_SOURCE!$O$42,1)),"")</f>
        <v>5</v>
      </c>
      <c r="N43">
        <f>IFERROR(VALUE(LEFT(DONNEES_SOURCE!$P$42,1)),"")</f>
        <v>5</v>
      </c>
      <c r="O43">
        <f>IFERROR(VALUE(LEFT(DONNEES_SOURCE!$Q$42,1)),"")</f>
        <v>5</v>
      </c>
      <c r="P43">
        <f>IFERROR(VALUE(LEFT(DONNEES_SOURCE!$Y$42,1)),"")</f>
        <v>5</v>
      </c>
      <c r="Q43">
        <f>IFERROR(VALUE(LEFT(DONNEES_SOURCE!$Z$42,1)),"")</f>
        <v>5</v>
      </c>
      <c r="R43">
        <f>IFERROR(VALUE(LEFT(DONNEES_SOURCE!$AA$42,1)),"")</f>
        <v>5</v>
      </c>
      <c r="S43">
        <f>DONNEES_SOURCE!$BU$42</f>
        <v>4.6189999999999998</v>
      </c>
      <c r="T43">
        <f>41</f>
        <v>41</v>
      </c>
      <c r="U43">
        <f>IF(DONNEES_SOURCE!$CA42=TRUE,DONNEES_SOURCE!$AI42,"")</f>
        <v>7</v>
      </c>
      <c r="V43">
        <f>IF(DONNEES_SOURCE!$CA42=TRUE,IFERROR(VALUE(LEFT(DONNEES_SOURCE!$S42,1)),DONNEES_SOURCE!$S42),"")</f>
        <v>5</v>
      </c>
      <c r="W43">
        <f>IF(DONNEES_SOURCE!$CA42=TRUE,IFERROR(VALUE(LEFT(DONNEES_SOURCE!$T42,1)),DONNEES_SOURCE!$T42),"")</f>
        <v>3</v>
      </c>
      <c r="X43">
        <f>IF(DONNEES_SOURCE!$CA42=TRUE,IFERROR(VALUE(LEFT(DONNEES_SOURCE!$U42,1)),DONNEES_SOURCE!$U42),"")</f>
        <v>3</v>
      </c>
      <c r="Y43" t="str">
        <f>IF(DONNEES_SOURCE!$CA42=TRUE,DONNEES_SOURCE!$BZ42,"")</f>
        <v>Associe</v>
      </c>
    </row>
    <row r="44" spans="1:25" x14ac:dyDescent="0.25">
      <c r="A44" s="192" t="s">
        <v>709</v>
      </c>
      <c r="B44" s="192" t="s">
        <v>626</v>
      </c>
      <c r="C44" s="192" t="s">
        <v>627</v>
      </c>
      <c r="D44" s="192" t="s">
        <v>628</v>
      </c>
      <c r="E44" s="192" t="s">
        <v>696</v>
      </c>
      <c r="F44" s="192" t="s">
        <v>629</v>
      </c>
      <c r="G44" s="192" t="s">
        <v>697</v>
      </c>
      <c r="H44" s="192" t="s">
        <v>548</v>
      </c>
      <c r="I44" s="192" t="s">
        <v>698</v>
      </c>
      <c r="K44" t="b">
        <f>DONNEES_SOURCE!$CA$43</f>
        <v>1</v>
      </c>
      <c r="L44">
        <f>DONNEES_SOURCE!$CB$43</f>
        <v>5</v>
      </c>
      <c r="M44">
        <f>IFERROR(VALUE(LEFT(DONNEES_SOURCE!$O$43,1)),"")</f>
        <v>5</v>
      </c>
      <c r="N44">
        <f>IFERROR(VALUE(LEFT(DONNEES_SOURCE!$P$43,1)),"")</f>
        <v>5</v>
      </c>
      <c r="O44">
        <f>IFERROR(VALUE(LEFT(DONNEES_SOURCE!$Q$43,1)),"")</f>
        <v>5</v>
      </c>
      <c r="P44">
        <f>IFERROR(VALUE(LEFT(DONNEES_SOURCE!$Y$43,1)),"")</f>
        <v>5</v>
      </c>
      <c r="Q44">
        <f>IFERROR(VALUE(LEFT(DONNEES_SOURCE!$Z$43,1)),"")</f>
        <v>5</v>
      </c>
      <c r="R44">
        <f>IFERROR(VALUE(LEFT(DONNEES_SOURCE!$AA$43,1)),"")</f>
        <v>5</v>
      </c>
      <c r="S44">
        <f>DONNEES_SOURCE!$BU$43</f>
        <v>4.0476000000000001</v>
      </c>
      <c r="T44">
        <f>42</f>
        <v>42</v>
      </c>
      <c r="U44">
        <f>IF(DONNEES_SOURCE!$CA43=TRUE,DONNEES_SOURCE!$AI43,"")</f>
        <v>7</v>
      </c>
      <c r="V44">
        <f>IF(DONNEES_SOURCE!$CA43=TRUE,IFERROR(VALUE(LEFT(DONNEES_SOURCE!$S43,1)),DONNEES_SOURCE!$S43),"")</f>
        <v>3</v>
      </c>
      <c r="W44">
        <f>IF(DONNEES_SOURCE!$CA43=TRUE,IFERROR(VALUE(LEFT(DONNEES_SOURCE!$T43,1)),DONNEES_SOURCE!$T43),"")</f>
        <v>3</v>
      </c>
      <c r="X44">
        <f>IF(DONNEES_SOURCE!$CA43=TRUE,IFERROR(VALUE(LEFT(DONNEES_SOURCE!$U43,1)),DONNEES_SOURCE!$U43),"")</f>
        <v>3</v>
      </c>
      <c r="Y44" t="str">
        <f>IF(DONNEES_SOURCE!$CA43=TRUE,DONNEES_SOURCE!$BZ43,"")</f>
        <v>Senior-Manager</v>
      </c>
    </row>
    <row r="45" spans="1:25" x14ac:dyDescent="0.25">
      <c r="A45" s="193" t="s">
        <v>630</v>
      </c>
      <c r="B45" s="193" t="s">
        <v>295</v>
      </c>
      <c r="C45" s="193" t="s">
        <v>498</v>
      </c>
      <c r="D45" s="194" cm="1">
        <f t="array" ref="D45">SUMPRODUCT((DONNEES_SOURCE!$CA$2:$CA$101=TRUE)*(DONNEES_SOURCE!$BU$2:$BU$101&lt;&gt;"")*(DONNEES_SOURCE!$CB$2:$CB$101&lt;&gt;""))</f>
        <v>67</v>
      </c>
      <c r="E45" s="201" cm="1">
        <f t="array" ref="E45">CORREL(_xlfn._xlws.FILTER(_xlfn.RANK.AVG(DONNEES_SOURCE!$BU$2:$BU$101,DONNEES_SOURCE!$BU$2:$BU$101,1),(DONNEES_SOURCE!$CA$2:$CA$101=TRUE)*(DONNEES_SOURCE!$BU$2:$BU$101&lt;&gt;"")*(DONNEES_SOURCE!$CB$2:$CB$101&lt;&gt;"")),_xlfn._xlws.FILTER(_xlfn.RANK.AVG(DONNEES_SOURCE!$CB$2:$CB$101,DONNEES_SOURCE!$CB$2:$CB$101,1),(DONNEES_SOURCE!$CA$2:$CA$101=TRUE)*(DONNEES_SOURCE!$BU$2:$BU$101&lt;&gt;"")*(DONNEES_SOURCE!$CB$2:$CB$101&lt;&gt;"")))</f>
        <v>0.16799573079388649</v>
      </c>
      <c r="F45" s="201">
        <f t="shared" ref="F45:F51" si="1">E45*SQRT(D45-2)/SQRT(1-E45^2)</f>
        <v>1.3739518670599664</v>
      </c>
      <c r="G45" s="194">
        <f t="shared" ref="G45:G51" si="2">D45-2</f>
        <v>65</v>
      </c>
      <c r="H45" s="201">
        <f t="shared" ref="H45:H51" si="3">_xlfn.T.DIST.2T(ABS(F45),G45)</f>
        <v>0.17417627109125927</v>
      </c>
      <c r="I45" s="193" t="str">
        <f t="shared" ref="I45:I51" si="4">IF(H45&lt;0.001,"***",IF(H45&lt;0.01,"**",IF(H45&lt;0.05,"*",IF(H45&lt;0.1,".","NS"))))</f>
        <v>NS</v>
      </c>
      <c r="K45" t="b">
        <f>DONNEES_SOURCE!$CA$44</f>
        <v>1</v>
      </c>
      <c r="L45">
        <f>DONNEES_SOURCE!$CB$44</f>
        <v>5</v>
      </c>
      <c r="M45">
        <f>IFERROR(VALUE(LEFT(DONNEES_SOURCE!$O$44,1)),"")</f>
        <v>4</v>
      </c>
      <c r="N45">
        <f>IFERROR(VALUE(LEFT(DONNEES_SOURCE!$P$44,1)),"")</f>
        <v>4</v>
      </c>
      <c r="O45">
        <f>IFERROR(VALUE(LEFT(DONNEES_SOURCE!$Q$44,1)),"")</f>
        <v>4</v>
      </c>
      <c r="P45">
        <f>IFERROR(VALUE(LEFT(DONNEES_SOURCE!$Y$44,1)),"")</f>
        <v>4</v>
      </c>
      <c r="Q45">
        <f>IFERROR(VALUE(LEFT(DONNEES_SOURCE!$Z$44,1)),"")</f>
        <v>4</v>
      </c>
      <c r="R45">
        <f>IFERROR(VALUE(LEFT(DONNEES_SOURCE!$AA$44,1)),"")</f>
        <v>4</v>
      </c>
      <c r="S45">
        <f>DONNEES_SOURCE!$BU$44</f>
        <v>3.5396999999999998</v>
      </c>
      <c r="T45">
        <f>43</f>
        <v>43</v>
      </c>
      <c r="U45">
        <f>IF(DONNEES_SOURCE!$CA44=TRUE,DONNEES_SOURCE!$AI44,"")</f>
        <v>6</v>
      </c>
      <c r="V45">
        <f>IF(DONNEES_SOURCE!$CA44=TRUE,IFERROR(VALUE(LEFT(DONNEES_SOURCE!$S44,1)),DONNEES_SOURCE!$S44),"")</f>
        <v>3</v>
      </c>
      <c r="W45">
        <f>IF(DONNEES_SOURCE!$CA44=TRUE,IFERROR(VALUE(LEFT(DONNEES_SOURCE!$T44,1)),DONNEES_SOURCE!$T44),"")</f>
        <v>3</v>
      </c>
      <c r="X45">
        <f>IF(DONNEES_SOURCE!$CA44=TRUE,IFERROR(VALUE(LEFT(DONNEES_SOURCE!$U44,1)),DONNEES_SOURCE!$U44),"")</f>
        <v>3</v>
      </c>
      <c r="Y45" t="str">
        <f>IF(DONNEES_SOURCE!$CA44=TRUE,DONNEES_SOURCE!$BZ44,"")</f>
        <v>Associe</v>
      </c>
    </row>
    <row r="46" spans="1:25" x14ac:dyDescent="0.25">
      <c r="A46" s="193" t="s">
        <v>700</v>
      </c>
      <c r="B46" s="193" t="s">
        <v>713</v>
      </c>
      <c r="C46" s="193" t="s">
        <v>498</v>
      </c>
      <c r="D46" s="194" cm="1">
        <f t="array" ref="D46">SUMPRODUCT(($K$3:$K$102=TRUE)*($M$3:$M$102&lt;&gt;"")*(L$3:$L$102&lt;&gt;""))</f>
        <v>67</v>
      </c>
      <c r="E46" s="201" cm="1">
        <f t="array" ref="E46">CORREL(_xlfn._xlws.FILTER(_xlfn.RANK.AVG($M$3:$M$102,$M$3:$M$102,1),($K$3:$K$102=TRUE)*($M$3:$M$102&lt;&gt;"")*($L$3:$L$102&lt;&gt;"")),_xlfn._xlws.FILTER(_xlfn.RANK.AVG($L$3:$L$102,$L$3:$L$102,1),($K$3:$K$102=TRUE)*($M$3:$M$102&lt;&gt;"")*($L$3:$L$102&lt;&gt;"")))</f>
        <v>2.9164521293034693E-2</v>
      </c>
      <c r="F46" s="201">
        <f t="shared" si="1"/>
        <v>0.23523194958970634</v>
      </c>
      <c r="G46" s="194">
        <f t="shared" si="2"/>
        <v>65</v>
      </c>
      <c r="H46" s="201">
        <f t="shared" si="3"/>
        <v>0.8147682316895084</v>
      </c>
      <c r="I46" s="193" t="str">
        <f t="shared" si="4"/>
        <v>NS</v>
      </c>
      <c r="K46" t="b">
        <f>DONNEES_SOURCE!$CA$45</f>
        <v>1</v>
      </c>
      <c r="L46">
        <f>DONNEES_SOURCE!$CB$45</f>
        <v>6</v>
      </c>
      <c r="M46">
        <f>IFERROR(VALUE(LEFT(DONNEES_SOURCE!$O$45,1)),"")</f>
        <v>4</v>
      </c>
      <c r="N46">
        <f>IFERROR(VALUE(LEFT(DONNEES_SOURCE!$P$45,1)),"")</f>
        <v>4</v>
      </c>
      <c r="O46">
        <f>IFERROR(VALUE(LEFT(DONNEES_SOURCE!$Q$45,1)),"")</f>
        <v>4</v>
      </c>
      <c r="P46">
        <f>IFERROR(VALUE(LEFT(DONNEES_SOURCE!$Y$45,1)),"")</f>
        <v>3</v>
      </c>
      <c r="Q46">
        <f>IFERROR(VALUE(LEFT(DONNEES_SOURCE!$Z$45,1)),"")</f>
        <v>4</v>
      </c>
      <c r="R46">
        <f>IFERROR(VALUE(LEFT(DONNEES_SOURCE!$AA$45,1)),"")</f>
        <v>4</v>
      </c>
      <c r="S46">
        <f>DONNEES_SOURCE!$BU$45</f>
        <v>3.0634999999999999</v>
      </c>
      <c r="T46">
        <f>44</f>
        <v>44</v>
      </c>
      <c r="U46">
        <f>IF(DONNEES_SOURCE!$CA45=TRUE,DONNEES_SOURCE!$AI45,"")</f>
        <v>3</v>
      </c>
      <c r="V46">
        <f>IF(DONNEES_SOURCE!$CA45=TRUE,IFERROR(VALUE(LEFT(DONNEES_SOURCE!$S45,1)),DONNEES_SOURCE!$S45),"")</f>
        <v>2</v>
      </c>
      <c r="W46">
        <f>IF(DONNEES_SOURCE!$CA45=TRUE,IFERROR(VALUE(LEFT(DONNEES_SOURCE!$T45,1)),DONNEES_SOURCE!$T45),"")</f>
        <v>2</v>
      </c>
      <c r="X46">
        <f>IF(DONNEES_SOURCE!$CA45=TRUE,IFERROR(VALUE(LEFT(DONNEES_SOURCE!$U45,1)),DONNEES_SOURCE!$U45),"")</f>
        <v>2</v>
      </c>
      <c r="Y46" t="str">
        <f>IF(DONNEES_SOURCE!$CA45=TRUE,DONNEES_SOURCE!$BZ45,"")</f>
        <v>Associe</v>
      </c>
    </row>
    <row r="47" spans="1:25" x14ac:dyDescent="0.25">
      <c r="A47" s="193" t="s">
        <v>701</v>
      </c>
      <c r="B47" s="193" t="s">
        <v>719</v>
      </c>
      <c r="C47" s="193" t="s">
        <v>498</v>
      </c>
      <c r="D47" s="194" cm="1">
        <f t="array" ref="D47">SUMPRODUCT(($K$3:$K$102=TRUE)*($N$3:$N$102&lt;&gt;"")*(L$3:$L$102&lt;&gt;""))</f>
        <v>67</v>
      </c>
      <c r="E47" s="201" cm="1">
        <f t="array" ref="E47">CORREL(_xlfn._xlws.FILTER(_xlfn.RANK.AVG($N$3:$N$102,$N$3:$N$102,1),($K$3:$K$102=TRUE)*($N$3:$N$102&lt;&gt;"")*($L$3:$L$102&lt;&gt;"")),_xlfn._xlws.FILTER(_xlfn.RANK.AVG($L$3:$L$102,$L$3:$L$102,1),($K$3:$K$102=TRUE)*($N$3:$N$102&lt;&gt;"")*($L$3:$L$102&lt;&gt;"")))</f>
        <v>5.088250358683033E-2</v>
      </c>
      <c r="F47" s="201">
        <f t="shared" si="1"/>
        <v>0.41075993814230682</v>
      </c>
      <c r="G47" s="194">
        <f t="shared" si="2"/>
        <v>65</v>
      </c>
      <c r="H47" s="201">
        <f t="shared" si="3"/>
        <v>0.68259956793442567</v>
      </c>
      <c r="I47" s="193" t="str">
        <f t="shared" si="4"/>
        <v>NS</v>
      </c>
      <c r="K47" t="b">
        <f>DONNEES_SOURCE!$CA$46</f>
        <v>1</v>
      </c>
      <c r="L47">
        <f>DONNEES_SOURCE!$CB$46</f>
        <v>6</v>
      </c>
      <c r="M47">
        <f>IFERROR(VALUE(LEFT(DONNEES_SOURCE!$O$46,1)),"")</f>
        <v>4</v>
      </c>
      <c r="N47">
        <f>IFERROR(VALUE(LEFT(DONNEES_SOURCE!$P$46,1)),"")</f>
        <v>4</v>
      </c>
      <c r="O47">
        <f>IFERROR(VALUE(LEFT(DONNEES_SOURCE!$Q$46,1)),"")</f>
        <v>4</v>
      </c>
      <c r="P47">
        <f>IFERROR(VALUE(LEFT(DONNEES_SOURCE!$Y$46,1)),"")</f>
        <v>4</v>
      </c>
      <c r="Q47">
        <f>IFERROR(VALUE(LEFT(DONNEES_SOURCE!$Z$46,1)),"")</f>
        <v>4</v>
      </c>
      <c r="R47">
        <f>IFERROR(VALUE(LEFT(DONNEES_SOURCE!$AA$46,1)),"")</f>
        <v>5</v>
      </c>
      <c r="S47">
        <f>DONNEES_SOURCE!$BU$46</f>
        <v>2.8730000000000002</v>
      </c>
      <c r="T47">
        <f>45</f>
        <v>45</v>
      </c>
      <c r="U47">
        <f>IF(DONNEES_SOURCE!$CA46=TRUE,DONNEES_SOURCE!$AI46,"")</f>
        <v>6</v>
      </c>
      <c r="V47">
        <f>IF(DONNEES_SOURCE!$CA46=TRUE,IFERROR(VALUE(LEFT(DONNEES_SOURCE!$S46,1)),DONNEES_SOURCE!$S46),"")</f>
        <v>5</v>
      </c>
      <c r="W47">
        <f>IF(DONNEES_SOURCE!$CA46=TRUE,IFERROR(VALUE(LEFT(DONNEES_SOURCE!$T46,1)),DONNEES_SOURCE!$T46),"")</f>
        <v>4</v>
      </c>
      <c r="X47">
        <f>IF(DONNEES_SOURCE!$CA46=TRUE,IFERROR(VALUE(LEFT(DONNEES_SOURCE!$U46,1)),DONNEES_SOURCE!$U46),"")</f>
        <v>1</v>
      </c>
      <c r="Y47" t="str">
        <f>IF(DONNEES_SOURCE!$CA46=TRUE,DONNEES_SOURCE!$BZ46,"")</f>
        <v>Junior</v>
      </c>
    </row>
    <row r="48" spans="1:25" x14ac:dyDescent="0.25">
      <c r="A48" s="193" t="s">
        <v>702</v>
      </c>
      <c r="B48" s="193" t="s">
        <v>720</v>
      </c>
      <c r="C48" s="193" t="s">
        <v>498</v>
      </c>
      <c r="D48" s="194" cm="1">
        <f t="array" ref="D48">SUMPRODUCT(($K$3:$K$102=TRUE)*($O$3:$O$102&lt;&gt;"")*(L$3:$L$102&lt;&gt;""))</f>
        <v>67</v>
      </c>
      <c r="E48" s="201" cm="1">
        <f t="array" ref="E48">CORREL(_xlfn._xlws.FILTER(_xlfn.RANK.AVG($O$3:$O$102,$O$3:$O$102,1),($K$3:$K$102=TRUE)*($O$3:$O$102&lt;&gt;"")*($L$3:$L$102&lt;&gt;"")),_xlfn._xlws.FILTER(_xlfn.RANK.AVG($L$3:$L$102,$L$3:$L$102,1),($K$3:$K$102=TRUE)*($O$3:$O$102&lt;&gt;"")*($L$3:$L$102&lt;&gt;"")))</f>
        <v>0.22958556725377732</v>
      </c>
      <c r="F48" s="201">
        <f t="shared" si="1"/>
        <v>1.9017773810776508</v>
      </c>
      <c r="G48" s="194">
        <f t="shared" si="2"/>
        <v>65</v>
      </c>
      <c r="H48" s="201">
        <f t="shared" si="3"/>
        <v>6.1633630644010381E-2</v>
      </c>
      <c r="I48" s="193" t="str">
        <f t="shared" si="4"/>
        <v>.</v>
      </c>
      <c r="K48" t="b">
        <f>DONNEES_SOURCE!$CA$47</f>
        <v>1</v>
      </c>
      <c r="L48">
        <f>DONNEES_SOURCE!$CB$47</f>
        <v>4</v>
      </c>
      <c r="M48">
        <f>IFERROR(VALUE(LEFT(DONNEES_SOURCE!$O$47,1)),"")</f>
        <v>4</v>
      </c>
      <c r="N48">
        <f>IFERROR(VALUE(LEFT(DONNEES_SOURCE!$P$47,1)),"")</f>
        <v>5</v>
      </c>
      <c r="O48">
        <f>IFERROR(VALUE(LEFT(DONNEES_SOURCE!$Q$47,1)),"")</f>
        <v>5</v>
      </c>
      <c r="P48">
        <f>IFERROR(VALUE(LEFT(DONNEES_SOURCE!$Y$47,1)),"")</f>
        <v>5</v>
      </c>
      <c r="Q48">
        <f>IFERROR(VALUE(LEFT(DONNEES_SOURCE!$Z$47,1)),"")</f>
        <v>4</v>
      </c>
      <c r="R48">
        <f>IFERROR(VALUE(LEFT(DONNEES_SOURCE!$AA$47,1)),"")</f>
        <v>5</v>
      </c>
      <c r="S48">
        <f>DONNEES_SOURCE!$BU$47</f>
        <v>4.3015999999999996</v>
      </c>
      <c r="T48">
        <f>46</f>
        <v>46</v>
      </c>
      <c r="U48">
        <f>IF(DONNEES_SOURCE!$CA47=TRUE,DONNEES_SOURCE!$AI47,"")</f>
        <v>6</v>
      </c>
      <c r="V48">
        <f>IF(DONNEES_SOURCE!$CA47=TRUE,IFERROR(VALUE(LEFT(DONNEES_SOURCE!$S47,1)),DONNEES_SOURCE!$S47),"")</f>
        <v>4</v>
      </c>
      <c r="W48">
        <f>IF(DONNEES_SOURCE!$CA47=TRUE,IFERROR(VALUE(LEFT(DONNEES_SOURCE!$T47,1)),DONNEES_SOURCE!$T47),"")</f>
        <v>4</v>
      </c>
      <c r="X48">
        <f>IF(DONNEES_SOURCE!$CA47=TRUE,IFERROR(VALUE(LEFT(DONNEES_SOURCE!$U47,1)),DONNEES_SOURCE!$U47),"")</f>
        <v>5</v>
      </c>
      <c r="Y48" t="str">
        <f>IF(DONNEES_SOURCE!$CA47=TRUE,DONNEES_SOURCE!$BZ47,"")</f>
        <v>Junior</v>
      </c>
    </row>
    <row r="49" spans="1:25" x14ac:dyDescent="0.25">
      <c r="A49" s="193" t="s">
        <v>703</v>
      </c>
      <c r="B49" s="193" t="s">
        <v>716</v>
      </c>
      <c r="C49" s="193" t="s">
        <v>498</v>
      </c>
      <c r="D49" s="194" cm="1">
        <f t="array" ref="D49">SUMPRODUCT(($K$3:$K$102=TRUE)*($P$3:$P$102&lt;&gt;"")*(L$3:$L$102&lt;&gt;""))</f>
        <v>67</v>
      </c>
      <c r="E49" s="201" cm="1">
        <f t="array" ref="E49">CORREL(_xlfn._xlws.FILTER(_xlfn.RANK.AVG($P$3:$P$102,$P$3:$P$102,1),($K$3:$K$102=TRUE)*($P$3:$P$102&lt;&gt;"")*($L$3:$L$102&lt;&gt;"")),_xlfn._xlws.FILTER(_xlfn.RANK.AVG($L$3:$L$102,$L$3:$L$102,1),($K$3:$K$102=TRUE)*($P$3:$P$102&lt;&gt;"")*($L$3:$L$102&lt;&gt;"")))</f>
        <v>8.8273721895141322E-2</v>
      </c>
      <c r="F49" s="201">
        <f t="shared" si="1"/>
        <v>0.71447462477825496</v>
      </c>
      <c r="G49" s="194">
        <f t="shared" si="2"/>
        <v>65</v>
      </c>
      <c r="H49" s="201">
        <f t="shared" si="3"/>
        <v>0.47749186264837407</v>
      </c>
      <c r="I49" s="193" t="str">
        <f t="shared" si="4"/>
        <v>NS</v>
      </c>
      <c r="K49" t="b">
        <f>DONNEES_SOURCE!$CA$48</f>
        <v>1</v>
      </c>
      <c r="L49">
        <f>DONNEES_SOURCE!$CB$48</f>
        <v>5</v>
      </c>
      <c r="M49">
        <f>IFERROR(VALUE(LEFT(DONNEES_SOURCE!$O$48,1)),"")</f>
        <v>4</v>
      </c>
      <c r="N49">
        <f>IFERROR(VALUE(LEFT(DONNEES_SOURCE!$P$48,1)),"")</f>
        <v>5</v>
      </c>
      <c r="O49">
        <f>IFERROR(VALUE(LEFT(DONNEES_SOURCE!$Q$48,1)),"")</f>
        <v>4</v>
      </c>
      <c r="P49">
        <f>IFERROR(VALUE(LEFT(DONNEES_SOURCE!$Y$48,1)),"")</f>
        <v>5</v>
      </c>
      <c r="Q49">
        <f>IFERROR(VALUE(LEFT(DONNEES_SOURCE!$Z$48,1)),"")</f>
        <v>5</v>
      </c>
      <c r="R49">
        <f>IFERROR(VALUE(LEFT(DONNEES_SOURCE!$AA$48,1)),"")</f>
        <v>5</v>
      </c>
      <c r="S49">
        <f>DONNEES_SOURCE!$BU$48</f>
        <v>4.0159000000000002</v>
      </c>
      <c r="T49">
        <f>47</f>
        <v>47</v>
      </c>
      <c r="U49">
        <f>IF(DONNEES_SOURCE!$CA48=TRUE,DONNEES_SOURCE!$AI48,"")</f>
        <v>6</v>
      </c>
      <c r="V49">
        <f>IF(DONNEES_SOURCE!$CA48=TRUE,IFERROR(VALUE(LEFT(DONNEES_SOURCE!$S48,1)),DONNEES_SOURCE!$S48),"")</f>
        <v>4</v>
      </c>
      <c r="W49">
        <f>IF(DONNEES_SOURCE!$CA48=TRUE,IFERROR(VALUE(LEFT(DONNEES_SOURCE!$T48,1)),DONNEES_SOURCE!$T48),"")</f>
        <v>3</v>
      </c>
      <c r="X49">
        <f>IF(DONNEES_SOURCE!$CA48=TRUE,IFERROR(VALUE(LEFT(DONNEES_SOURCE!$U48,1)),DONNEES_SOURCE!$U48),"")</f>
        <v>3</v>
      </c>
      <c r="Y49" t="str">
        <f>IF(DONNEES_SOURCE!$CA48=TRUE,DONNEES_SOURCE!$BZ48,"")</f>
        <v>Associe</v>
      </c>
    </row>
    <row r="50" spans="1:25" x14ac:dyDescent="0.25">
      <c r="A50" s="193" t="s">
        <v>704</v>
      </c>
      <c r="B50" s="193" t="s">
        <v>721</v>
      </c>
      <c r="C50" s="193" t="s">
        <v>498</v>
      </c>
      <c r="D50" s="194" cm="1">
        <f t="array" ref="D50">SUMPRODUCT(($K$3:$K$102=TRUE)*($Q$3:$Q$102&lt;&gt;"")*(L$3:$L$102&lt;&gt;""))</f>
        <v>67</v>
      </c>
      <c r="E50" s="201" cm="1">
        <f t="array" ref="E50">CORREL(_xlfn._xlws.FILTER(_xlfn.RANK.AVG($Q$3:$Q$102,$Q$3:$Q$102,1),($K$3:$K$102=TRUE)*($Q$3:$Q$102&lt;&gt;"")*($L$3:$L$102&lt;&gt;"")),_xlfn._xlws.FILTER(_xlfn.RANK.AVG($L$3:$L$102,$L$3:$L$102,1),($K$3:$K$102=TRUE)*($Q$3:$Q$102&lt;&gt;"")*($L$3:$L$102&lt;&gt;"")))</f>
        <v>9.3850573388190972E-2</v>
      </c>
      <c r="F50" s="201">
        <f t="shared" si="1"/>
        <v>0.76000193718140274</v>
      </c>
      <c r="G50" s="194">
        <f t="shared" si="2"/>
        <v>65</v>
      </c>
      <c r="H50" s="201">
        <f t="shared" si="3"/>
        <v>0.45000128356621472</v>
      </c>
      <c r="I50" s="193" t="str">
        <f t="shared" si="4"/>
        <v>NS</v>
      </c>
      <c r="K50" t="b">
        <f>DONNEES_SOURCE!$CA$49</f>
        <v>1</v>
      </c>
      <c r="L50">
        <f>DONNEES_SOURCE!$CB$49</f>
        <v>5</v>
      </c>
      <c r="M50">
        <f>IFERROR(VALUE(LEFT(DONNEES_SOURCE!$O$49,1)),"")</f>
        <v>4</v>
      </c>
      <c r="N50">
        <f>IFERROR(VALUE(LEFT(DONNEES_SOURCE!$P$49,1)),"")</f>
        <v>4</v>
      </c>
      <c r="O50">
        <f>IFERROR(VALUE(LEFT(DONNEES_SOURCE!$Q$49,1)),"")</f>
        <v>4</v>
      </c>
      <c r="P50">
        <f>IFERROR(VALUE(LEFT(DONNEES_SOURCE!$Y$49,1)),"")</f>
        <v>4</v>
      </c>
      <c r="Q50">
        <f>IFERROR(VALUE(LEFT(DONNEES_SOURCE!$Z$49,1)),"")</f>
        <v>4</v>
      </c>
      <c r="R50">
        <f>IFERROR(VALUE(LEFT(DONNEES_SOURCE!$AA$49,1)),"")</f>
        <v>4</v>
      </c>
      <c r="S50">
        <f>DONNEES_SOURCE!$BU$49</f>
        <v>2.9365000000000001</v>
      </c>
      <c r="T50">
        <f>48</f>
        <v>48</v>
      </c>
      <c r="U50">
        <f>IF(DONNEES_SOURCE!$CA49=TRUE,DONNEES_SOURCE!$AI49,"")</f>
        <v>5</v>
      </c>
      <c r="V50">
        <f>IF(DONNEES_SOURCE!$CA49=TRUE,IFERROR(VALUE(LEFT(DONNEES_SOURCE!$S49,1)),DONNEES_SOURCE!$S49),"")</f>
        <v>3</v>
      </c>
      <c r="W50">
        <f>IF(DONNEES_SOURCE!$CA49=TRUE,IFERROR(VALUE(LEFT(DONNEES_SOURCE!$T49,1)),DONNEES_SOURCE!$T49),"")</f>
        <v>3</v>
      </c>
      <c r="X50">
        <f>IF(DONNEES_SOURCE!$CA49=TRUE,IFERROR(VALUE(LEFT(DONNEES_SOURCE!$U49,1)),DONNEES_SOURCE!$U49),"")</f>
        <v>1</v>
      </c>
      <c r="Y50" t="str">
        <f>IF(DONNEES_SOURCE!$CA49=TRUE,DONNEES_SOURCE!$BZ49,"")</f>
        <v>Junior</v>
      </c>
    </row>
    <row r="51" spans="1:25" x14ac:dyDescent="0.25">
      <c r="A51" s="193" t="s">
        <v>705</v>
      </c>
      <c r="B51" s="193" t="s">
        <v>722</v>
      </c>
      <c r="C51" s="193" t="s">
        <v>498</v>
      </c>
      <c r="D51" s="194" cm="1">
        <f t="array" ref="D51">SUMPRODUCT(($K$3:$K$102=TRUE)*($R$3:$R$102&lt;&gt;"")*(L$3:$L$102&lt;&gt;""))</f>
        <v>67</v>
      </c>
      <c r="E51" s="201" cm="1">
        <f t="array" ref="E51">CORREL(_xlfn._xlws.FILTER(_xlfn.RANK.AVG($R$3:$R$102,$R$3:$R$102,1),($K$3:$K$102=TRUE)*($R$3:$R$102&lt;&gt;"")*($L$3:$L$102&lt;&gt;"")),_xlfn._xlws.FILTER(_xlfn.RANK.AVG($L$3:$L$102,$L$3:$L$102,1),($K$3:$K$102=TRUE)*($R$3:$R$102&lt;&gt;"")*($L$3:$L$102&lt;&gt;"")))</f>
        <v>0.32557696659379498</v>
      </c>
      <c r="F51" s="201">
        <f t="shared" si="1"/>
        <v>2.7761420166645081</v>
      </c>
      <c r="G51" s="194">
        <f t="shared" si="2"/>
        <v>65</v>
      </c>
      <c r="H51" s="201">
        <f t="shared" si="3"/>
        <v>7.1776758539115531E-3</v>
      </c>
      <c r="I51" s="193" t="str">
        <f t="shared" si="4"/>
        <v>**</v>
      </c>
      <c r="K51" t="b">
        <f>DONNEES_SOURCE!$CA$50</f>
        <v>1</v>
      </c>
      <c r="L51">
        <f>DONNEES_SOURCE!$CB$50</f>
        <v>5</v>
      </c>
      <c r="M51">
        <f>IFERROR(VALUE(LEFT(DONNEES_SOURCE!$O$50,1)),"")</f>
        <v>3</v>
      </c>
      <c r="N51">
        <f>IFERROR(VALUE(LEFT(DONNEES_SOURCE!$P$50,1)),"")</f>
        <v>5</v>
      </c>
      <c r="O51">
        <f>IFERROR(VALUE(LEFT(DONNEES_SOURCE!$Q$50,1)),"")</f>
        <v>5</v>
      </c>
      <c r="P51">
        <f>IFERROR(VALUE(LEFT(DONNEES_SOURCE!$Y$50,1)),"")</f>
        <v>4</v>
      </c>
      <c r="Q51">
        <f>IFERROR(VALUE(LEFT(DONNEES_SOURCE!$Z$50,1)),"")</f>
        <v>4</v>
      </c>
      <c r="R51">
        <f>IFERROR(VALUE(LEFT(DONNEES_SOURCE!$AA$50,1)),"")</f>
        <v>5</v>
      </c>
      <c r="S51">
        <f>DONNEES_SOURCE!$BU$50</f>
        <v>3.2698</v>
      </c>
      <c r="T51">
        <f>49</f>
        <v>49</v>
      </c>
      <c r="U51">
        <f>IF(DONNEES_SOURCE!$CA50=TRUE,DONNEES_SOURCE!$AI50,"")</f>
        <v>5</v>
      </c>
      <c r="V51">
        <f>IF(DONNEES_SOURCE!$CA50=TRUE,IFERROR(VALUE(LEFT(DONNEES_SOURCE!$S50,1)),DONNEES_SOURCE!$S50),"")</f>
        <v>4</v>
      </c>
      <c r="W51">
        <f>IF(DONNEES_SOURCE!$CA50=TRUE,IFERROR(VALUE(LEFT(DONNEES_SOURCE!$T50,1)),DONNEES_SOURCE!$T50),"")</f>
        <v>2</v>
      </c>
      <c r="X51">
        <f>IF(DONNEES_SOURCE!$CA50=TRUE,IFERROR(VALUE(LEFT(DONNEES_SOURCE!$U50,1)),DONNEES_SOURCE!$U50),"")</f>
        <v>1</v>
      </c>
      <c r="Y51" t="str">
        <f>IF(DONNEES_SOURCE!$CA50=TRUE,DONNEES_SOURCE!$BZ50,"")</f>
        <v>Junior</v>
      </c>
    </row>
    <row r="52" spans="1:25" x14ac:dyDescent="0.25">
      <c r="K52" t="b">
        <f>DONNEES_SOURCE!$CA$51</f>
        <v>1</v>
      </c>
      <c r="L52">
        <f>DONNEES_SOURCE!$CB$51</f>
        <v>5</v>
      </c>
      <c r="M52">
        <f>IFERROR(VALUE(LEFT(DONNEES_SOURCE!$O$51,1)),"")</f>
        <v>4</v>
      </c>
      <c r="N52">
        <f>IFERROR(VALUE(LEFT(DONNEES_SOURCE!$P$51,1)),"")</f>
        <v>5</v>
      </c>
      <c r="O52">
        <f>IFERROR(VALUE(LEFT(DONNEES_SOURCE!$Q$51,1)),"")</f>
        <v>5</v>
      </c>
      <c r="P52">
        <f>IFERROR(VALUE(LEFT(DONNEES_SOURCE!$Y$51,1)),"")</f>
        <v>3</v>
      </c>
      <c r="Q52">
        <f>IFERROR(VALUE(LEFT(DONNEES_SOURCE!$Z$51,1)),"")</f>
        <v>4</v>
      </c>
      <c r="R52">
        <f>IFERROR(VALUE(LEFT(DONNEES_SOURCE!$AA$51,1)),"")</f>
        <v>4</v>
      </c>
      <c r="S52">
        <f>DONNEES_SOURCE!$BU$51</f>
        <v>3.6349</v>
      </c>
      <c r="T52">
        <f>50</f>
        <v>50</v>
      </c>
      <c r="U52">
        <f>IF(DONNEES_SOURCE!$CA51=TRUE,DONNEES_SOURCE!$AI51,"")</f>
        <v>6</v>
      </c>
      <c r="V52">
        <f>IF(DONNEES_SOURCE!$CA51=TRUE,IFERROR(VALUE(LEFT(DONNEES_SOURCE!$S51,1)),DONNEES_SOURCE!$S51),"")</f>
        <v>5</v>
      </c>
      <c r="W52">
        <f>IF(DONNEES_SOURCE!$CA51=TRUE,IFERROR(VALUE(LEFT(DONNEES_SOURCE!$T51,1)),DONNEES_SOURCE!$T51),"")</f>
        <v>3</v>
      </c>
      <c r="X52">
        <f>IF(DONNEES_SOURCE!$CA51=TRUE,IFERROR(VALUE(LEFT(DONNEES_SOURCE!$U51,1)),DONNEES_SOURCE!$U51),"")</f>
        <v>3</v>
      </c>
      <c r="Y52" t="str">
        <f>IF(DONNEES_SOURCE!$CA51=TRUE,DONNEES_SOURCE!$BZ51,"")</f>
        <v>Junior</v>
      </c>
    </row>
    <row r="53" spans="1:25" x14ac:dyDescent="0.25">
      <c r="A53" s="291" t="s">
        <v>723</v>
      </c>
      <c r="B53" s="254"/>
      <c r="C53" s="254"/>
      <c r="D53" s="254"/>
      <c r="E53" s="254"/>
      <c r="F53" s="254"/>
      <c r="G53" s="254"/>
      <c r="H53" s="254"/>
      <c r="I53" s="254"/>
      <c r="J53" s="254"/>
      <c r="K53" t="b">
        <f>DONNEES_SOURCE!$CA$52</f>
        <v>1</v>
      </c>
      <c r="L53">
        <f>DONNEES_SOURCE!$CB$52</f>
        <v>4</v>
      </c>
      <c r="M53">
        <f>IFERROR(VALUE(LEFT(DONNEES_SOURCE!$O$52,1)),"")</f>
        <v>4</v>
      </c>
      <c r="N53">
        <f>IFERROR(VALUE(LEFT(DONNEES_SOURCE!$P$52,1)),"")</f>
        <v>5</v>
      </c>
      <c r="O53">
        <f>IFERROR(VALUE(LEFT(DONNEES_SOURCE!$Q$52,1)),"")</f>
        <v>5</v>
      </c>
      <c r="P53">
        <f>IFERROR(VALUE(LEFT(DONNEES_SOURCE!$Y$52,1)),"")</f>
        <v>4</v>
      </c>
      <c r="Q53">
        <f>IFERROR(VALUE(LEFT(DONNEES_SOURCE!$Z$52,1)),"")</f>
        <v>4</v>
      </c>
      <c r="R53">
        <f>IFERROR(VALUE(LEFT(DONNEES_SOURCE!$AA$52,1)),"")</f>
        <v>4</v>
      </c>
      <c r="S53">
        <f>DONNEES_SOURCE!$BU$52</f>
        <v>3.0158999999999998</v>
      </c>
      <c r="T53">
        <f>51</f>
        <v>51</v>
      </c>
      <c r="U53">
        <f>IF(DONNEES_SOURCE!$CA52=TRUE,DONNEES_SOURCE!$AI52,"")</f>
        <v>6</v>
      </c>
      <c r="V53">
        <f>IF(DONNEES_SOURCE!$CA52=TRUE,IFERROR(VALUE(LEFT(DONNEES_SOURCE!$S52,1)),DONNEES_SOURCE!$S52),"")</f>
        <v>4</v>
      </c>
      <c r="W53">
        <f>IF(DONNEES_SOURCE!$CA52=TRUE,IFERROR(VALUE(LEFT(DONNEES_SOURCE!$T52,1)),DONNEES_SOURCE!$T52),"")</f>
        <v>2</v>
      </c>
      <c r="X53">
        <f>IF(DONNEES_SOURCE!$CA52=TRUE,IFERROR(VALUE(LEFT(DONNEES_SOURCE!$U52,1)),DONNEES_SOURCE!$U52),"")</f>
        <v>1</v>
      </c>
      <c r="Y53" t="str">
        <f>IF(DONNEES_SOURCE!$CA52=TRUE,DONNEES_SOURCE!$BZ52,"")</f>
        <v>Junior</v>
      </c>
    </row>
    <row r="54" spans="1:25" x14ac:dyDescent="0.25">
      <c r="A54" s="290" t="s">
        <v>724</v>
      </c>
      <c r="B54" s="254"/>
      <c r="C54" s="254"/>
      <c r="D54" s="254"/>
      <c r="E54" s="254"/>
      <c r="F54" s="254"/>
      <c r="G54" s="254"/>
      <c r="H54" s="254"/>
      <c r="I54" s="254"/>
      <c r="J54" s="254"/>
      <c r="K54" t="b">
        <f>DONNEES_SOURCE!$CA$53</f>
        <v>1</v>
      </c>
      <c r="L54">
        <f>DONNEES_SOURCE!$CB$53</f>
        <v>7</v>
      </c>
      <c r="M54">
        <f>IFERROR(VALUE(LEFT(DONNEES_SOURCE!$O$53,1)),"")</f>
        <v>3</v>
      </c>
      <c r="N54">
        <f>IFERROR(VALUE(LEFT(DONNEES_SOURCE!$P$53,1)),"")</f>
        <v>5</v>
      </c>
      <c r="O54">
        <f>IFERROR(VALUE(LEFT(DONNEES_SOURCE!$Q$53,1)),"")</f>
        <v>4</v>
      </c>
      <c r="P54">
        <f>IFERROR(VALUE(LEFT(DONNEES_SOURCE!$Y$53,1)),"")</f>
        <v>3</v>
      </c>
      <c r="Q54">
        <f>IFERROR(VALUE(LEFT(DONNEES_SOURCE!$Z$53,1)),"")</f>
        <v>4</v>
      </c>
      <c r="R54">
        <f>IFERROR(VALUE(LEFT(DONNEES_SOURCE!$AA$53,1)),"")</f>
        <v>4</v>
      </c>
      <c r="S54">
        <f>DONNEES_SOURCE!$BU$53</f>
        <v>3.7778</v>
      </c>
      <c r="T54">
        <f>52</f>
        <v>52</v>
      </c>
      <c r="U54">
        <f>IF(DONNEES_SOURCE!$CA53=TRUE,DONNEES_SOURCE!$AI53,"")</f>
        <v>6</v>
      </c>
      <c r="V54">
        <f>IF(DONNEES_SOURCE!$CA53=TRUE,IFERROR(VALUE(LEFT(DONNEES_SOURCE!$S53,1)),DONNEES_SOURCE!$S53),"")</f>
        <v>5</v>
      </c>
      <c r="W54">
        <f>IF(DONNEES_SOURCE!$CA53=TRUE,IFERROR(VALUE(LEFT(DONNEES_SOURCE!$T53,1)),DONNEES_SOURCE!$T53),"")</f>
        <v>3</v>
      </c>
      <c r="X54">
        <f>IF(DONNEES_SOURCE!$CA53=TRUE,IFERROR(VALUE(LEFT(DONNEES_SOURCE!$U53,1)),DONNEES_SOURCE!$U53),"")</f>
        <v>4</v>
      </c>
      <c r="Y54" t="str">
        <f>IF(DONNEES_SOURCE!$CA53=TRUE,DONNEES_SOURCE!$BZ53,"")</f>
        <v>Senior-Manager</v>
      </c>
    </row>
    <row r="55" spans="1:25" x14ac:dyDescent="0.25">
      <c r="A55" s="290" t="s">
        <v>725</v>
      </c>
      <c r="B55" s="254"/>
      <c r="C55" s="254"/>
      <c r="D55" s="254"/>
      <c r="E55" s="254"/>
      <c r="F55" s="254"/>
      <c r="G55" s="254"/>
      <c r="H55" s="254"/>
      <c r="I55" s="254"/>
      <c r="J55" s="254"/>
      <c r="K55" t="b">
        <f>DONNEES_SOURCE!$CA$54</f>
        <v>1</v>
      </c>
      <c r="L55">
        <f>DONNEES_SOURCE!$CB$54</f>
        <v>7</v>
      </c>
      <c r="M55">
        <f>IFERROR(VALUE(LEFT(DONNEES_SOURCE!$O$54,1)),"")</f>
        <v>4</v>
      </c>
      <c r="N55">
        <f>IFERROR(VALUE(LEFT(DONNEES_SOURCE!$P$54,1)),"")</f>
        <v>4</v>
      </c>
      <c r="O55">
        <f>IFERROR(VALUE(LEFT(DONNEES_SOURCE!$Q$54,1)),"")</f>
        <v>4</v>
      </c>
      <c r="P55">
        <f>IFERROR(VALUE(LEFT(DONNEES_SOURCE!$Y$54,1)),"")</f>
        <v>4</v>
      </c>
      <c r="Q55">
        <f>IFERROR(VALUE(LEFT(DONNEES_SOURCE!$Z$54,1)),"")</f>
        <v>4</v>
      </c>
      <c r="R55">
        <f>IFERROR(VALUE(LEFT(DONNEES_SOURCE!$AA$54,1)),"")</f>
        <v>4</v>
      </c>
      <c r="S55">
        <f>DONNEES_SOURCE!$BU$54</f>
        <v>3.2856999999999998</v>
      </c>
      <c r="T55">
        <f>53</f>
        <v>53</v>
      </c>
      <c r="U55">
        <f>IF(DONNEES_SOURCE!$CA54=TRUE,DONNEES_SOURCE!$AI54,"")</f>
        <v>7</v>
      </c>
      <c r="V55">
        <f>IF(DONNEES_SOURCE!$CA54=TRUE,IFERROR(VALUE(LEFT(DONNEES_SOURCE!$S54,1)),DONNEES_SOURCE!$S54),"")</f>
        <v>3</v>
      </c>
      <c r="W55">
        <f>IF(DONNEES_SOURCE!$CA54=TRUE,IFERROR(VALUE(LEFT(DONNEES_SOURCE!$T54,1)),DONNEES_SOURCE!$T54),"")</f>
        <v>3</v>
      </c>
      <c r="X55">
        <f>IF(DONNEES_SOURCE!$CA54=TRUE,IFERROR(VALUE(LEFT(DONNEES_SOURCE!$U54,1)),DONNEES_SOURCE!$U54),"")</f>
        <v>2</v>
      </c>
      <c r="Y55" t="str">
        <f>IF(DONNEES_SOURCE!$CA54=TRUE,DONNEES_SOURCE!$BZ54,"")</f>
        <v>Junior</v>
      </c>
    </row>
    <row r="56" spans="1:25" x14ac:dyDescent="0.25">
      <c r="K56" t="b">
        <f>DONNEES_SOURCE!$CA$55</f>
        <v>1</v>
      </c>
      <c r="L56">
        <f>DONNEES_SOURCE!$CB$55</f>
        <v>5</v>
      </c>
      <c r="M56">
        <f>IFERROR(VALUE(LEFT(DONNEES_SOURCE!$O$55,1)),"")</f>
        <v>5</v>
      </c>
      <c r="N56">
        <f>IFERROR(VALUE(LEFT(DONNEES_SOURCE!$P$55,1)),"")</f>
        <v>5</v>
      </c>
      <c r="O56">
        <f>IFERROR(VALUE(LEFT(DONNEES_SOURCE!$Q$55,1)),"")</f>
        <v>5</v>
      </c>
      <c r="P56">
        <f>IFERROR(VALUE(LEFT(DONNEES_SOURCE!$Y$55,1)),"")</f>
        <v>5</v>
      </c>
      <c r="Q56">
        <f>IFERROR(VALUE(LEFT(DONNEES_SOURCE!$Z$55,1)),"")</f>
        <v>5</v>
      </c>
      <c r="R56">
        <f>IFERROR(VALUE(LEFT(DONNEES_SOURCE!$AA$55,1)),"")</f>
        <v>5</v>
      </c>
      <c r="S56">
        <f>DONNEES_SOURCE!$BU$55</f>
        <v>3.7618999999999998</v>
      </c>
      <c r="T56">
        <f>54</f>
        <v>54</v>
      </c>
      <c r="U56">
        <f>IF(DONNEES_SOURCE!$CA55=TRUE,DONNEES_SOURCE!$AI55,"")</f>
        <v>7</v>
      </c>
      <c r="V56">
        <f>IF(DONNEES_SOURCE!$CA55=TRUE,IFERROR(VALUE(LEFT(DONNEES_SOURCE!$S55,1)),DONNEES_SOURCE!$S55),"")</f>
        <v>3</v>
      </c>
      <c r="W56">
        <f>IF(DONNEES_SOURCE!$CA55=TRUE,IFERROR(VALUE(LEFT(DONNEES_SOURCE!$T55,1)),DONNEES_SOURCE!$T55),"")</f>
        <v>2</v>
      </c>
      <c r="X56">
        <f>IF(DONNEES_SOURCE!$CA55=TRUE,IFERROR(VALUE(LEFT(DONNEES_SOURCE!$U55,1)),DONNEES_SOURCE!$U55),"")</f>
        <v>2</v>
      </c>
      <c r="Y56" t="str">
        <f>IF(DONNEES_SOURCE!$CA55=TRUE,DONNEES_SOURCE!$BZ55,"")</f>
        <v>Senior-Manager</v>
      </c>
    </row>
    <row r="57" spans="1:25" x14ac:dyDescent="0.25">
      <c r="A57" s="71" t="s">
        <v>726</v>
      </c>
      <c r="B57" s="71" t="str">
        <f>IF(AND(E45&gt;0,H45&lt;0.05),"CONFIRMÉE","INFIRMÉE")</f>
        <v>INFIRMÉE</v>
      </c>
      <c r="K57" t="b">
        <f>DONNEES_SOURCE!$CA$56</f>
        <v>1</v>
      </c>
      <c r="L57">
        <f>DONNEES_SOURCE!$CB$56</f>
        <v>5</v>
      </c>
      <c r="M57">
        <f>IFERROR(VALUE(LEFT(DONNEES_SOURCE!$O$56,1)),"")</f>
        <v>4</v>
      </c>
      <c r="N57">
        <f>IFERROR(VALUE(LEFT(DONNEES_SOURCE!$P$56,1)),"")</f>
        <v>5</v>
      </c>
      <c r="O57">
        <f>IFERROR(VALUE(LEFT(DONNEES_SOURCE!$Q$56,1)),"")</f>
        <v>5</v>
      </c>
      <c r="P57">
        <f>IFERROR(VALUE(LEFT(DONNEES_SOURCE!$Y$56,1)),"")</f>
        <v>5</v>
      </c>
      <c r="Q57">
        <f>IFERROR(VALUE(LEFT(DONNEES_SOURCE!$Z$56,1)),"")</f>
        <v>5</v>
      </c>
      <c r="R57">
        <f>IFERROR(VALUE(LEFT(DONNEES_SOURCE!$AA$56,1)),"")</f>
        <v>5</v>
      </c>
      <c r="S57">
        <f>DONNEES_SOURCE!$BU$56</f>
        <v>3.7936999999999999</v>
      </c>
      <c r="T57">
        <f>55</f>
        <v>55</v>
      </c>
      <c r="U57">
        <f>IF(DONNEES_SOURCE!$CA56=TRUE,DONNEES_SOURCE!$AI56,"")</f>
        <v>5</v>
      </c>
      <c r="V57">
        <f>IF(DONNEES_SOURCE!$CA56=TRUE,IFERROR(VALUE(LEFT(DONNEES_SOURCE!$S56,1)),DONNEES_SOURCE!$S56),"")</f>
        <v>4</v>
      </c>
      <c r="W57">
        <f>IF(DONNEES_SOURCE!$CA56=TRUE,IFERROR(VALUE(LEFT(DONNEES_SOURCE!$T56,1)),DONNEES_SOURCE!$T56),"")</f>
        <v>3</v>
      </c>
      <c r="X57">
        <f>IF(DONNEES_SOURCE!$CA56=TRUE,IFERROR(VALUE(LEFT(DONNEES_SOURCE!$U56,1)),DONNEES_SOURCE!$U56),"")</f>
        <v>3</v>
      </c>
      <c r="Y57" t="str">
        <f>IF(DONNEES_SOURCE!$CA56=TRUE,DONNEES_SOURCE!$BZ56,"")</f>
        <v>Junior</v>
      </c>
    </row>
    <row r="58" spans="1:25" x14ac:dyDescent="0.25">
      <c r="A58" t="s">
        <v>727</v>
      </c>
      <c r="K58" t="b">
        <f>DONNEES_SOURCE!$CA$57</f>
        <v>1</v>
      </c>
      <c r="L58">
        <f>DONNEES_SOURCE!$CB$57</f>
        <v>6</v>
      </c>
      <c r="M58">
        <f>IFERROR(VALUE(LEFT(DONNEES_SOURCE!$O$57,1)),"")</f>
        <v>4</v>
      </c>
      <c r="N58">
        <f>IFERROR(VALUE(LEFT(DONNEES_SOURCE!$P$57,1)),"")</f>
        <v>4</v>
      </c>
      <c r="O58">
        <f>IFERROR(VALUE(LEFT(DONNEES_SOURCE!$Q$57,1)),"")</f>
        <v>4</v>
      </c>
      <c r="P58">
        <f>IFERROR(VALUE(LEFT(DONNEES_SOURCE!$Y$57,1)),"")</f>
        <v>5</v>
      </c>
      <c r="Q58">
        <f>IFERROR(VALUE(LEFT(DONNEES_SOURCE!$Z$57,1)),"")</f>
        <v>5</v>
      </c>
      <c r="R58">
        <f>IFERROR(VALUE(LEFT(DONNEES_SOURCE!$AA$57,1)),"")</f>
        <v>4</v>
      </c>
      <c r="S58">
        <f>DONNEES_SOURCE!$BU$57</f>
        <v>3.8730000000000002</v>
      </c>
      <c r="T58">
        <f>56</f>
        <v>56</v>
      </c>
      <c r="U58">
        <f>IF(DONNEES_SOURCE!$CA57=TRUE,DONNEES_SOURCE!$AI57,"")</f>
        <v>6</v>
      </c>
      <c r="V58">
        <f>IF(DONNEES_SOURCE!$CA57=TRUE,IFERROR(VALUE(LEFT(DONNEES_SOURCE!$S57,1)),DONNEES_SOURCE!$S57),"")</f>
        <v>5</v>
      </c>
      <c r="W58">
        <f>IF(DONNEES_SOURCE!$CA57=TRUE,IFERROR(VALUE(LEFT(DONNEES_SOURCE!$T57,1)),DONNEES_SOURCE!$T57),"")</f>
        <v>3</v>
      </c>
      <c r="X58">
        <f>IF(DONNEES_SOURCE!$CA57=TRUE,IFERROR(VALUE(LEFT(DONNEES_SOURCE!$U57,1)),DONNEES_SOURCE!$U57),"")</f>
        <v>3</v>
      </c>
      <c r="Y58" t="str">
        <f>IF(DONNEES_SOURCE!$CA57=TRUE,DONNEES_SOURCE!$BZ57,"")</f>
        <v>Senior-Manager</v>
      </c>
    </row>
    <row r="59" spans="1:25" x14ac:dyDescent="0.25">
      <c r="A59" t="str">
        <f>"• Q6_Rédaction: ρ="&amp;ROUND(E48,2)&amp;", p="&amp;IF(H48&lt;0.01,"&lt;0.01",IF(H48&lt;0.05,"&lt;0.05",IF(H48&lt;0.1,"&lt;0.10",ROUND(H48,3))))&amp;" ("&amp;I48&amp;")"</f>
        <v>• Q6_Rédaction: ρ=0,23, p=&lt;0.10 (.)</v>
      </c>
      <c r="K59" t="b">
        <f>DONNEES_SOURCE!$CA$58</f>
        <v>1</v>
      </c>
      <c r="L59">
        <f>DONNEES_SOURCE!$CB$58</f>
        <v>5</v>
      </c>
      <c r="M59">
        <f>IFERROR(VALUE(LEFT(DONNEES_SOURCE!$O$58,1)),"")</f>
        <v>3</v>
      </c>
      <c r="N59">
        <f>IFERROR(VALUE(LEFT(DONNEES_SOURCE!$P$58,1)),"")</f>
        <v>3</v>
      </c>
      <c r="O59">
        <f>IFERROR(VALUE(LEFT(DONNEES_SOURCE!$Q$58,1)),"")</f>
        <v>3</v>
      </c>
      <c r="P59">
        <f>IFERROR(VALUE(LEFT(DONNEES_SOURCE!$Y$58,1)),"")</f>
        <v>3</v>
      </c>
      <c r="Q59">
        <f>IFERROR(VALUE(LEFT(DONNEES_SOURCE!$Z$58,1)),"")</f>
        <v>3</v>
      </c>
      <c r="R59">
        <f>IFERROR(VALUE(LEFT(DONNEES_SOURCE!$AA$58,1)),"")</f>
        <v>3</v>
      </c>
      <c r="S59">
        <f>DONNEES_SOURCE!$BU$58</f>
        <v>3.2222</v>
      </c>
      <c r="T59">
        <f>57</f>
        <v>57</v>
      </c>
      <c r="U59">
        <f>IF(DONNEES_SOURCE!$CA58=TRUE,DONNEES_SOURCE!$AI58,"")</f>
        <v>5</v>
      </c>
      <c r="V59">
        <f>IF(DONNEES_SOURCE!$CA58=TRUE,IFERROR(VALUE(LEFT(DONNEES_SOURCE!$S58,1)),DONNEES_SOURCE!$S58),"")</f>
        <v>3</v>
      </c>
      <c r="W59">
        <f>IF(DONNEES_SOURCE!$CA58=TRUE,IFERROR(VALUE(LEFT(DONNEES_SOURCE!$T58,1)),DONNEES_SOURCE!$T58),"")</f>
        <v>3</v>
      </c>
      <c r="X59">
        <f>IF(DONNEES_SOURCE!$CA58=TRUE,IFERROR(VALUE(LEFT(DONNEES_SOURCE!$U58,1)),DONNEES_SOURCE!$U58),"")</f>
        <v>3</v>
      </c>
      <c r="Y59" t="str">
        <f>IF(DONNEES_SOURCE!$CA58=TRUE,DONNEES_SOURCE!$BZ58,"")</f>
        <v>Associe</v>
      </c>
    </row>
    <row r="60" spans="1:25" x14ac:dyDescent="0.25">
      <c r="A60" t="str">
        <f>"• Q7_Rédaction: ρ="&amp;ROUND(E51,2)&amp;", p="&amp;IF(H51&lt;0.01,"&lt;0.01",IF(H51&lt;0.05,"&lt;0.05",IF(H51&lt;0.1,"&lt;0.10",ROUND(H51,3))))&amp;" ("&amp;I51&amp;")"</f>
        <v>• Q7_Rédaction: ρ=0,33, p=&lt;0.01 (**)</v>
      </c>
      <c r="K60" t="b">
        <f>DONNEES_SOURCE!$CA$59</f>
        <v>1</v>
      </c>
      <c r="L60">
        <f>DONNEES_SOURCE!$CB$59</f>
        <v>4</v>
      </c>
      <c r="M60">
        <f>IFERROR(VALUE(LEFT(DONNEES_SOURCE!$O$59,1)),"")</f>
        <v>4</v>
      </c>
      <c r="N60">
        <f>IFERROR(VALUE(LEFT(DONNEES_SOURCE!$P$59,1)),"")</f>
        <v>4</v>
      </c>
      <c r="O60">
        <f>IFERROR(VALUE(LEFT(DONNEES_SOURCE!$Q$59,1)),"")</f>
        <v>3</v>
      </c>
      <c r="P60">
        <f>IFERROR(VALUE(LEFT(DONNEES_SOURCE!$Y$59,1)),"")</f>
        <v>4</v>
      </c>
      <c r="Q60">
        <f>IFERROR(VALUE(LEFT(DONNEES_SOURCE!$Z$59,1)),"")</f>
        <v>4</v>
      </c>
      <c r="R60">
        <f>IFERROR(VALUE(LEFT(DONNEES_SOURCE!$AA$59,1)),"")</f>
        <v>4</v>
      </c>
      <c r="S60">
        <f>DONNEES_SOURCE!$BU$59</f>
        <v>3.5872999999999999</v>
      </c>
      <c r="T60">
        <f>58</f>
        <v>58</v>
      </c>
      <c r="U60">
        <f>IF(DONNEES_SOURCE!$CA59=TRUE,DONNEES_SOURCE!$AI59,"")</f>
        <v>6</v>
      </c>
      <c r="V60">
        <f>IF(DONNEES_SOURCE!$CA59=TRUE,IFERROR(VALUE(LEFT(DONNEES_SOURCE!$S59,1)),DONNEES_SOURCE!$S59),"")</f>
        <v>3</v>
      </c>
      <c r="W60">
        <f>IF(DONNEES_SOURCE!$CA59=TRUE,IFERROR(VALUE(LEFT(DONNEES_SOURCE!$T59,1)),DONNEES_SOURCE!$T59),"")</f>
        <v>3</v>
      </c>
      <c r="X60">
        <f>IF(DONNEES_SOURCE!$CA59=TRUE,IFERROR(VALUE(LEFT(DONNEES_SOURCE!$U59,1)),DONNEES_SOURCE!$U59),"")</f>
        <v>3</v>
      </c>
      <c r="Y60" t="str">
        <f>IF(DONNEES_SOURCE!$CA59=TRUE,DONNEES_SOURCE!$BZ59,"")</f>
        <v>Associe</v>
      </c>
    </row>
    <row r="61" spans="1:25" x14ac:dyDescent="0.25">
      <c r="A61" t="str">
        <f>"• SUP global: ρ="&amp;ROUND(E45,2)&amp;", p="&amp;ROUND(H45,3)&amp;" ("&amp;I45&amp;")"</f>
        <v>• SUP global: ρ=0,17, p=0,174 (NS)</v>
      </c>
      <c r="K61" t="b">
        <f>DONNEES_SOURCE!$CA$60</f>
        <v>1</v>
      </c>
      <c r="L61">
        <f>DONNEES_SOURCE!$CB$60</f>
        <v>6</v>
      </c>
      <c r="M61">
        <f>IFERROR(VALUE(LEFT(DONNEES_SOURCE!$O$60,1)),"")</f>
        <v>3</v>
      </c>
      <c r="N61">
        <f>IFERROR(VALUE(LEFT(DONNEES_SOURCE!$P$60,1)),"")</f>
        <v>3</v>
      </c>
      <c r="O61">
        <f>IFERROR(VALUE(LEFT(DONNEES_SOURCE!$Q$60,1)),"")</f>
        <v>5</v>
      </c>
      <c r="P61">
        <f>IFERROR(VALUE(LEFT(DONNEES_SOURCE!$Y$60,1)),"")</f>
        <v>3</v>
      </c>
      <c r="Q61">
        <f>IFERROR(VALUE(LEFT(DONNEES_SOURCE!$Z$60,1)),"")</f>
        <v>3</v>
      </c>
      <c r="R61">
        <f>IFERROR(VALUE(LEFT(DONNEES_SOURCE!$AA$60,1)),"")</f>
        <v>5</v>
      </c>
      <c r="S61">
        <f>DONNEES_SOURCE!$BU$60</f>
        <v>3.0316999999999998</v>
      </c>
      <c r="T61">
        <f>59</f>
        <v>59</v>
      </c>
      <c r="U61">
        <f>IF(DONNEES_SOURCE!$CA60=TRUE,DONNEES_SOURCE!$AI60,"")</f>
        <v>5</v>
      </c>
      <c r="V61">
        <f>IF(DONNEES_SOURCE!$CA60=TRUE,IFERROR(VALUE(LEFT(DONNEES_SOURCE!$S60,1)),DONNEES_SOURCE!$S60),"")</f>
        <v>3</v>
      </c>
      <c r="W61">
        <f>IF(DONNEES_SOURCE!$CA60=TRUE,IFERROR(VALUE(LEFT(DONNEES_SOURCE!$T60,1)),DONNEES_SOURCE!$T60),"")</f>
        <v>3</v>
      </c>
      <c r="X61">
        <f>IF(DONNEES_SOURCE!$CA60=TRUE,IFERROR(VALUE(LEFT(DONNEES_SOURCE!$U60,1)),DONNEES_SOURCE!$U60),"")</f>
        <v>3</v>
      </c>
      <c r="Y61" t="str">
        <f>IF(DONNEES_SOURCE!$CA60=TRUE,DONNEES_SOURCE!$BZ60,"")</f>
        <v>Associe</v>
      </c>
    </row>
    <row r="62" spans="1:25" x14ac:dyDescent="0.25">
      <c r="K62" t="b">
        <f>DONNEES_SOURCE!$CA$61</f>
        <v>1</v>
      </c>
      <c r="L62">
        <f>DONNEES_SOURCE!$CB$61</f>
        <v>5</v>
      </c>
      <c r="M62">
        <f>IFERROR(VALUE(LEFT(DONNEES_SOURCE!$O$61,1)),"")</f>
        <v>3</v>
      </c>
      <c r="N62">
        <f>IFERROR(VALUE(LEFT(DONNEES_SOURCE!$P$61,1)),"")</f>
        <v>4</v>
      </c>
      <c r="O62">
        <f>IFERROR(VALUE(LEFT(DONNEES_SOURCE!$Q$61,1)),"")</f>
        <v>5</v>
      </c>
      <c r="P62">
        <f>IFERROR(VALUE(LEFT(DONNEES_SOURCE!$Y$61,1)),"")</f>
        <v>4</v>
      </c>
      <c r="Q62">
        <f>IFERROR(VALUE(LEFT(DONNEES_SOURCE!$Z$61,1)),"")</f>
        <v>4</v>
      </c>
      <c r="R62">
        <f>IFERROR(VALUE(LEFT(DONNEES_SOURCE!$AA$61,1)),"")</f>
        <v>5</v>
      </c>
      <c r="S62">
        <f>DONNEES_SOURCE!$BU$61</f>
        <v>3.6032000000000002</v>
      </c>
      <c r="T62">
        <f>60</f>
        <v>60</v>
      </c>
      <c r="U62">
        <f>IF(DONNEES_SOURCE!$CA61=TRUE,DONNEES_SOURCE!$AI61,"")</f>
        <v>5</v>
      </c>
      <c r="V62">
        <f>IF(DONNEES_SOURCE!$CA61=TRUE,IFERROR(VALUE(LEFT(DONNEES_SOURCE!$S61,1)),DONNEES_SOURCE!$S61),"")</f>
        <v>3</v>
      </c>
      <c r="W62">
        <f>IF(DONNEES_SOURCE!$CA61=TRUE,IFERROR(VALUE(LEFT(DONNEES_SOURCE!$T61,1)),DONNEES_SOURCE!$T61),"")</f>
        <v>3</v>
      </c>
      <c r="X62">
        <f>IF(DONNEES_SOURCE!$CA61=TRUE,IFERROR(VALUE(LEFT(DONNEES_SOURCE!$U61,1)),DONNEES_SOURCE!$U61),"")</f>
        <v>3</v>
      </c>
      <c r="Y62" t="str">
        <f>IF(DONNEES_SOURCE!$CA61=TRUE,DONNEES_SOURCE!$BZ61,"")</f>
        <v>Associe</v>
      </c>
    </row>
    <row r="63" spans="1:25" x14ac:dyDescent="0.25">
      <c r="A63" s="71" t="s">
        <v>728</v>
      </c>
      <c r="K63" t="b">
        <f>DONNEES_SOURCE!$CA$62</f>
        <v>1</v>
      </c>
      <c r="L63">
        <f>DONNEES_SOURCE!$CB$62</f>
        <v>4</v>
      </c>
      <c r="M63">
        <f>IFERROR(VALUE(LEFT(DONNEES_SOURCE!$O$62,1)),"")</f>
        <v>4</v>
      </c>
      <c r="N63">
        <f>IFERROR(VALUE(LEFT(DONNEES_SOURCE!$P$62,1)),"")</f>
        <v>5</v>
      </c>
      <c r="O63">
        <f>IFERROR(VALUE(LEFT(DONNEES_SOURCE!$Q$62,1)),"")</f>
        <v>4</v>
      </c>
      <c r="P63">
        <f>IFERROR(VALUE(LEFT(DONNEES_SOURCE!$Y$62,1)),"")</f>
        <v>5</v>
      </c>
      <c r="Q63">
        <f>IFERROR(VALUE(LEFT(DONNEES_SOURCE!$Z$62,1)),"")</f>
        <v>5</v>
      </c>
      <c r="R63">
        <f>IFERROR(VALUE(LEFT(DONNEES_SOURCE!$AA$62,1)),"")</f>
        <v>4</v>
      </c>
      <c r="S63">
        <f>DONNEES_SOURCE!$BU$62</f>
        <v>4.1745999999999999</v>
      </c>
      <c r="T63">
        <f>61</f>
        <v>61</v>
      </c>
      <c r="U63">
        <f>IF(DONNEES_SOURCE!$CA62=TRUE,DONNEES_SOURCE!$AI62,"")</f>
        <v>5</v>
      </c>
      <c r="V63">
        <f>IF(DONNEES_SOURCE!$CA62=TRUE,IFERROR(VALUE(LEFT(DONNEES_SOURCE!$S62,1)),DONNEES_SOURCE!$S62),"")</f>
        <v>4</v>
      </c>
      <c r="W63">
        <f>IF(DONNEES_SOURCE!$CA62=TRUE,IFERROR(VALUE(LEFT(DONNEES_SOURCE!$T62,1)),DONNEES_SOURCE!$T62),"")</f>
        <v>4</v>
      </c>
      <c r="X63">
        <f>IF(DONNEES_SOURCE!$CA62=TRUE,IFERROR(VALUE(LEFT(DONNEES_SOURCE!$U62,1)),DONNEES_SOURCE!$U62),"")</f>
        <v>3</v>
      </c>
      <c r="Y63" t="str">
        <f>IF(DONNEES_SOURCE!$CA62=TRUE,DONNEES_SOURCE!$BZ62,"")</f>
        <v>Associe</v>
      </c>
    </row>
    <row r="64" spans="1:25" ht="50.1" customHeight="1" x14ac:dyDescent="0.25">
      <c r="A64" s="296" t="s">
        <v>729</v>
      </c>
      <c r="B64" s="254"/>
      <c r="C64" s="254"/>
      <c r="D64" s="254"/>
      <c r="E64" s="254"/>
      <c r="F64" s="254"/>
      <c r="G64" s="254"/>
      <c r="H64" s="254"/>
      <c r="I64" s="254"/>
      <c r="J64" s="254"/>
      <c r="K64" t="b">
        <f>DONNEES_SOURCE!$CA$63</f>
        <v>1</v>
      </c>
      <c r="L64">
        <f>DONNEES_SOURCE!$CB$63</f>
        <v>5</v>
      </c>
      <c r="M64">
        <f>IFERROR(VALUE(LEFT(DONNEES_SOURCE!$O$63,1)),"")</f>
        <v>1</v>
      </c>
      <c r="N64">
        <f>IFERROR(VALUE(LEFT(DONNEES_SOURCE!$P$63,1)),"")</f>
        <v>4</v>
      </c>
      <c r="O64">
        <f>IFERROR(VALUE(LEFT(DONNEES_SOURCE!$Q$63,1)),"")</f>
        <v>3</v>
      </c>
      <c r="P64">
        <f>IFERROR(VALUE(LEFT(DONNEES_SOURCE!$Y$63,1)),"")</f>
        <v>1</v>
      </c>
      <c r="Q64">
        <f>IFERROR(VALUE(LEFT(DONNEES_SOURCE!$Z$63,1)),"")</f>
        <v>4</v>
      </c>
      <c r="R64">
        <f>IFERROR(VALUE(LEFT(DONNEES_SOURCE!$AA$63,1)),"")</f>
        <v>4</v>
      </c>
      <c r="S64">
        <f>DONNEES_SOURCE!$BU$63</f>
        <v>2.9683000000000002</v>
      </c>
      <c r="T64">
        <f>62</f>
        <v>62</v>
      </c>
      <c r="U64">
        <f>IF(DONNEES_SOURCE!$CA63=TRUE,DONNEES_SOURCE!$AI63,"")</f>
        <v>3</v>
      </c>
      <c r="V64">
        <f>IF(DONNEES_SOURCE!$CA63=TRUE,IFERROR(VALUE(LEFT(DONNEES_SOURCE!$S63,1)),DONNEES_SOURCE!$S63),"")</f>
        <v>3</v>
      </c>
      <c r="W64">
        <f>IF(DONNEES_SOURCE!$CA63=TRUE,IFERROR(VALUE(LEFT(DONNEES_SOURCE!$T63,1)),DONNEES_SOURCE!$T63),"")</f>
        <v>3</v>
      </c>
      <c r="X64">
        <f>IF(DONNEES_SOURCE!$CA63=TRUE,IFERROR(VALUE(LEFT(DONNEES_SOURCE!$U63,1)),DONNEES_SOURCE!$U63),"")</f>
        <v>3</v>
      </c>
      <c r="Y64" t="str">
        <f>IF(DONNEES_SOURCE!$CA63=TRUE,DONNEES_SOURCE!$BZ63,"")</f>
        <v>Associe</v>
      </c>
    </row>
    <row r="65" spans="1:25" x14ac:dyDescent="0.25">
      <c r="K65" t="b">
        <f>DONNEES_SOURCE!$CA$64</f>
        <v>1</v>
      </c>
      <c r="L65">
        <f>DONNEES_SOURCE!$CB$64</f>
        <v>3</v>
      </c>
      <c r="M65">
        <f>IFERROR(VALUE(LEFT(DONNEES_SOURCE!$O$64,1)),"")</f>
        <v>5</v>
      </c>
      <c r="N65">
        <f>IFERROR(VALUE(LEFT(DONNEES_SOURCE!$P$64,1)),"")</f>
        <v>5</v>
      </c>
      <c r="O65">
        <f>IFERROR(VALUE(LEFT(DONNEES_SOURCE!$Q$64,1)),"")</f>
        <v>5</v>
      </c>
      <c r="P65">
        <f>IFERROR(VALUE(LEFT(DONNEES_SOURCE!$Y$64,1)),"")</f>
        <v>5</v>
      </c>
      <c r="Q65">
        <f>IFERROR(VALUE(LEFT(DONNEES_SOURCE!$Z$64,1)),"")</f>
        <v>5</v>
      </c>
      <c r="R65">
        <f>IFERROR(VALUE(LEFT(DONNEES_SOURCE!$AA$64,1)),"")</f>
        <v>4</v>
      </c>
      <c r="S65">
        <f>DONNEES_SOURCE!$BU$64</f>
        <v>4.0316999999999998</v>
      </c>
      <c r="T65">
        <f>63</f>
        <v>63</v>
      </c>
      <c r="U65">
        <f>IF(DONNEES_SOURCE!$CA64=TRUE,DONNEES_SOURCE!$AI64,"")</f>
        <v>5</v>
      </c>
      <c r="V65">
        <f>IF(DONNEES_SOURCE!$CA64=TRUE,IFERROR(VALUE(LEFT(DONNEES_SOURCE!$S64,1)),DONNEES_SOURCE!$S64),"")</f>
        <v>2</v>
      </c>
      <c r="W65">
        <f>IF(DONNEES_SOURCE!$CA64=TRUE,IFERROR(VALUE(LEFT(DONNEES_SOURCE!$T64,1)),DONNEES_SOURCE!$T64),"")</f>
        <v>4</v>
      </c>
      <c r="X65">
        <f>IF(DONNEES_SOURCE!$CA64=TRUE,IFERROR(VALUE(LEFT(DONNEES_SOURCE!$U64,1)),DONNEES_SOURCE!$U64),"")</f>
        <v>3</v>
      </c>
      <c r="Y65" t="str">
        <f>IF(DONNEES_SOURCE!$CA64=TRUE,DONNEES_SOURCE!$BZ64,"")</f>
        <v>Associe</v>
      </c>
    </row>
    <row r="66" spans="1:25" x14ac:dyDescent="0.25">
      <c r="A66" s="203" t="s">
        <v>730</v>
      </c>
      <c r="K66" t="b">
        <f>DONNEES_SOURCE!$CA$65</f>
        <v>1</v>
      </c>
      <c r="L66">
        <f>DONNEES_SOURCE!$CB$65</f>
        <v>5</v>
      </c>
      <c r="M66">
        <f>IFERROR(VALUE(LEFT(DONNEES_SOURCE!$O$65,1)),"")</f>
        <v>5</v>
      </c>
      <c r="N66">
        <f>IFERROR(VALUE(LEFT(DONNEES_SOURCE!$P$65,1)),"")</f>
        <v>4</v>
      </c>
      <c r="O66">
        <f>IFERROR(VALUE(LEFT(DONNEES_SOURCE!$Q$65,1)),"")</f>
        <v>2</v>
      </c>
      <c r="P66">
        <f>IFERROR(VALUE(LEFT(DONNEES_SOURCE!$Y$65,1)),"")</f>
        <v>5</v>
      </c>
      <c r="Q66">
        <f>IFERROR(VALUE(LEFT(DONNEES_SOURCE!$Z$65,1)),"")</f>
        <v>5</v>
      </c>
      <c r="R66">
        <f>IFERROR(VALUE(LEFT(DONNEES_SOURCE!$AA$65,1)),"")</f>
        <v>4</v>
      </c>
      <c r="S66">
        <f>DONNEES_SOURCE!$BU$65</f>
        <v>3.4921000000000002</v>
      </c>
      <c r="T66">
        <f>64</f>
        <v>64</v>
      </c>
      <c r="U66">
        <f>IF(DONNEES_SOURCE!$CA65=TRUE,DONNEES_SOURCE!$AI65,"")</f>
        <v>6</v>
      </c>
      <c r="V66">
        <f>IF(DONNEES_SOURCE!$CA65=TRUE,IFERROR(VALUE(LEFT(DONNEES_SOURCE!$S65,1)),DONNEES_SOURCE!$S65),"")</f>
        <v>5</v>
      </c>
      <c r="W66">
        <f>IF(DONNEES_SOURCE!$CA65=TRUE,IFERROR(VALUE(LEFT(DONNEES_SOURCE!$T65,1)),DONNEES_SOURCE!$T65),"")</f>
        <v>1</v>
      </c>
      <c r="X66">
        <f>IF(DONNEES_SOURCE!$CA65=TRUE,IFERROR(VALUE(LEFT(DONNEES_SOURCE!$U65,1)),DONNEES_SOURCE!$U65),"")</f>
        <v>2</v>
      </c>
      <c r="Y66" t="str">
        <f>IF(DONNEES_SOURCE!$CA65=TRUE,DONNEES_SOURCE!$BZ65,"")</f>
        <v>Associe</v>
      </c>
    </row>
    <row r="67" spans="1:25" ht="35.1" customHeight="1" x14ac:dyDescent="0.25">
      <c r="A67" s="297" t="s">
        <v>731</v>
      </c>
      <c r="B67" s="254"/>
      <c r="C67" s="254"/>
      <c r="D67" s="254"/>
      <c r="E67" s="254"/>
      <c r="F67" s="254"/>
      <c r="G67" s="254"/>
      <c r="H67" s="254"/>
      <c r="I67" s="254"/>
      <c r="J67" s="254"/>
      <c r="K67" t="b">
        <f>DONNEES_SOURCE!$CA$66</f>
        <v>1</v>
      </c>
      <c r="L67">
        <f>DONNEES_SOURCE!$CB$66</f>
        <v>5</v>
      </c>
      <c r="M67">
        <f>IFERROR(VALUE(LEFT(DONNEES_SOURCE!$O$66,1)),"")</f>
        <v>5</v>
      </c>
      <c r="N67">
        <f>IFERROR(VALUE(LEFT(DONNEES_SOURCE!$P$66,1)),"")</f>
        <v>5</v>
      </c>
      <c r="O67">
        <f>IFERROR(VALUE(LEFT(DONNEES_SOURCE!$Q$66,1)),"")</f>
        <v>5</v>
      </c>
      <c r="P67">
        <f>IFERROR(VALUE(LEFT(DONNEES_SOURCE!$Y$66,1)),"")</f>
        <v>4</v>
      </c>
      <c r="Q67">
        <f>IFERROR(VALUE(LEFT(DONNEES_SOURCE!$Z$66,1)),"")</f>
        <v>4</v>
      </c>
      <c r="R67">
        <f>IFERROR(VALUE(LEFT(DONNEES_SOURCE!$AA$66,1)),"")</f>
        <v>4</v>
      </c>
      <c r="S67">
        <f>DONNEES_SOURCE!$BU$66</f>
        <v>3.6507999999999998</v>
      </c>
      <c r="T67">
        <f>65</f>
        <v>65</v>
      </c>
      <c r="U67">
        <f>IF(DONNEES_SOURCE!$CA66=TRUE,DONNEES_SOURCE!$AI66,"")</f>
        <v>5</v>
      </c>
      <c r="V67">
        <f>IF(DONNEES_SOURCE!$CA66=TRUE,IFERROR(VALUE(LEFT(DONNEES_SOURCE!$S66,1)),DONNEES_SOURCE!$S66),"")</f>
        <v>3</v>
      </c>
      <c r="W67">
        <f>IF(DONNEES_SOURCE!$CA66=TRUE,IFERROR(VALUE(LEFT(DONNEES_SOURCE!$T66,1)),DONNEES_SOURCE!$T66),"")</f>
        <v>3</v>
      </c>
      <c r="X67">
        <f>IF(DONNEES_SOURCE!$CA66=TRUE,IFERROR(VALUE(LEFT(DONNEES_SOURCE!$U66,1)),DONNEES_SOURCE!$U66),"")</f>
        <v>3</v>
      </c>
      <c r="Y67" t="str">
        <f>IF(DONNEES_SOURCE!$CA66=TRUE,DONNEES_SOURCE!$BZ66,"")</f>
        <v>Senior-Manager</v>
      </c>
    </row>
    <row r="68" spans="1:25" x14ac:dyDescent="0.25">
      <c r="A68" s="294" t="s">
        <v>824</v>
      </c>
      <c r="B68" s="254"/>
      <c r="C68" s="254"/>
      <c r="D68" s="254"/>
      <c r="E68" s="254"/>
      <c r="F68" s="254"/>
      <c r="G68" s="254"/>
      <c r="H68" s="254"/>
      <c r="I68" s="254"/>
      <c r="J68" s="254"/>
      <c r="K68" t="b">
        <f>DONNEES_SOURCE!$CA$67</f>
        <v>1</v>
      </c>
      <c r="L68">
        <f>DONNEES_SOURCE!$CB$67</f>
        <v>4</v>
      </c>
      <c r="M68">
        <f>IFERROR(VALUE(LEFT(DONNEES_SOURCE!$O$67,1)),"")</f>
        <v>5</v>
      </c>
      <c r="N68">
        <f>IFERROR(VALUE(LEFT(DONNEES_SOURCE!$P$67,1)),"")</f>
        <v>4</v>
      </c>
      <c r="O68">
        <f>IFERROR(VALUE(LEFT(DONNEES_SOURCE!$Q$67,1)),"")</f>
        <v>4</v>
      </c>
      <c r="P68">
        <f>IFERROR(VALUE(LEFT(DONNEES_SOURCE!$Y$67,1)),"")</f>
        <v>4</v>
      </c>
      <c r="Q68">
        <f>IFERROR(VALUE(LEFT(DONNEES_SOURCE!$Z$67,1)),"")</f>
        <v>3</v>
      </c>
      <c r="R68">
        <f>IFERROR(VALUE(LEFT(DONNEES_SOURCE!$AA$67,1)),"")</f>
        <v>3</v>
      </c>
      <c r="S68">
        <f>DONNEES_SOURCE!$BU$67</f>
        <v>3.3174999999999999</v>
      </c>
      <c r="T68">
        <f>66</f>
        <v>66</v>
      </c>
      <c r="U68">
        <f>IF(DONNEES_SOURCE!$CA67=TRUE,DONNEES_SOURCE!$AI67,"")</f>
        <v>5</v>
      </c>
      <c r="V68">
        <f>IF(DONNEES_SOURCE!$CA67=TRUE,IFERROR(VALUE(LEFT(DONNEES_SOURCE!$S67,1)),DONNEES_SOURCE!$S67),"")</f>
        <v>3</v>
      </c>
      <c r="W68">
        <f>IF(DONNEES_SOURCE!$CA67=TRUE,IFERROR(VALUE(LEFT(DONNEES_SOURCE!$T67,1)),DONNEES_SOURCE!$T67),"")</f>
        <v>3</v>
      </c>
      <c r="X68">
        <f>IF(DONNEES_SOURCE!$CA67=TRUE,IFERROR(VALUE(LEFT(DONNEES_SOURCE!$U67,1)),DONNEES_SOURCE!$U67),"")</f>
        <v>2</v>
      </c>
      <c r="Y68" t="str">
        <f>IF(DONNEES_SOURCE!$CA67=TRUE,DONNEES_SOURCE!$BZ67,"")</f>
        <v>Associe</v>
      </c>
    </row>
    <row r="69" spans="1:25" x14ac:dyDescent="0.25">
      <c r="A69" s="295" t="s">
        <v>825</v>
      </c>
      <c r="B69" s="254"/>
      <c r="C69" s="254"/>
      <c r="D69" s="254"/>
      <c r="E69" s="254"/>
      <c r="F69" s="254"/>
      <c r="G69" s="254"/>
      <c r="H69" s="254"/>
      <c r="I69" s="254"/>
      <c r="J69" s="254"/>
      <c r="K69" t="b">
        <f>DONNEES_SOURCE!$CA$68</f>
        <v>1</v>
      </c>
      <c r="L69">
        <f>DONNEES_SOURCE!$CB$68</f>
        <v>6</v>
      </c>
      <c r="M69">
        <f>IFERROR(VALUE(LEFT(DONNEES_SOURCE!$O$68,1)),"")</f>
        <v>2</v>
      </c>
      <c r="N69">
        <f>IFERROR(VALUE(LEFT(DONNEES_SOURCE!$P$68,1)),"")</f>
        <v>2</v>
      </c>
      <c r="O69">
        <f>IFERROR(VALUE(LEFT(DONNEES_SOURCE!$Q$68,1)),"")</f>
        <v>5</v>
      </c>
      <c r="P69">
        <f>IFERROR(VALUE(LEFT(DONNEES_SOURCE!$Y$68,1)),"")</f>
        <v>3</v>
      </c>
      <c r="Q69">
        <f>IFERROR(VALUE(LEFT(DONNEES_SOURCE!$Z$68,1)),"")</f>
        <v>3</v>
      </c>
      <c r="R69">
        <f>IFERROR(VALUE(LEFT(DONNEES_SOURCE!$AA$68,1)),"")</f>
        <v>5</v>
      </c>
      <c r="S69">
        <f>DONNEES_SOURCE!$BU$68</f>
        <v>3.3809999999999998</v>
      </c>
      <c r="T69">
        <f>67</f>
        <v>67</v>
      </c>
      <c r="U69">
        <f>IF(DONNEES_SOURCE!$CA68=TRUE,DONNEES_SOURCE!$AI68,"")</f>
        <v>7</v>
      </c>
      <c r="V69">
        <f>IF(DONNEES_SOURCE!$CA68=TRUE,IFERROR(VALUE(LEFT(DONNEES_SOURCE!$S68,1)),DONNEES_SOURCE!$S68),"")</f>
        <v>3</v>
      </c>
      <c r="W69">
        <f>IF(DONNEES_SOURCE!$CA68=TRUE,IFERROR(VALUE(LEFT(DONNEES_SOURCE!$T68,1)),DONNEES_SOURCE!$T68),"")</f>
        <v>3</v>
      </c>
      <c r="X69">
        <f>IF(DONNEES_SOURCE!$CA68=TRUE,IFERROR(VALUE(LEFT(DONNEES_SOURCE!$U68,1)),DONNEES_SOURCE!$U68),"")</f>
        <v>3</v>
      </c>
      <c r="Y69" t="str">
        <f>IF(DONNEES_SOURCE!$CA68=TRUE,DONNEES_SOURCE!$BZ68,"")</f>
        <v>Junior</v>
      </c>
    </row>
    <row r="70" spans="1:25" x14ac:dyDescent="0.25">
      <c r="K70">
        <f>DONNEES_SOURCE!$CA$69</f>
        <v>0</v>
      </c>
      <c r="L70">
        <f>DONNEES_SOURCE!$CB$69</f>
        <v>0</v>
      </c>
      <c r="M70" t="str">
        <f>IFERROR(VALUE(LEFT(DONNEES_SOURCE!$O$69,1)),"")</f>
        <v/>
      </c>
      <c r="N70" t="str">
        <f>IFERROR(VALUE(LEFT(DONNEES_SOURCE!$P$69,1)),"")</f>
        <v/>
      </c>
      <c r="O70" t="str">
        <f>IFERROR(VALUE(LEFT(DONNEES_SOURCE!$Q$69,1)),"")</f>
        <v/>
      </c>
      <c r="P70" t="str">
        <f>IFERROR(VALUE(LEFT(DONNEES_SOURCE!$Y$69,1)),"")</f>
        <v/>
      </c>
      <c r="Q70" t="str">
        <f>IFERROR(VALUE(LEFT(DONNEES_SOURCE!$Z$69,1)),"")</f>
        <v/>
      </c>
      <c r="R70" t="str">
        <f>IFERROR(VALUE(LEFT(DONNEES_SOURCE!$AA$69,1)),"")</f>
        <v/>
      </c>
      <c r="S70">
        <f>DONNEES_SOURCE!$BU$69</f>
        <v>0</v>
      </c>
      <c r="T70">
        <f>68</f>
        <v>68</v>
      </c>
      <c r="U70" t="str">
        <f>IF(DONNEES_SOURCE!$CA69=TRUE,DONNEES_SOURCE!$AI69,"")</f>
        <v/>
      </c>
      <c r="V70" t="str">
        <f>IF(DONNEES_SOURCE!$CA69=TRUE,IFERROR(VALUE(LEFT(DONNEES_SOURCE!$S69,1)),DONNEES_SOURCE!$S69),"")</f>
        <v/>
      </c>
      <c r="W70" t="str">
        <f>IF(DONNEES_SOURCE!$CA69=TRUE,IFERROR(VALUE(LEFT(DONNEES_SOURCE!$T69,1)),DONNEES_SOURCE!$T69),"")</f>
        <v/>
      </c>
      <c r="X70" t="str">
        <f>IF(DONNEES_SOURCE!$CA69=TRUE,IFERROR(VALUE(LEFT(DONNEES_SOURCE!$U69,1)),DONNEES_SOURCE!$U69),"")</f>
        <v/>
      </c>
      <c r="Y70" t="str">
        <f>IF(DONNEES_SOURCE!$CA69=TRUE,DONNEES_SOURCE!$BZ69,"")</f>
        <v/>
      </c>
    </row>
    <row r="71" spans="1:25" x14ac:dyDescent="0.25">
      <c r="A71" s="224" t="s">
        <v>709</v>
      </c>
      <c r="B71" s="224" t="s">
        <v>626</v>
      </c>
      <c r="C71" s="224" t="s">
        <v>627</v>
      </c>
      <c r="D71" s="224" t="s">
        <v>628</v>
      </c>
      <c r="E71" s="224" t="s">
        <v>696</v>
      </c>
      <c r="F71" s="224" t="s">
        <v>629</v>
      </c>
      <c r="G71" s="224" t="s">
        <v>697</v>
      </c>
      <c r="H71" s="224" t="s">
        <v>548</v>
      </c>
      <c r="I71" s="224" t="s">
        <v>698</v>
      </c>
      <c r="K71">
        <f>DONNEES_SOURCE!$CA$70</f>
        <v>0</v>
      </c>
      <c r="L71">
        <f>DONNEES_SOURCE!$CB$70</f>
        <v>0</v>
      </c>
      <c r="M71" t="str">
        <f>IFERROR(VALUE(LEFT(DONNEES_SOURCE!$O$70,1)),"")</f>
        <v/>
      </c>
      <c r="N71" t="str">
        <f>IFERROR(VALUE(LEFT(DONNEES_SOURCE!$P$70,1)),"")</f>
        <v/>
      </c>
      <c r="O71" t="str">
        <f>IFERROR(VALUE(LEFT(DONNEES_SOURCE!$Q$70,1)),"")</f>
        <v/>
      </c>
      <c r="P71" t="str">
        <f>IFERROR(VALUE(LEFT(DONNEES_SOURCE!$Y$70,1)),"")</f>
        <v/>
      </c>
      <c r="Q71" t="str">
        <f>IFERROR(VALUE(LEFT(DONNEES_SOURCE!$Z$70,1)),"")</f>
        <v/>
      </c>
      <c r="R71" t="str">
        <f>IFERROR(VALUE(LEFT(DONNEES_SOURCE!$AA$70,1)),"")</f>
        <v/>
      </c>
      <c r="S71">
        <f>DONNEES_SOURCE!$BU$70</f>
        <v>0</v>
      </c>
      <c r="T71">
        <f>69</f>
        <v>69</v>
      </c>
      <c r="U71" t="str">
        <f>IF(DONNEES_SOURCE!$CA70=TRUE,DONNEES_SOURCE!$AI70,"")</f>
        <v/>
      </c>
      <c r="V71" t="str">
        <f>IF(DONNEES_SOURCE!$CA70=TRUE,IFERROR(VALUE(LEFT(DONNEES_SOURCE!$S70,1)),DONNEES_SOURCE!$S70),"")</f>
        <v/>
      </c>
      <c r="W71" t="str">
        <f>IF(DONNEES_SOURCE!$CA70=TRUE,IFERROR(VALUE(LEFT(DONNEES_SOURCE!$T70,1)),DONNEES_SOURCE!$T70),"")</f>
        <v/>
      </c>
      <c r="X71" t="str">
        <f>IF(DONNEES_SOURCE!$CA70=TRUE,IFERROR(VALUE(LEFT(DONNEES_SOURCE!$U70,1)),DONNEES_SOURCE!$U70),"")</f>
        <v/>
      </c>
      <c r="Y71" t="str">
        <f>IF(DONNEES_SOURCE!$CA70=TRUE,DONNEES_SOURCE!$BZ70,"")</f>
        <v/>
      </c>
    </row>
    <row r="72" spans="1:25" x14ac:dyDescent="0.25">
      <c r="A72" t="s">
        <v>826</v>
      </c>
      <c r="B72" t="s">
        <v>820</v>
      </c>
      <c r="C72" t="s">
        <v>498</v>
      </c>
      <c r="D72" cm="1">
        <f t="array" ref="D72">SUMPRODUCT(($K$3:$K$102=TRUE)*($U$3:$U$102&lt;&gt;"")*($L$3:$L$102&lt;&gt;""))</f>
        <v>67</v>
      </c>
      <c r="E72" cm="1">
        <f t="array" ref="E72">CORREL(_xlfn._xlws.FILTER(_xlfn.RANK.AVG($U$3:$U$102,$U$3:$U$102,1),($K$3:$K$102=TRUE)*($U$3:$U$102&lt;&gt;"")*($L$3:$L$102&lt;&gt;"")),_xlfn._xlws.FILTER(_xlfn.RANK.AVG($L$3:$L$102,$L$3:$L$102,1),($K$3:$K$102=TRUE)*($U$3:$U$102&lt;&gt;"")*($L$3:$L$102&lt;&gt;"")))</f>
        <v>0.35469004745301985</v>
      </c>
      <c r="F72">
        <f>E72*SQRT(D72-2)/SQRT(1-E72^2)</f>
        <v>3.0584510144176433</v>
      </c>
      <c r="G72">
        <f>D72-2</f>
        <v>65</v>
      </c>
      <c r="H72">
        <f>_xlfn.T.DIST.2T(ABS(F72),G72)</f>
        <v>3.229311294465533E-3</v>
      </c>
      <c r="I72" t="str">
        <f>IF(H72&lt;0.001,"***",IF(H72&lt;0.01,"**",IF(H72&lt;0.05,"*",IF(H72&lt;0.1,".","NS"))))</f>
        <v>**</v>
      </c>
      <c r="K72">
        <f>DONNEES_SOURCE!$CA$71</f>
        <v>0</v>
      </c>
      <c r="L72">
        <f>DONNEES_SOURCE!$CB$71</f>
        <v>0</v>
      </c>
      <c r="M72" t="str">
        <f>IFERROR(VALUE(LEFT(DONNEES_SOURCE!$O$71,1)),"")</f>
        <v/>
      </c>
      <c r="N72" t="str">
        <f>IFERROR(VALUE(LEFT(DONNEES_SOURCE!$P$71,1)),"")</f>
        <v/>
      </c>
      <c r="O72" t="str">
        <f>IFERROR(VALUE(LEFT(DONNEES_SOURCE!$Q$71,1)),"")</f>
        <v/>
      </c>
      <c r="P72" t="str">
        <f>IFERROR(VALUE(LEFT(DONNEES_SOURCE!$Y$71,1)),"")</f>
        <v/>
      </c>
      <c r="Q72" t="str">
        <f>IFERROR(VALUE(LEFT(DONNEES_SOURCE!$Z$71,1)),"")</f>
        <v/>
      </c>
      <c r="R72" t="str">
        <f>IFERROR(VALUE(LEFT(DONNEES_SOURCE!$AA$71,1)),"")</f>
        <v/>
      </c>
      <c r="S72">
        <f>DONNEES_SOURCE!$BU$71</f>
        <v>0</v>
      </c>
      <c r="T72">
        <f>70</f>
        <v>70</v>
      </c>
      <c r="U72" t="str">
        <f>IF(DONNEES_SOURCE!$CA71=TRUE,DONNEES_SOURCE!$AI71,"")</f>
        <v/>
      </c>
      <c r="V72" t="str">
        <f>IF(DONNEES_SOURCE!$CA71=TRUE,IFERROR(VALUE(LEFT(DONNEES_SOURCE!$S71,1)),DONNEES_SOURCE!$S71),"")</f>
        <v/>
      </c>
      <c r="W72" t="str">
        <f>IF(DONNEES_SOURCE!$CA71=TRUE,IFERROR(VALUE(LEFT(DONNEES_SOURCE!$T71,1)),DONNEES_SOURCE!$T71),"")</f>
        <v/>
      </c>
      <c r="X72" t="str">
        <f>IF(DONNEES_SOURCE!$CA71=TRUE,IFERROR(VALUE(LEFT(DONNEES_SOURCE!$U71,1)),DONNEES_SOURCE!$U71),"")</f>
        <v/>
      </c>
      <c r="Y72" t="str">
        <f>IF(DONNEES_SOURCE!$CA71=TRUE,DONNEES_SOURCE!$BZ71,"")</f>
        <v/>
      </c>
    </row>
    <row r="73" spans="1:25" x14ac:dyDescent="0.25">
      <c r="A73" t="s">
        <v>827</v>
      </c>
      <c r="B73" t="s">
        <v>821</v>
      </c>
      <c r="C73" t="s">
        <v>498</v>
      </c>
      <c r="D73" cm="1">
        <f t="array" ref="D73">SUMPRODUCT(($K$3:$K$102=TRUE)*($V$3:$V$102&lt;&gt;"")*($L$3:$L$102&lt;&gt;""))</f>
        <v>67</v>
      </c>
      <c r="E73" cm="1">
        <f t="array" ref="E73">CORREL(_xlfn._xlws.FILTER(_xlfn.RANK.AVG($V$3:$V$102,$V$3:$V$102,1),($K$3:$K$102=TRUE)*($V$3:$V$102&lt;&gt;"")*($L$3:$L$102&lt;&gt;"")),_xlfn._xlws.FILTER(_xlfn.RANK.AVG($L$3:$L$102,$L$3:$L$102,1),($K$3:$K$102=TRUE)*($V$3:$V$102&lt;&gt;"")*($L$3:$L$102&lt;&gt;"")))</f>
        <v>0.40656549097410499</v>
      </c>
      <c r="F73">
        <f>E73*SQRT(D73-2)/SQRT(1-E73^2)</f>
        <v>3.5877387699230265</v>
      </c>
      <c r="G73">
        <f>D73-2</f>
        <v>65</v>
      </c>
      <c r="H73">
        <f>_xlfn.T.DIST.2T(ABS(F73),G73)</f>
        <v>6.4016136684537633E-4</v>
      </c>
      <c r="I73" t="str">
        <f>IF(H73&lt;0.001,"***",IF(H73&lt;0.01,"**",IF(H73&lt;0.05,"*",IF(H73&lt;0.1,".","NS"))))</f>
        <v>***</v>
      </c>
      <c r="K73">
        <f>DONNEES_SOURCE!$CA$72</f>
        <v>0</v>
      </c>
      <c r="L73">
        <f>DONNEES_SOURCE!$CB$72</f>
        <v>0</v>
      </c>
      <c r="M73" t="str">
        <f>IFERROR(VALUE(LEFT(DONNEES_SOURCE!$O$72,1)),"")</f>
        <v/>
      </c>
      <c r="N73" t="str">
        <f>IFERROR(VALUE(LEFT(DONNEES_SOURCE!$P$72,1)),"")</f>
        <v/>
      </c>
      <c r="O73" t="str">
        <f>IFERROR(VALUE(LEFT(DONNEES_SOURCE!$Q$72,1)),"")</f>
        <v/>
      </c>
      <c r="P73" t="str">
        <f>IFERROR(VALUE(LEFT(DONNEES_SOURCE!$Y$72,1)),"")</f>
        <v/>
      </c>
      <c r="Q73" t="str">
        <f>IFERROR(VALUE(LEFT(DONNEES_SOURCE!$Z$72,1)),"")</f>
        <v/>
      </c>
      <c r="R73" t="str">
        <f>IFERROR(VALUE(LEFT(DONNEES_SOURCE!$AA$72,1)),"")</f>
        <v/>
      </c>
      <c r="S73">
        <f>DONNEES_SOURCE!$BU$72</f>
        <v>0</v>
      </c>
      <c r="T73">
        <f>71</f>
        <v>71</v>
      </c>
      <c r="U73" t="str">
        <f>IF(DONNEES_SOURCE!$CA72=TRUE,DONNEES_SOURCE!$AI72,"")</f>
        <v/>
      </c>
      <c r="V73" t="str">
        <f>IF(DONNEES_SOURCE!$CA72=TRUE,IFERROR(VALUE(LEFT(DONNEES_SOURCE!$S72,1)),DONNEES_SOURCE!$S72),"")</f>
        <v/>
      </c>
      <c r="W73" t="str">
        <f>IF(DONNEES_SOURCE!$CA72=TRUE,IFERROR(VALUE(LEFT(DONNEES_SOURCE!$T72,1)),DONNEES_SOURCE!$T72),"")</f>
        <v/>
      </c>
      <c r="X73" t="str">
        <f>IF(DONNEES_SOURCE!$CA72=TRUE,IFERROR(VALUE(LEFT(DONNEES_SOURCE!$U72,1)),DONNEES_SOURCE!$U72),"")</f>
        <v/>
      </c>
      <c r="Y73" t="str">
        <f>IF(DONNEES_SOURCE!$CA72=TRUE,DONNEES_SOURCE!$BZ72,"")</f>
        <v/>
      </c>
    </row>
    <row r="74" spans="1:25" x14ac:dyDescent="0.25">
      <c r="A74" t="s">
        <v>828</v>
      </c>
      <c r="B74" t="s">
        <v>822</v>
      </c>
      <c r="C74" t="s">
        <v>498</v>
      </c>
      <c r="D74" cm="1">
        <f t="array" ref="D74">SUMPRODUCT(($K$3:$K$102=TRUE)*($W$3:$W$102&lt;&gt;"")*($L$3:$L$102&lt;&gt;""))</f>
        <v>67</v>
      </c>
      <c r="E74" cm="1">
        <f t="array" ref="E74">CORREL(_xlfn._xlws.FILTER(_xlfn.RANK.AVG($W$3:$W$102,$W$3:$W$102,1),($K$3:$K$102=TRUE)*($W$3:$W$102&lt;&gt;"")*($L$3:$L$102&lt;&gt;"")),_xlfn._xlws.FILTER(_xlfn.RANK.AVG($L$3:$L$102,$L$3:$L$102,1),($K$3:$K$102=TRUE)*($W$3:$W$102&lt;&gt;"")*($L$3:$L$102&lt;&gt;"")))</f>
        <v>-4.5866002655107527E-2</v>
      </c>
      <c r="F74">
        <f>E74*SQRT(D74-2)/SQRT(1-E74^2)</f>
        <v>-0.37017310504762374</v>
      </c>
      <c r="G74">
        <f>D74-2</f>
        <v>65</v>
      </c>
      <c r="H74">
        <f>_xlfn.T.DIST.2T(ABS(F74),G74)</f>
        <v>0.71245699651065864</v>
      </c>
      <c r="I74" t="str">
        <f>IF(H74&lt;0.001,"***",IF(H74&lt;0.01,"**",IF(H74&lt;0.05,"*",IF(H74&lt;0.1,".","NS"))))</f>
        <v>NS</v>
      </c>
      <c r="K74">
        <f>DONNEES_SOURCE!$CA$73</f>
        <v>0</v>
      </c>
      <c r="L74">
        <f>DONNEES_SOURCE!$CB$73</f>
        <v>0</v>
      </c>
      <c r="M74" t="str">
        <f>IFERROR(VALUE(LEFT(DONNEES_SOURCE!$O$73,1)),"")</f>
        <v/>
      </c>
      <c r="N74" t="str">
        <f>IFERROR(VALUE(LEFT(DONNEES_SOURCE!$P$73,1)),"")</f>
        <v/>
      </c>
      <c r="O74" t="str">
        <f>IFERROR(VALUE(LEFT(DONNEES_SOURCE!$Q$73,1)),"")</f>
        <v/>
      </c>
      <c r="P74" t="str">
        <f>IFERROR(VALUE(LEFT(DONNEES_SOURCE!$Y$73,1)),"")</f>
        <v/>
      </c>
      <c r="Q74" t="str">
        <f>IFERROR(VALUE(LEFT(DONNEES_SOURCE!$Z$73,1)),"")</f>
        <v/>
      </c>
      <c r="R74" t="str">
        <f>IFERROR(VALUE(LEFT(DONNEES_SOURCE!$AA$73,1)),"")</f>
        <v/>
      </c>
      <c r="S74">
        <f>DONNEES_SOURCE!$BU$73</f>
        <v>0</v>
      </c>
      <c r="T74">
        <f>72</f>
        <v>72</v>
      </c>
      <c r="U74" t="str">
        <f>IF(DONNEES_SOURCE!$CA73=TRUE,DONNEES_SOURCE!$AI73,"")</f>
        <v/>
      </c>
      <c r="V74" t="str">
        <f>IF(DONNEES_SOURCE!$CA73=TRUE,IFERROR(VALUE(LEFT(DONNEES_SOURCE!$S73,1)),DONNEES_SOURCE!$S73),"")</f>
        <v/>
      </c>
      <c r="W74" t="str">
        <f>IF(DONNEES_SOURCE!$CA73=TRUE,IFERROR(VALUE(LEFT(DONNEES_SOURCE!$T73,1)),DONNEES_SOURCE!$T73),"")</f>
        <v/>
      </c>
      <c r="X74" t="str">
        <f>IF(DONNEES_SOURCE!$CA73=TRUE,IFERROR(VALUE(LEFT(DONNEES_SOURCE!$U73,1)),DONNEES_SOURCE!$U73),"")</f>
        <v/>
      </c>
      <c r="Y74" t="str">
        <f>IF(DONNEES_SOURCE!$CA73=TRUE,DONNEES_SOURCE!$BZ73,"")</f>
        <v/>
      </c>
    </row>
    <row r="75" spans="1:25" x14ac:dyDescent="0.25">
      <c r="A75" t="s">
        <v>829</v>
      </c>
      <c r="B75" t="s">
        <v>823</v>
      </c>
      <c r="C75" t="s">
        <v>498</v>
      </c>
      <c r="D75" cm="1">
        <f t="array" ref="D75">SUMPRODUCT(($K$3:$K$102=TRUE)*($X$3:$X$102&lt;&gt;"")*($L$3:$L$102&lt;&gt;""))</f>
        <v>67</v>
      </c>
      <c r="E75" cm="1">
        <f t="array" ref="E75">CORREL(_xlfn._xlws.FILTER(_xlfn.RANK.AVG($X$3:$X$102,$X$3:$X$102,1),($K$3:$K$102=TRUE)*($X$3:$X$102&lt;&gt;"")*($L$3:$L$102&lt;&gt;"")),_xlfn._xlws.FILTER(_xlfn.RANK.AVG($L$3:$L$102,$L$3:$L$102,1),($K$3:$K$102=TRUE)*($X$3:$X$102&lt;&gt;"")*($L$3:$L$102&lt;&gt;"")))</f>
        <v>9.4808610681856892E-2</v>
      </c>
      <c r="F75">
        <f>E75*SQRT(D75-2)/SQRT(1-E75^2)</f>
        <v>0.76783013270816414</v>
      </c>
      <c r="G75">
        <f>D75-2</f>
        <v>65</v>
      </c>
      <c r="H75">
        <f>_xlfn.T.DIST.2T(ABS(F75),G75)</f>
        <v>0.44536856954803083</v>
      </c>
      <c r="I75" t="str">
        <f>IF(H75&lt;0.001,"***",IF(H75&lt;0.01,"**",IF(H75&lt;0.05,"*",IF(H75&lt;0.1,".","NS"))))</f>
        <v>NS</v>
      </c>
      <c r="K75">
        <f>DONNEES_SOURCE!$CA$74</f>
        <v>0</v>
      </c>
      <c r="L75">
        <f>DONNEES_SOURCE!$CB$74</f>
        <v>0</v>
      </c>
      <c r="M75" t="str">
        <f>IFERROR(VALUE(LEFT(DONNEES_SOURCE!$O$74,1)),"")</f>
        <v/>
      </c>
      <c r="N75" t="str">
        <f>IFERROR(VALUE(LEFT(DONNEES_SOURCE!$P$74,1)),"")</f>
        <v/>
      </c>
      <c r="O75" t="str">
        <f>IFERROR(VALUE(LEFT(DONNEES_SOURCE!$Q$74,1)),"")</f>
        <v/>
      </c>
      <c r="P75" t="str">
        <f>IFERROR(VALUE(LEFT(DONNEES_SOURCE!$Y$74,1)),"")</f>
        <v/>
      </c>
      <c r="Q75" t="str">
        <f>IFERROR(VALUE(LEFT(DONNEES_SOURCE!$Z$74,1)),"")</f>
        <v/>
      </c>
      <c r="R75" t="str">
        <f>IFERROR(VALUE(LEFT(DONNEES_SOURCE!$AA$74,1)),"")</f>
        <v/>
      </c>
      <c r="S75">
        <f>DONNEES_SOURCE!$BU$74</f>
        <v>0</v>
      </c>
      <c r="T75">
        <f>73</f>
        <v>73</v>
      </c>
      <c r="U75" t="str">
        <f>IF(DONNEES_SOURCE!$CA74=TRUE,DONNEES_SOURCE!$AI74,"")</f>
        <v/>
      </c>
      <c r="V75" t="str">
        <f>IF(DONNEES_SOURCE!$CA74=TRUE,IFERROR(VALUE(LEFT(DONNEES_SOURCE!$S74,1)),DONNEES_SOURCE!$S74),"")</f>
        <v/>
      </c>
      <c r="W75" t="str">
        <f>IF(DONNEES_SOURCE!$CA74=TRUE,IFERROR(VALUE(LEFT(DONNEES_SOURCE!$T74,1)),DONNEES_SOURCE!$T74),"")</f>
        <v/>
      </c>
      <c r="X75" t="str">
        <f>IF(DONNEES_SOURCE!$CA74=TRUE,IFERROR(VALUE(LEFT(DONNEES_SOURCE!$U74,1)),DONNEES_SOURCE!$U74),"")</f>
        <v/>
      </c>
      <c r="Y75" t="str">
        <f>IF(DONNEES_SOURCE!$CA74=TRUE,DONNEES_SOURCE!$BZ74,"")</f>
        <v/>
      </c>
    </row>
    <row r="76" spans="1:25" x14ac:dyDescent="0.25">
      <c r="K76">
        <f>DONNEES_SOURCE!$CA$75</f>
        <v>0</v>
      </c>
      <c r="L76">
        <f>DONNEES_SOURCE!$CB$75</f>
        <v>0</v>
      </c>
      <c r="M76" t="str">
        <f>IFERROR(VALUE(LEFT(DONNEES_SOURCE!$O$75,1)),"")</f>
        <v/>
      </c>
      <c r="N76" t="str">
        <f>IFERROR(VALUE(LEFT(DONNEES_SOURCE!$P$75,1)),"")</f>
        <v/>
      </c>
      <c r="O76" t="str">
        <f>IFERROR(VALUE(LEFT(DONNEES_SOURCE!$Q$75,1)),"")</f>
        <v/>
      </c>
      <c r="P76" t="str">
        <f>IFERROR(VALUE(LEFT(DONNEES_SOURCE!$Y$75,1)),"")</f>
        <v/>
      </c>
      <c r="Q76" t="str">
        <f>IFERROR(VALUE(LEFT(DONNEES_SOURCE!$Z$75,1)),"")</f>
        <v/>
      </c>
      <c r="R76" t="str">
        <f>IFERROR(VALUE(LEFT(DONNEES_SOURCE!$AA$75,1)),"")</f>
        <v/>
      </c>
      <c r="S76">
        <f>DONNEES_SOURCE!$BU$75</f>
        <v>0</v>
      </c>
      <c r="T76">
        <f>74</f>
        <v>74</v>
      </c>
      <c r="U76" t="str">
        <f>IF(DONNEES_SOURCE!$CA75=TRUE,DONNEES_SOURCE!$AI75,"")</f>
        <v/>
      </c>
      <c r="V76" t="str">
        <f>IF(DONNEES_SOURCE!$CA75=TRUE,IFERROR(VALUE(LEFT(DONNEES_SOURCE!$S75,1)),DONNEES_SOURCE!$S75),"")</f>
        <v/>
      </c>
      <c r="W76" t="str">
        <f>IF(DONNEES_SOURCE!$CA75=TRUE,IFERROR(VALUE(LEFT(DONNEES_SOURCE!$T75,1)),DONNEES_SOURCE!$T75),"")</f>
        <v/>
      </c>
      <c r="X76" t="str">
        <f>IF(DONNEES_SOURCE!$CA75=TRUE,IFERROR(VALUE(LEFT(DONNEES_SOURCE!$U75,1)),DONNEES_SOURCE!$U75),"")</f>
        <v/>
      </c>
      <c r="Y76" t="str">
        <f>IF(DONNEES_SOURCE!$CA75=TRUE,DONNEES_SOURCE!$BZ75,"")</f>
        <v/>
      </c>
    </row>
    <row r="77" spans="1:25" x14ac:dyDescent="0.25">
      <c r="K77">
        <f>DONNEES_SOURCE!$CA$76</f>
        <v>0</v>
      </c>
      <c r="L77">
        <f>DONNEES_SOURCE!$CB$76</f>
        <v>0</v>
      </c>
      <c r="M77" t="str">
        <f>IFERROR(VALUE(LEFT(DONNEES_SOURCE!$O$76,1)),"")</f>
        <v/>
      </c>
      <c r="N77" t="str">
        <f>IFERROR(VALUE(LEFT(DONNEES_SOURCE!$P$76,1)),"")</f>
        <v/>
      </c>
      <c r="O77" t="str">
        <f>IFERROR(VALUE(LEFT(DONNEES_SOURCE!$Q$76,1)),"")</f>
        <v/>
      </c>
      <c r="P77" t="str">
        <f>IFERROR(VALUE(LEFT(DONNEES_SOURCE!$Y$76,1)),"")</f>
        <v/>
      </c>
      <c r="Q77" t="str">
        <f>IFERROR(VALUE(LEFT(DONNEES_SOURCE!$Z$76,1)),"")</f>
        <v/>
      </c>
      <c r="R77" t="str">
        <f>IFERROR(VALUE(LEFT(DONNEES_SOURCE!$AA$76,1)),"")</f>
        <v/>
      </c>
      <c r="S77">
        <f>DONNEES_SOURCE!$BU$76</f>
        <v>0</v>
      </c>
      <c r="T77">
        <f>75</f>
        <v>75</v>
      </c>
      <c r="U77" t="str">
        <f>IF(DONNEES_SOURCE!$CA76=TRUE,DONNEES_SOURCE!$AI76,"")</f>
        <v/>
      </c>
      <c r="V77" t="str">
        <f>IF(DONNEES_SOURCE!$CA76=TRUE,IFERROR(VALUE(LEFT(DONNEES_SOURCE!$S76,1)),DONNEES_SOURCE!$S76),"")</f>
        <v/>
      </c>
      <c r="W77" t="str">
        <f>IF(DONNEES_SOURCE!$CA76=TRUE,IFERROR(VALUE(LEFT(DONNEES_SOURCE!$T76,1)),DONNEES_SOURCE!$T76),"")</f>
        <v/>
      </c>
      <c r="X77" t="str">
        <f>IF(DONNEES_SOURCE!$CA76=TRUE,IFERROR(VALUE(LEFT(DONNEES_SOURCE!$U76,1)),DONNEES_SOURCE!$U76),"")</f>
        <v/>
      </c>
      <c r="Y77" t="str">
        <f>IF(DONNEES_SOURCE!$CA76=TRUE,DONNEES_SOURCE!$BZ76,"")</f>
        <v/>
      </c>
    </row>
    <row r="78" spans="1:25" x14ac:dyDescent="0.25">
      <c r="A78" s="294" t="s">
        <v>830</v>
      </c>
      <c r="B78" s="254"/>
      <c r="C78" s="254"/>
      <c r="D78" s="254"/>
      <c r="E78" s="254"/>
      <c r="F78" s="254"/>
      <c r="G78" s="254"/>
      <c r="H78" s="254"/>
      <c r="I78" s="254"/>
      <c r="J78" s="254"/>
      <c r="K78">
        <f>DONNEES_SOURCE!$CA$77</f>
        <v>0</v>
      </c>
      <c r="L78">
        <f>DONNEES_SOURCE!$CB$77</f>
        <v>0</v>
      </c>
      <c r="M78" t="str">
        <f>IFERROR(VALUE(LEFT(DONNEES_SOURCE!$O$77,1)),"")</f>
        <v/>
      </c>
      <c r="N78" t="str">
        <f>IFERROR(VALUE(LEFT(DONNEES_SOURCE!$P$77,1)),"")</f>
        <v/>
      </c>
      <c r="O78" t="str">
        <f>IFERROR(VALUE(LEFT(DONNEES_SOURCE!$Q$77,1)),"")</f>
        <v/>
      </c>
      <c r="P78" t="str">
        <f>IFERROR(VALUE(LEFT(DONNEES_SOURCE!$Y$77,1)),"")</f>
        <v/>
      </c>
      <c r="Q78" t="str">
        <f>IFERROR(VALUE(LEFT(DONNEES_SOURCE!$Z$77,1)),"")</f>
        <v/>
      </c>
      <c r="R78" t="str">
        <f>IFERROR(VALUE(LEFT(DONNEES_SOURCE!$AA$77,1)),"")</f>
        <v/>
      </c>
      <c r="S78">
        <f>DONNEES_SOURCE!$BU$77</f>
        <v>0</v>
      </c>
      <c r="T78">
        <f>76</f>
        <v>76</v>
      </c>
      <c r="U78" t="str">
        <f>IF(DONNEES_SOURCE!$CA77=TRUE,DONNEES_SOURCE!$AI77,"")</f>
        <v/>
      </c>
      <c r="V78" t="str">
        <f>IF(DONNEES_SOURCE!$CA77=TRUE,IFERROR(VALUE(LEFT(DONNEES_SOURCE!$S77,1)),DONNEES_SOURCE!$S77),"")</f>
        <v/>
      </c>
      <c r="W78" t="str">
        <f>IF(DONNEES_SOURCE!$CA77=TRUE,IFERROR(VALUE(LEFT(DONNEES_SOURCE!$T77,1)),DONNEES_SOURCE!$T77),"")</f>
        <v/>
      </c>
      <c r="X78" t="str">
        <f>IF(DONNEES_SOURCE!$CA77=TRUE,IFERROR(VALUE(LEFT(DONNEES_SOURCE!$U77,1)),DONNEES_SOURCE!$U77),"")</f>
        <v/>
      </c>
      <c r="Y78" t="str">
        <f>IF(DONNEES_SOURCE!$CA77=TRUE,DONNEES_SOURCE!$BZ77,"")</f>
        <v/>
      </c>
    </row>
    <row r="79" spans="1:25" x14ac:dyDescent="0.25">
      <c r="A79" s="295" t="s">
        <v>831</v>
      </c>
      <c r="B79" s="254"/>
      <c r="C79" s="254"/>
      <c r="D79" s="254"/>
      <c r="E79" s="254"/>
      <c r="F79" s="254"/>
      <c r="G79" s="254"/>
      <c r="H79" s="254"/>
      <c r="I79" s="254"/>
      <c r="J79" s="254"/>
      <c r="K79">
        <f>DONNEES_SOURCE!$CA$78</f>
        <v>0</v>
      </c>
      <c r="L79">
        <f>DONNEES_SOURCE!$CB$78</f>
        <v>0</v>
      </c>
      <c r="M79" t="str">
        <f>IFERROR(VALUE(LEFT(DONNEES_SOURCE!$O$78,1)),"")</f>
        <v/>
      </c>
      <c r="N79" t="str">
        <f>IFERROR(VALUE(LEFT(DONNEES_SOURCE!$P$78,1)),"")</f>
        <v/>
      </c>
      <c r="O79" t="str">
        <f>IFERROR(VALUE(LEFT(DONNEES_SOURCE!$Q$78,1)),"")</f>
        <v/>
      </c>
      <c r="P79" t="str">
        <f>IFERROR(VALUE(LEFT(DONNEES_SOURCE!$Y$78,1)),"")</f>
        <v/>
      </c>
      <c r="Q79" t="str">
        <f>IFERROR(VALUE(LEFT(DONNEES_SOURCE!$Z$78,1)),"")</f>
        <v/>
      </c>
      <c r="R79" t="str">
        <f>IFERROR(VALUE(LEFT(DONNEES_SOURCE!$AA$78,1)),"")</f>
        <v/>
      </c>
      <c r="S79">
        <f>DONNEES_SOURCE!$BU$78</f>
        <v>0</v>
      </c>
      <c r="T79">
        <f>77</f>
        <v>77</v>
      </c>
      <c r="U79" t="str">
        <f>IF(DONNEES_SOURCE!$CA78=TRUE,DONNEES_SOURCE!$AI78,"")</f>
        <v/>
      </c>
      <c r="V79" t="str">
        <f>IF(DONNEES_SOURCE!$CA78=TRUE,IFERROR(VALUE(LEFT(DONNEES_SOURCE!$S78,1)),DONNEES_SOURCE!$S78),"")</f>
        <v/>
      </c>
      <c r="W79" t="str">
        <f>IF(DONNEES_SOURCE!$CA78=TRUE,IFERROR(VALUE(LEFT(DONNEES_SOURCE!$T78,1)),DONNEES_SOURCE!$T78),"")</f>
        <v/>
      </c>
      <c r="X79" t="str">
        <f>IF(DONNEES_SOURCE!$CA78=TRUE,IFERROR(VALUE(LEFT(DONNEES_SOURCE!$U78,1)),DONNEES_SOURCE!$U78),"")</f>
        <v/>
      </c>
      <c r="Y79" t="str">
        <f>IF(DONNEES_SOURCE!$CA78=TRUE,DONNEES_SOURCE!$BZ78,"")</f>
        <v/>
      </c>
    </row>
    <row r="80" spans="1:25" x14ac:dyDescent="0.25">
      <c r="K80">
        <f>DONNEES_SOURCE!$CA$79</f>
        <v>0</v>
      </c>
      <c r="L80">
        <f>DONNEES_SOURCE!$CB$79</f>
        <v>0</v>
      </c>
      <c r="M80" t="str">
        <f>IFERROR(VALUE(LEFT(DONNEES_SOURCE!$O$79,1)),"")</f>
        <v/>
      </c>
      <c r="N80" t="str">
        <f>IFERROR(VALUE(LEFT(DONNEES_SOURCE!$P$79,1)),"")</f>
        <v/>
      </c>
      <c r="O80" t="str">
        <f>IFERROR(VALUE(LEFT(DONNEES_SOURCE!$Q$79,1)),"")</f>
        <v/>
      </c>
      <c r="P80" t="str">
        <f>IFERROR(VALUE(LEFT(DONNEES_SOURCE!$Y$79,1)),"")</f>
        <v/>
      </c>
      <c r="Q80" t="str">
        <f>IFERROR(VALUE(LEFT(DONNEES_SOURCE!$Z$79,1)),"")</f>
        <v/>
      </c>
      <c r="R80" t="str">
        <f>IFERROR(VALUE(LEFT(DONNEES_SOURCE!$AA$79,1)),"")</f>
        <v/>
      </c>
      <c r="S80">
        <f>DONNEES_SOURCE!$BU$79</f>
        <v>0</v>
      </c>
      <c r="T80">
        <f>78</f>
        <v>78</v>
      </c>
      <c r="U80" t="str">
        <f>IF(DONNEES_SOURCE!$CA79=TRUE,DONNEES_SOURCE!$AI79,"")</f>
        <v/>
      </c>
      <c r="V80" t="str">
        <f>IF(DONNEES_SOURCE!$CA79=TRUE,IFERROR(VALUE(LEFT(DONNEES_SOURCE!$S79,1)),DONNEES_SOURCE!$S79),"")</f>
        <v/>
      </c>
      <c r="W80" t="str">
        <f>IF(DONNEES_SOURCE!$CA79=TRUE,IFERROR(VALUE(LEFT(DONNEES_SOURCE!$T79,1)),DONNEES_SOURCE!$T79),"")</f>
        <v/>
      </c>
      <c r="X80" t="str">
        <f>IF(DONNEES_SOURCE!$CA79=TRUE,IFERROR(VALUE(LEFT(DONNEES_SOURCE!$U79,1)),DONNEES_SOURCE!$U79),"")</f>
        <v/>
      </c>
      <c r="Y80" t="str">
        <f>IF(DONNEES_SOURCE!$CA79=TRUE,DONNEES_SOURCE!$BZ79,"")</f>
        <v/>
      </c>
    </row>
    <row r="81" spans="1:25" x14ac:dyDescent="0.25">
      <c r="A81" s="241" t="s">
        <v>690</v>
      </c>
      <c r="B81" s="241" t="s">
        <v>695</v>
      </c>
      <c r="C81" s="241" t="s">
        <v>379</v>
      </c>
      <c r="D81" s="241" t="s">
        <v>696</v>
      </c>
      <c r="E81" s="241" t="s">
        <v>629</v>
      </c>
      <c r="F81" s="241" t="s">
        <v>697</v>
      </c>
      <c r="G81" s="241" t="s">
        <v>548</v>
      </c>
      <c r="H81" s="241" t="s">
        <v>698</v>
      </c>
      <c r="I81" s="224" t="s">
        <v>435</v>
      </c>
      <c r="K81">
        <f>DONNEES_SOURCE!$CA$80</f>
        <v>0</v>
      </c>
      <c r="L81">
        <f>DONNEES_SOURCE!$CB$80</f>
        <v>0</v>
      </c>
      <c r="M81" t="str">
        <f>IFERROR(VALUE(LEFT(DONNEES_SOURCE!$O$80,1)),"")</f>
        <v/>
      </c>
      <c r="N81" t="str">
        <f>IFERROR(VALUE(LEFT(DONNEES_SOURCE!$P$80,1)),"")</f>
        <v/>
      </c>
      <c r="O81" t="str">
        <f>IFERROR(VALUE(LEFT(DONNEES_SOURCE!$Q$80,1)),"")</f>
        <v/>
      </c>
      <c r="P81" t="str">
        <f>IFERROR(VALUE(LEFT(DONNEES_SOURCE!$Y$80,1)),"")</f>
        <v/>
      </c>
      <c r="Q81" t="str">
        <f>IFERROR(VALUE(LEFT(DONNEES_SOURCE!$Z$80,1)),"")</f>
        <v/>
      </c>
      <c r="R81" t="str">
        <f>IFERROR(VALUE(LEFT(DONNEES_SOURCE!$AA$80,1)),"")</f>
        <v/>
      </c>
      <c r="S81">
        <f>DONNEES_SOURCE!$BU$80</f>
        <v>0</v>
      </c>
      <c r="T81">
        <f>79</f>
        <v>79</v>
      </c>
      <c r="U81" t="str">
        <f>IF(DONNEES_SOURCE!$CA80=TRUE,DONNEES_SOURCE!$AI80,"")</f>
        <v/>
      </c>
      <c r="V81" t="str">
        <f>IF(DONNEES_SOURCE!$CA80=TRUE,IFERROR(VALUE(LEFT(DONNEES_SOURCE!$S80,1)),DONNEES_SOURCE!$S80),"")</f>
        <v/>
      </c>
      <c r="W81" t="str">
        <f>IF(DONNEES_SOURCE!$CA80=TRUE,IFERROR(VALUE(LEFT(DONNEES_SOURCE!$T80,1)),DONNEES_SOURCE!$T80),"")</f>
        <v/>
      </c>
      <c r="X81" t="str">
        <f>IF(DONNEES_SOURCE!$CA80=TRUE,IFERROR(VALUE(LEFT(DONNEES_SOURCE!$U80,1)),DONNEES_SOURCE!$U80),"")</f>
        <v/>
      </c>
      <c r="Y81" t="str">
        <f>IF(DONNEES_SOURCE!$CA80=TRUE,DONNEES_SOURCE!$BZ80,"")</f>
        <v/>
      </c>
    </row>
    <row r="82" spans="1:25" x14ac:dyDescent="0.25">
      <c r="A82" s="193" t="s">
        <v>140</v>
      </c>
      <c r="B82" s="193" t="s">
        <v>832</v>
      </c>
      <c r="C82" s="193" cm="1">
        <f t="array" ref="C82">SUMPRODUCT(($K$3:$K$102=TRUE)*($Y$3:$Y$102="Junior")*($S$3:$S$102&lt;&gt;"")*($L$3:$L$102&lt;&gt;""))</f>
        <v>32</v>
      </c>
      <c r="D82" s="195" cm="1">
        <f t="array" ref="D82">IFERROR(CORREL(_xlfn._xlws.FILTER(_xlfn.RANK.AVG($S$3:$S$102,$S$3:$S$102,1),($K$3:$K$102=TRUE)*($Y$3:$Y$102="Junior")*($S$3:$S$102&lt;&gt;"")*($L$3:$L$102&lt;&gt;"")),_xlfn._xlws.FILTER(_xlfn.RANK.AVG($L$3:$L$102,$L$3:$L$102,1),($K$3:$K$102=TRUE)*($Y$3:$Y$102="Junior")*($S$3:$S$102&lt;&gt;"")*($L$3:$L$102&lt;&gt;""))),0)</f>
        <v>0.22454809540313245</v>
      </c>
      <c r="E82" s="195">
        <f>IF(C82&gt;2,D82*SQRT(C82-2)/SQRT(1-D82^2),0)</f>
        <v>1.262131616688057</v>
      </c>
      <c r="F82" s="195">
        <f>C82-2</f>
        <v>30</v>
      </c>
      <c r="G82" s="195">
        <f>IF(F82&gt;0,_xlfn.T.DIST.2T(ABS(E82),F82),1)</f>
        <v>0.2166256839890518</v>
      </c>
      <c r="H82" s="195" t="str">
        <f>IF(G82&lt;0.001,"***",IF(G82&lt;0.01,"**",IF(G82&lt;0.05,"*",IF(G82&lt;0.1,".","NS"))))</f>
        <v>NS</v>
      </c>
      <c r="I82" t="s">
        <v>833</v>
      </c>
      <c r="K82">
        <f>DONNEES_SOURCE!$CA$81</f>
        <v>0</v>
      </c>
      <c r="L82">
        <f>DONNEES_SOURCE!$CB$81</f>
        <v>0</v>
      </c>
      <c r="M82" t="str">
        <f>IFERROR(VALUE(LEFT(DONNEES_SOURCE!$O$81,1)),"")</f>
        <v/>
      </c>
      <c r="N82" t="str">
        <f>IFERROR(VALUE(LEFT(DONNEES_SOURCE!$P$81,1)),"")</f>
        <v/>
      </c>
      <c r="O82" t="str">
        <f>IFERROR(VALUE(LEFT(DONNEES_SOURCE!$Q$81,1)),"")</f>
        <v/>
      </c>
      <c r="P82" t="str">
        <f>IFERROR(VALUE(LEFT(DONNEES_SOURCE!$Y$81,1)),"")</f>
        <v/>
      </c>
      <c r="Q82" t="str">
        <f>IFERROR(VALUE(LEFT(DONNEES_SOURCE!$Z$81,1)),"")</f>
        <v/>
      </c>
      <c r="R82" t="str">
        <f>IFERROR(VALUE(LEFT(DONNEES_SOURCE!$AA$81,1)),"")</f>
        <v/>
      </c>
      <c r="S82">
        <f>DONNEES_SOURCE!$BU$81</f>
        <v>0</v>
      </c>
      <c r="T82">
        <f>80</f>
        <v>80</v>
      </c>
      <c r="U82" t="str">
        <f>IF(DONNEES_SOURCE!$CA81=TRUE,DONNEES_SOURCE!$AI81,"")</f>
        <v/>
      </c>
      <c r="V82" t="str">
        <f>IF(DONNEES_SOURCE!$CA81=TRUE,IFERROR(VALUE(LEFT(DONNEES_SOURCE!$S81,1)),DONNEES_SOURCE!$S81),"")</f>
        <v/>
      </c>
      <c r="W82" t="str">
        <f>IF(DONNEES_SOURCE!$CA81=TRUE,IFERROR(VALUE(LEFT(DONNEES_SOURCE!$T81,1)),DONNEES_SOURCE!$T81),"")</f>
        <v/>
      </c>
      <c r="X82" t="str">
        <f>IF(DONNEES_SOURCE!$CA81=TRUE,IFERROR(VALUE(LEFT(DONNEES_SOURCE!$U81,1)),DONNEES_SOURCE!$U81),"")</f>
        <v/>
      </c>
      <c r="Y82" t="str">
        <f>IF(DONNEES_SOURCE!$CA81=TRUE,DONNEES_SOURCE!$BZ81,"")</f>
        <v/>
      </c>
    </row>
    <row r="83" spans="1:25" x14ac:dyDescent="0.25">
      <c r="A83" s="193" t="s">
        <v>373</v>
      </c>
      <c r="B83" s="193" t="s">
        <v>832</v>
      </c>
      <c r="C83" s="193" cm="1">
        <f t="array" ref="C83">SUMPRODUCT(($K$3:$K$102=TRUE)*($Y$3:$Y$102="Senior-Manager")*($S$3:$S$102&lt;&gt;"")*($L$3:$L$102&lt;&gt;""))</f>
        <v>17</v>
      </c>
      <c r="D83" s="195" cm="1">
        <f t="array" ref="D83">IFERROR(CORREL(_xlfn._xlws.FILTER(_xlfn.RANK.AVG($S$3:$S$102,$S$3:$S$102,1),($K$3:$K$102=TRUE)*($Y$3:$Y$102="Senior-Manager")*($S$3:$S$102&lt;&gt;"")*($L$3:$L$102&lt;&gt;"")),_xlfn._xlws.FILTER(_xlfn.RANK.AVG($L$3:$L$102,$L$3:$L$102,1),($K$3:$K$102=TRUE)*($Y$3:$Y$102="Senior-Manager")*($S$3:$S$102&lt;&gt;"")*($L$3:$L$102&lt;&gt;""))),0)</f>
        <v>0.2388920684418257</v>
      </c>
      <c r="E83" s="195">
        <f>IF(C83&gt;2,D83*SQRT(C83-2)/SQRT(1-D83^2),0)</f>
        <v>0.95281261872405143</v>
      </c>
      <c r="F83" s="195">
        <f>C83-2</f>
        <v>15</v>
      </c>
      <c r="G83" s="195">
        <f>IF(F83&gt;0,_xlfn.T.DIST.2T(ABS(E83),F83),1)</f>
        <v>0.35578775115790928</v>
      </c>
      <c r="H83" s="195" t="str">
        <f>IF(G83&lt;0.001,"***",IF(G83&lt;0.01,"**",IF(G83&lt;0.05,"*",IF(G83&lt;0.1,".","NS"))))</f>
        <v>NS</v>
      </c>
      <c r="I83" t="s">
        <v>834</v>
      </c>
      <c r="K83">
        <f>DONNEES_SOURCE!$CA$82</f>
        <v>0</v>
      </c>
      <c r="L83">
        <f>DONNEES_SOURCE!$CB$82</f>
        <v>0</v>
      </c>
      <c r="M83" t="str">
        <f>IFERROR(VALUE(LEFT(DONNEES_SOURCE!$O$82,1)),"")</f>
        <v/>
      </c>
      <c r="N83" t="str">
        <f>IFERROR(VALUE(LEFT(DONNEES_SOURCE!$P$82,1)),"")</f>
        <v/>
      </c>
      <c r="O83" t="str">
        <f>IFERROR(VALUE(LEFT(DONNEES_SOURCE!$Q$82,1)),"")</f>
        <v/>
      </c>
      <c r="P83" t="str">
        <f>IFERROR(VALUE(LEFT(DONNEES_SOURCE!$Y$82,1)),"")</f>
        <v/>
      </c>
      <c r="Q83" t="str">
        <f>IFERROR(VALUE(LEFT(DONNEES_SOURCE!$Z$82,1)),"")</f>
        <v/>
      </c>
      <c r="R83" t="str">
        <f>IFERROR(VALUE(LEFT(DONNEES_SOURCE!$AA$82,1)),"")</f>
        <v/>
      </c>
      <c r="S83">
        <f>DONNEES_SOURCE!$BU$82</f>
        <v>0</v>
      </c>
      <c r="T83">
        <f>81</f>
        <v>81</v>
      </c>
      <c r="U83" t="str">
        <f>IF(DONNEES_SOURCE!$CA82=TRUE,DONNEES_SOURCE!$AI82,"")</f>
        <v/>
      </c>
      <c r="V83" t="str">
        <f>IF(DONNEES_SOURCE!$CA82=TRUE,IFERROR(VALUE(LEFT(DONNEES_SOURCE!$S82,1)),DONNEES_SOURCE!$S82),"")</f>
        <v/>
      </c>
      <c r="W83" t="str">
        <f>IF(DONNEES_SOURCE!$CA82=TRUE,IFERROR(VALUE(LEFT(DONNEES_SOURCE!$T82,1)),DONNEES_SOURCE!$T82),"")</f>
        <v/>
      </c>
      <c r="X83" t="str">
        <f>IF(DONNEES_SOURCE!$CA82=TRUE,IFERROR(VALUE(LEFT(DONNEES_SOURCE!$U82,1)),DONNEES_SOURCE!$U82),"")</f>
        <v/>
      </c>
      <c r="Y83" t="str">
        <f>IF(DONNEES_SOURCE!$CA82=TRUE,DONNEES_SOURCE!$BZ82,"")</f>
        <v/>
      </c>
    </row>
    <row r="84" spans="1:25" x14ac:dyDescent="0.25">
      <c r="A84" s="193" t="s">
        <v>196</v>
      </c>
      <c r="B84" s="193" t="s">
        <v>832</v>
      </c>
      <c r="C84" s="193" cm="1">
        <f t="array" ref="C84">SUMPRODUCT(($K$3:$K$102=TRUE)*($Y$3:$Y$102="Associe")*($S$3:$S$102&lt;&gt;"")*($L$3:$L$102&lt;&gt;""))</f>
        <v>18</v>
      </c>
      <c r="D84" s="195" cm="1">
        <f t="array" ref="D84">IFERROR(CORREL(_xlfn._xlws.FILTER(_xlfn.RANK.AVG($S$3:$S$102,$S$3:$S$102,1),($K$3:$K$102=TRUE)*($Y$3:$Y$102="Associe")*($S$3:$S$102&lt;&gt;"")*($L$3:$L$102&lt;&gt;"")),_xlfn._xlws.FILTER(_xlfn.RANK.AVG($L$3:$L$102,$L$3:$L$102,1),($K$3:$K$102=TRUE)*($Y$3:$Y$102="Associe")*($S$3:$S$102&lt;&gt;"")*($L$3:$L$102&lt;&gt;""))),0)</f>
        <v>-5.4519061998595415E-2</v>
      </c>
      <c r="E84" s="195">
        <f>IF(C84&gt;2,D84*SQRT(C84-2)/SQRT(1-D84^2),0)</f>
        <v>-0.21840106936301235</v>
      </c>
      <c r="F84" s="195">
        <f>C84-2</f>
        <v>16</v>
      </c>
      <c r="G84" s="195">
        <f>IF(F84&gt;0,_xlfn.T.DIST.2T(ABS(E84),F84),1)</f>
        <v>0.82987794090699485</v>
      </c>
      <c r="H84" s="195" t="str">
        <f>IF(G84&lt;0.001,"***",IF(G84&lt;0.01,"**",IF(G84&lt;0.05,"*",IF(G84&lt;0.1,".","NS"))))</f>
        <v>NS</v>
      </c>
      <c r="I84" t="s">
        <v>835</v>
      </c>
      <c r="K84">
        <f>DONNEES_SOURCE!$CA$83</f>
        <v>0</v>
      </c>
      <c r="L84">
        <f>DONNEES_SOURCE!$CB$83</f>
        <v>0</v>
      </c>
      <c r="M84" t="str">
        <f>IFERROR(VALUE(LEFT(DONNEES_SOURCE!$O$83,1)),"")</f>
        <v/>
      </c>
      <c r="N84" t="str">
        <f>IFERROR(VALUE(LEFT(DONNEES_SOURCE!$P$83,1)),"")</f>
        <v/>
      </c>
      <c r="O84" t="str">
        <f>IFERROR(VALUE(LEFT(DONNEES_SOURCE!$Q$83,1)),"")</f>
        <v/>
      </c>
      <c r="P84" t="str">
        <f>IFERROR(VALUE(LEFT(DONNEES_SOURCE!$Y$83,1)),"")</f>
        <v/>
      </c>
      <c r="Q84" t="str">
        <f>IFERROR(VALUE(LEFT(DONNEES_SOURCE!$Z$83,1)),"")</f>
        <v/>
      </c>
      <c r="R84" t="str">
        <f>IFERROR(VALUE(LEFT(DONNEES_SOURCE!$AA$83,1)),"")</f>
        <v/>
      </c>
      <c r="S84">
        <f>DONNEES_SOURCE!$BU$83</f>
        <v>0</v>
      </c>
      <c r="T84">
        <f>82</f>
        <v>82</v>
      </c>
      <c r="U84" t="str">
        <f>IF(DONNEES_SOURCE!$CA83=TRUE,DONNEES_SOURCE!$AI83,"")</f>
        <v/>
      </c>
      <c r="V84" t="str">
        <f>IF(DONNEES_SOURCE!$CA83=TRUE,IFERROR(VALUE(LEFT(DONNEES_SOURCE!$S83,1)),DONNEES_SOURCE!$S83),"")</f>
        <v/>
      </c>
      <c r="W84" t="str">
        <f>IF(DONNEES_SOURCE!$CA83=TRUE,IFERROR(VALUE(LEFT(DONNEES_SOURCE!$T83,1)),DONNEES_SOURCE!$T83),"")</f>
        <v/>
      </c>
      <c r="X84" t="str">
        <f>IF(DONNEES_SOURCE!$CA83=TRUE,IFERROR(VALUE(LEFT(DONNEES_SOURCE!$U83,1)),DONNEES_SOURCE!$U83),"")</f>
        <v/>
      </c>
      <c r="Y84" t="str">
        <f>IF(DONNEES_SOURCE!$CA83=TRUE,DONNEES_SOURCE!$BZ83,"")</f>
        <v/>
      </c>
    </row>
    <row r="85" spans="1:25" x14ac:dyDescent="0.25">
      <c r="K85">
        <f>DONNEES_SOURCE!$CA$84</f>
        <v>0</v>
      </c>
      <c r="L85">
        <f>DONNEES_SOURCE!$CB$84</f>
        <v>0</v>
      </c>
      <c r="M85" t="str">
        <f>IFERROR(VALUE(LEFT(DONNEES_SOURCE!$O$84,1)),"")</f>
        <v/>
      </c>
      <c r="N85" t="str">
        <f>IFERROR(VALUE(LEFT(DONNEES_SOURCE!$P$84,1)),"")</f>
        <v/>
      </c>
      <c r="O85" t="str">
        <f>IFERROR(VALUE(LEFT(DONNEES_SOURCE!$Q$84,1)),"")</f>
        <v/>
      </c>
      <c r="P85" t="str">
        <f>IFERROR(VALUE(LEFT(DONNEES_SOURCE!$Y$84,1)),"")</f>
        <v/>
      </c>
      <c r="Q85" t="str">
        <f>IFERROR(VALUE(LEFT(DONNEES_SOURCE!$Z$84,1)),"")</f>
        <v/>
      </c>
      <c r="R85" t="str">
        <f>IFERROR(VALUE(LEFT(DONNEES_SOURCE!$AA$84,1)),"")</f>
        <v/>
      </c>
      <c r="S85">
        <f>DONNEES_SOURCE!$BU$84</f>
        <v>0</v>
      </c>
      <c r="T85">
        <f>83</f>
        <v>83</v>
      </c>
      <c r="U85" t="str">
        <f>IF(DONNEES_SOURCE!$CA84=TRUE,DONNEES_SOURCE!$AI84,"")</f>
        <v/>
      </c>
      <c r="V85" t="str">
        <f>IF(DONNEES_SOURCE!$CA84=TRUE,IFERROR(VALUE(LEFT(DONNEES_SOURCE!$S84,1)),DONNEES_SOURCE!$S84),"")</f>
        <v/>
      </c>
      <c r="W85" t="str">
        <f>IF(DONNEES_SOURCE!$CA84=TRUE,IFERROR(VALUE(LEFT(DONNEES_SOURCE!$T84,1)),DONNEES_SOURCE!$T84),"")</f>
        <v/>
      </c>
      <c r="X85" t="str">
        <f>IF(DONNEES_SOURCE!$CA84=TRUE,IFERROR(VALUE(LEFT(DONNEES_SOURCE!$U84,1)),DONNEES_SOURCE!$U84),"")</f>
        <v/>
      </c>
      <c r="Y85" t="str">
        <f>IF(DONNEES_SOURCE!$CA84=TRUE,DONNEES_SOURCE!$BZ84,"")</f>
        <v/>
      </c>
    </row>
    <row r="86" spans="1:25" x14ac:dyDescent="0.25">
      <c r="K86">
        <f>DONNEES_SOURCE!$CA$85</f>
        <v>0</v>
      </c>
      <c r="L86">
        <f>DONNEES_SOURCE!$CB$85</f>
        <v>0</v>
      </c>
      <c r="M86" t="str">
        <f>IFERROR(VALUE(LEFT(DONNEES_SOURCE!$O$85,1)),"")</f>
        <v/>
      </c>
      <c r="N86" t="str">
        <f>IFERROR(VALUE(LEFT(DONNEES_SOURCE!$P$85,1)),"")</f>
        <v/>
      </c>
      <c r="O86" t="str">
        <f>IFERROR(VALUE(LEFT(DONNEES_SOURCE!$Q$85,1)),"")</f>
        <v/>
      </c>
      <c r="P86" t="str">
        <f>IFERROR(VALUE(LEFT(DONNEES_SOURCE!$Y$85,1)),"")</f>
        <v/>
      </c>
      <c r="Q86" t="str">
        <f>IFERROR(VALUE(LEFT(DONNEES_SOURCE!$Z$85,1)),"")</f>
        <v/>
      </c>
      <c r="R86" t="str">
        <f>IFERROR(VALUE(LEFT(DONNEES_SOURCE!$AA$85,1)),"")</f>
        <v/>
      </c>
      <c r="S86">
        <f>DONNEES_SOURCE!$BU$85</f>
        <v>0</v>
      </c>
      <c r="T86">
        <f>84</f>
        <v>84</v>
      </c>
      <c r="U86" t="str">
        <f>IF(DONNEES_SOURCE!$CA85=TRUE,DONNEES_SOURCE!$AI85,"")</f>
        <v/>
      </c>
      <c r="V86" t="str">
        <f>IF(DONNEES_SOURCE!$CA85=TRUE,IFERROR(VALUE(LEFT(DONNEES_SOURCE!$S85,1)),DONNEES_SOURCE!$S85),"")</f>
        <v/>
      </c>
      <c r="W86" t="str">
        <f>IF(DONNEES_SOURCE!$CA85=TRUE,IFERROR(VALUE(LEFT(DONNEES_SOURCE!$T85,1)),DONNEES_SOURCE!$T85),"")</f>
        <v/>
      </c>
      <c r="X86" t="str">
        <f>IF(DONNEES_SOURCE!$CA85=TRUE,IFERROR(VALUE(LEFT(DONNEES_SOURCE!$U85,1)),DONNEES_SOURCE!$U85),"")</f>
        <v/>
      </c>
      <c r="Y86" t="str">
        <f>IF(DONNEES_SOURCE!$CA85=TRUE,DONNEES_SOURCE!$BZ85,"")</f>
        <v/>
      </c>
    </row>
    <row r="87" spans="1:25" x14ac:dyDescent="0.25">
      <c r="K87">
        <f>DONNEES_SOURCE!$CA$86</f>
        <v>0</v>
      </c>
      <c r="L87">
        <f>DONNEES_SOURCE!$CB$86</f>
        <v>0</v>
      </c>
      <c r="M87" t="str">
        <f>IFERROR(VALUE(LEFT(DONNEES_SOURCE!$O$86,1)),"")</f>
        <v/>
      </c>
      <c r="N87" t="str">
        <f>IFERROR(VALUE(LEFT(DONNEES_SOURCE!$P$86,1)),"")</f>
        <v/>
      </c>
      <c r="O87" t="str">
        <f>IFERROR(VALUE(LEFT(DONNEES_SOURCE!$Q$86,1)),"")</f>
        <v/>
      </c>
      <c r="P87" t="str">
        <f>IFERROR(VALUE(LEFT(DONNEES_SOURCE!$Y$86,1)),"")</f>
        <v/>
      </c>
      <c r="Q87" t="str">
        <f>IFERROR(VALUE(LEFT(DONNEES_SOURCE!$Z$86,1)),"")</f>
        <v/>
      </c>
      <c r="R87" t="str">
        <f>IFERROR(VALUE(LEFT(DONNEES_SOURCE!$AA$86,1)),"")</f>
        <v/>
      </c>
      <c r="S87">
        <f>DONNEES_SOURCE!$BU$86</f>
        <v>0</v>
      </c>
      <c r="T87">
        <f>85</f>
        <v>85</v>
      </c>
      <c r="U87" t="str">
        <f>IF(DONNEES_SOURCE!$CA86=TRUE,DONNEES_SOURCE!$AI86,"")</f>
        <v/>
      </c>
      <c r="V87" t="str">
        <f>IF(DONNEES_SOURCE!$CA86=TRUE,IFERROR(VALUE(LEFT(DONNEES_SOURCE!$S86,1)),DONNEES_SOURCE!$S86),"")</f>
        <v/>
      </c>
      <c r="W87" t="str">
        <f>IF(DONNEES_SOURCE!$CA86=TRUE,IFERROR(VALUE(LEFT(DONNEES_SOURCE!$T86,1)),DONNEES_SOURCE!$T86),"")</f>
        <v/>
      </c>
      <c r="X87" t="str">
        <f>IF(DONNEES_SOURCE!$CA86=TRUE,IFERROR(VALUE(LEFT(DONNEES_SOURCE!$U86,1)),DONNEES_SOURCE!$U86),"")</f>
        <v/>
      </c>
      <c r="Y87" t="str">
        <f>IF(DONNEES_SOURCE!$CA86=TRUE,DONNEES_SOURCE!$BZ86,"")</f>
        <v/>
      </c>
    </row>
    <row r="88" spans="1:25" x14ac:dyDescent="0.25">
      <c r="K88">
        <f>DONNEES_SOURCE!$CA$87</f>
        <v>0</v>
      </c>
      <c r="L88">
        <f>DONNEES_SOURCE!$CB$87</f>
        <v>0</v>
      </c>
      <c r="M88" t="str">
        <f>IFERROR(VALUE(LEFT(DONNEES_SOURCE!$O$87,1)),"")</f>
        <v/>
      </c>
      <c r="N88" t="str">
        <f>IFERROR(VALUE(LEFT(DONNEES_SOURCE!$P$87,1)),"")</f>
        <v/>
      </c>
      <c r="O88" t="str">
        <f>IFERROR(VALUE(LEFT(DONNEES_SOURCE!$Q$87,1)),"")</f>
        <v/>
      </c>
      <c r="P88" t="str">
        <f>IFERROR(VALUE(LEFT(DONNEES_SOURCE!$Y$87,1)),"")</f>
        <v/>
      </c>
      <c r="Q88" t="str">
        <f>IFERROR(VALUE(LEFT(DONNEES_SOURCE!$Z$87,1)),"")</f>
        <v/>
      </c>
      <c r="R88" t="str">
        <f>IFERROR(VALUE(LEFT(DONNEES_SOURCE!$AA$87,1)),"")</f>
        <v/>
      </c>
      <c r="S88">
        <f>DONNEES_SOURCE!$BU$87</f>
        <v>0</v>
      </c>
      <c r="T88">
        <f>86</f>
        <v>86</v>
      </c>
      <c r="U88" t="str">
        <f>IF(DONNEES_SOURCE!$CA87=TRUE,DONNEES_SOURCE!$AI87,"")</f>
        <v/>
      </c>
      <c r="V88" t="str">
        <f>IF(DONNEES_SOURCE!$CA87=TRUE,IFERROR(VALUE(LEFT(DONNEES_SOURCE!$S87,1)),DONNEES_SOURCE!$S87),"")</f>
        <v/>
      </c>
      <c r="W88" t="str">
        <f>IF(DONNEES_SOURCE!$CA87=TRUE,IFERROR(VALUE(LEFT(DONNEES_SOURCE!$T87,1)),DONNEES_SOURCE!$T87),"")</f>
        <v/>
      </c>
      <c r="X88" t="str">
        <f>IF(DONNEES_SOURCE!$CA87=TRUE,IFERROR(VALUE(LEFT(DONNEES_SOURCE!$U87,1)),DONNEES_SOURCE!$U87),"")</f>
        <v/>
      </c>
      <c r="Y88" t="str">
        <f>IF(DONNEES_SOURCE!$CA87=TRUE,DONNEES_SOURCE!$BZ87,"")</f>
        <v/>
      </c>
    </row>
    <row r="89" spans="1:25" x14ac:dyDescent="0.25">
      <c r="K89">
        <f>DONNEES_SOURCE!$CA$88</f>
        <v>0</v>
      </c>
      <c r="L89">
        <f>DONNEES_SOURCE!$CB$88</f>
        <v>0</v>
      </c>
      <c r="M89" t="str">
        <f>IFERROR(VALUE(LEFT(DONNEES_SOURCE!$O$88,1)),"")</f>
        <v/>
      </c>
      <c r="N89" t="str">
        <f>IFERROR(VALUE(LEFT(DONNEES_SOURCE!$P$88,1)),"")</f>
        <v/>
      </c>
      <c r="O89" t="str">
        <f>IFERROR(VALUE(LEFT(DONNEES_SOURCE!$Q$88,1)),"")</f>
        <v/>
      </c>
      <c r="P89" t="str">
        <f>IFERROR(VALUE(LEFT(DONNEES_SOURCE!$Y$88,1)),"")</f>
        <v/>
      </c>
      <c r="Q89" t="str">
        <f>IFERROR(VALUE(LEFT(DONNEES_SOURCE!$Z$88,1)),"")</f>
        <v/>
      </c>
      <c r="R89" t="str">
        <f>IFERROR(VALUE(LEFT(DONNEES_SOURCE!$AA$88,1)),"")</f>
        <v/>
      </c>
      <c r="S89">
        <f>DONNEES_SOURCE!$BU$88</f>
        <v>0</v>
      </c>
      <c r="T89">
        <f>87</f>
        <v>87</v>
      </c>
      <c r="U89" t="str">
        <f>IF(DONNEES_SOURCE!$CA88=TRUE,DONNEES_SOURCE!$AI88,"")</f>
        <v/>
      </c>
      <c r="V89" t="str">
        <f>IF(DONNEES_SOURCE!$CA88=TRUE,IFERROR(VALUE(LEFT(DONNEES_SOURCE!$S88,1)),DONNEES_SOURCE!$S88),"")</f>
        <v/>
      </c>
      <c r="W89" t="str">
        <f>IF(DONNEES_SOURCE!$CA88=TRUE,IFERROR(VALUE(LEFT(DONNEES_SOURCE!$T88,1)),DONNEES_SOURCE!$T88),"")</f>
        <v/>
      </c>
      <c r="X89" t="str">
        <f>IF(DONNEES_SOURCE!$CA88=TRUE,IFERROR(VALUE(LEFT(DONNEES_SOURCE!$U88,1)),DONNEES_SOURCE!$U88),"")</f>
        <v/>
      </c>
      <c r="Y89" t="str">
        <f>IF(DONNEES_SOURCE!$CA88=TRUE,DONNEES_SOURCE!$BZ88,"")</f>
        <v/>
      </c>
    </row>
    <row r="90" spans="1:25" x14ac:dyDescent="0.25">
      <c r="K90">
        <f>DONNEES_SOURCE!$CA$89</f>
        <v>0</v>
      </c>
      <c r="L90">
        <f>DONNEES_SOURCE!$CB$89</f>
        <v>0</v>
      </c>
      <c r="M90" t="str">
        <f>IFERROR(VALUE(LEFT(DONNEES_SOURCE!$O$89,1)),"")</f>
        <v/>
      </c>
      <c r="N90" t="str">
        <f>IFERROR(VALUE(LEFT(DONNEES_SOURCE!$P$89,1)),"")</f>
        <v/>
      </c>
      <c r="O90" t="str">
        <f>IFERROR(VALUE(LEFT(DONNEES_SOURCE!$Q$89,1)),"")</f>
        <v/>
      </c>
      <c r="P90" t="str">
        <f>IFERROR(VALUE(LEFT(DONNEES_SOURCE!$Y$89,1)),"")</f>
        <v/>
      </c>
      <c r="Q90" t="str">
        <f>IFERROR(VALUE(LEFT(DONNEES_SOURCE!$Z$89,1)),"")</f>
        <v/>
      </c>
      <c r="R90" t="str">
        <f>IFERROR(VALUE(LEFT(DONNEES_SOURCE!$AA$89,1)),"")</f>
        <v/>
      </c>
      <c r="S90">
        <f>DONNEES_SOURCE!$BU$89</f>
        <v>0</v>
      </c>
      <c r="T90">
        <f>88</f>
        <v>88</v>
      </c>
      <c r="U90" t="str">
        <f>IF(DONNEES_SOURCE!$CA89=TRUE,DONNEES_SOURCE!$AI89,"")</f>
        <v/>
      </c>
      <c r="V90" t="str">
        <f>IF(DONNEES_SOURCE!$CA89=TRUE,IFERROR(VALUE(LEFT(DONNEES_SOURCE!$S89,1)),DONNEES_SOURCE!$S89),"")</f>
        <v/>
      </c>
      <c r="W90" t="str">
        <f>IF(DONNEES_SOURCE!$CA89=TRUE,IFERROR(VALUE(LEFT(DONNEES_SOURCE!$T89,1)),DONNEES_SOURCE!$T89),"")</f>
        <v/>
      </c>
      <c r="X90" t="str">
        <f>IF(DONNEES_SOURCE!$CA89=TRUE,IFERROR(VALUE(LEFT(DONNEES_SOURCE!$U89,1)),DONNEES_SOURCE!$U89),"")</f>
        <v/>
      </c>
      <c r="Y90" t="str">
        <f>IF(DONNEES_SOURCE!$CA89=TRUE,DONNEES_SOURCE!$BZ89,"")</f>
        <v/>
      </c>
    </row>
    <row r="91" spans="1:25" x14ac:dyDescent="0.25">
      <c r="K91">
        <f>DONNEES_SOURCE!$CA$90</f>
        <v>0</v>
      </c>
      <c r="L91">
        <f>DONNEES_SOURCE!$CB$90</f>
        <v>0</v>
      </c>
      <c r="M91" t="str">
        <f>IFERROR(VALUE(LEFT(DONNEES_SOURCE!$O$90,1)),"")</f>
        <v/>
      </c>
      <c r="N91" t="str">
        <f>IFERROR(VALUE(LEFT(DONNEES_SOURCE!$P$90,1)),"")</f>
        <v/>
      </c>
      <c r="O91" t="str">
        <f>IFERROR(VALUE(LEFT(DONNEES_SOURCE!$Q$90,1)),"")</f>
        <v/>
      </c>
      <c r="P91" t="str">
        <f>IFERROR(VALUE(LEFT(DONNEES_SOURCE!$Y$90,1)),"")</f>
        <v/>
      </c>
      <c r="Q91" t="str">
        <f>IFERROR(VALUE(LEFT(DONNEES_SOURCE!$Z$90,1)),"")</f>
        <v/>
      </c>
      <c r="R91" t="str">
        <f>IFERROR(VALUE(LEFT(DONNEES_SOURCE!$AA$90,1)),"")</f>
        <v/>
      </c>
      <c r="S91">
        <f>DONNEES_SOURCE!$BU$90</f>
        <v>0</v>
      </c>
      <c r="T91">
        <f>89</f>
        <v>89</v>
      </c>
      <c r="U91" t="str">
        <f>IF(DONNEES_SOURCE!$CA90=TRUE,DONNEES_SOURCE!$AI90,"")</f>
        <v/>
      </c>
      <c r="V91" t="str">
        <f>IF(DONNEES_SOURCE!$CA90=TRUE,IFERROR(VALUE(LEFT(DONNEES_SOURCE!$S90,1)),DONNEES_SOURCE!$S90),"")</f>
        <v/>
      </c>
      <c r="W91" t="str">
        <f>IF(DONNEES_SOURCE!$CA90=TRUE,IFERROR(VALUE(LEFT(DONNEES_SOURCE!$T90,1)),DONNEES_SOURCE!$T90),"")</f>
        <v/>
      </c>
      <c r="X91" t="str">
        <f>IF(DONNEES_SOURCE!$CA90=TRUE,IFERROR(VALUE(LEFT(DONNEES_SOURCE!$U90,1)),DONNEES_SOURCE!$U90),"")</f>
        <v/>
      </c>
      <c r="Y91" t="str">
        <f>IF(DONNEES_SOURCE!$CA90=TRUE,DONNEES_SOURCE!$BZ90,"")</f>
        <v/>
      </c>
    </row>
    <row r="92" spans="1:25" x14ac:dyDescent="0.25">
      <c r="K92">
        <f>DONNEES_SOURCE!$CA$91</f>
        <v>0</v>
      </c>
      <c r="L92">
        <f>DONNEES_SOURCE!$CB$91</f>
        <v>0</v>
      </c>
      <c r="M92" t="str">
        <f>IFERROR(VALUE(LEFT(DONNEES_SOURCE!$O$91,1)),"")</f>
        <v/>
      </c>
      <c r="N92" t="str">
        <f>IFERROR(VALUE(LEFT(DONNEES_SOURCE!$P$91,1)),"")</f>
        <v/>
      </c>
      <c r="O92" t="str">
        <f>IFERROR(VALUE(LEFT(DONNEES_SOURCE!$Q$91,1)),"")</f>
        <v/>
      </c>
      <c r="P92" t="str">
        <f>IFERROR(VALUE(LEFT(DONNEES_SOURCE!$Y$91,1)),"")</f>
        <v/>
      </c>
      <c r="Q92" t="str">
        <f>IFERROR(VALUE(LEFT(DONNEES_SOURCE!$Z$91,1)),"")</f>
        <v/>
      </c>
      <c r="R92" t="str">
        <f>IFERROR(VALUE(LEFT(DONNEES_SOURCE!$AA$91,1)),"")</f>
        <v/>
      </c>
      <c r="S92">
        <f>DONNEES_SOURCE!$BU$91</f>
        <v>0</v>
      </c>
      <c r="T92">
        <f>90</f>
        <v>90</v>
      </c>
      <c r="U92" t="str">
        <f>IF(DONNEES_SOURCE!$CA91=TRUE,DONNEES_SOURCE!$AI91,"")</f>
        <v/>
      </c>
      <c r="V92" t="str">
        <f>IF(DONNEES_SOURCE!$CA91=TRUE,IFERROR(VALUE(LEFT(DONNEES_SOURCE!$S91,1)),DONNEES_SOURCE!$S91),"")</f>
        <v/>
      </c>
      <c r="W92" t="str">
        <f>IF(DONNEES_SOURCE!$CA91=TRUE,IFERROR(VALUE(LEFT(DONNEES_SOURCE!$T91,1)),DONNEES_SOURCE!$T91),"")</f>
        <v/>
      </c>
      <c r="X92" t="str">
        <f>IF(DONNEES_SOURCE!$CA91=TRUE,IFERROR(VALUE(LEFT(DONNEES_SOURCE!$U91,1)),DONNEES_SOURCE!$U91),"")</f>
        <v/>
      </c>
      <c r="Y92" t="str">
        <f>IF(DONNEES_SOURCE!$CA91=TRUE,DONNEES_SOURCE!$BZ91,"")</f>
        <v/>
      </c>
    </row>
    <row r="93" spans="1:25" x14ac:dyDescent="0.25">
      <c r="K93">
        <f>DONNEES_SOURCE!$CA$92</f>
        <v>0</v>
      </c>
      <c r="L93">
        <f>DONNEES_SOURCE!$CB$92</f>
        <v>0</v>
      </c>
      <c r="M93" t="str">
        <f>IFERROR(VALUE(LEFT(DONNEES_SOURCE!$O$92,1)),"")</f>
        <v/>
      </c>
      <c r="N93" t="str">
        <f>IFERROR(VALUE(LEFT(DONNEES_SOURCE!$P$92,1)),"")</f>
        <v/>
      </c>
      <c r="O93" t="str">
        <f>IFERROR(VALUE(LEFT(DONNEES_SOURCE!$Q$92,1)),"")</f>
        <v/>
      </c>
      <c r="P93" t="str">
        <f>IFERROR(VALUE(LEFT(DONNEES_SOURCE!$Y$92,1)),"")</f>
        <v/>
      </c>
      <c r="Q93" t="str">
        <f>IFERROR(VALUE(LEFT(DONNEES_SOURCE!$Z$92,1)),"")</f>
        <v/>
      </c>
      <c r="R93" t="str">
        <f>IFERROR(VALUE(LEFT(DONNEES_SOURCE!$AA$92,1)),"")</f>
        <v/>
      </c>
      <c r="S93">
        <f>DONNEES_SOURCE!$BU$92</f>
        <v>0</v>
      </c>
      <c r="T93">
        <f>91</f>
        <v>91</v>
      </c>
      <c r="U93" t="str">
        <f>IF(DONNEES_SOURCE!$CA92=TRUE,DONNEES_SOURCE!$AI92,"")</f>
        <v/>
      </c>
      <c r="V93" t="str">
        <f>IF(DONNEES_SOURCE!$CA92=TRUE,IFERROR(VALUE(LEFT(DONNEES_SOURCE!$S92,1)),DONNEES_SOURCE!$S92),"")</f>
        <v/>
      </c>
      <c r="W93" t="str">
        <f>IF(DONNEES_SOURCE!$CA92=TRUE,IFERROR(VALUE(LEFT(DONNEES_SOURCE!$T92,1)),DONNEES_SOURCE!$T92),"")</f>
        <v/>
      </c>
      <c r="X93" t="str">
        <f>IF(DONNEES_SOURCE!$CA92=TRUE,IFERROR(VALUE(LEFT(DONNEES_SOURCE!$U92,1)),DONNEES_SOURCE!$U92),"")</f>
        <v/>
      </c>
      <c r="Y93" t="str">
        <f>IF(DONNEES_SOURCE!$CA92=TRUE,DONNEES_SOURCE!$BZ92,"")</f>
        <v/>
      </c>
    </row>
    <row r="94" spans="1:25" x14ac:dyDescent="0.25">
      <c r="K94">
        <f>DONNEES_SOURCE!$CA$93</f>
        <v>0</v>
      </c>
      <c r="L94">
        <f>DONNEES_SOURCE!$CB$93</f>
        <v>0</v>
      </c>
      <c r="M94" t="str">
        <f>IFERROR(VALUE(LEFT(DONNEES_SOURCE!$O$93,1)),"")</f>
        <v/>
      </c>
      <c r="N94" t="str">
        <f>IFERROR(VALUE(LEFT(DONNEES_SOURCE!$P$93,1)),"")</f>
        <v/>
      </c>
      <c r="O94" t="str">
        <f>IFERROR(VALUE(LEFT(DONNEES_SOURCE!$Q$93,1)),"")</f>
        <v/>
      </c>
      <c r="P94" t="str">
        <f>IFERROR(VALUE(LEFT(DONNEES_SOURCE!$Y$93,1)),"")</f>
        <v/>
      </c>
      <c r="Q94" t="str">
        <f>IFERROR(VALUE(LEFT(DONNEES_SOURCE!$Z$93,1)),"")</f>
        <v/>
      </c>
      <c r="R94" t="str">
        <f>IFERROR(VALUE(LEFT(DONNEES_SOURCE!$AA$93,1)),"")</f>
        <v/>
      </c>
      <c r="S94">
        <f>DONNEES_SOURCE!$BU$93</f>
        <v>0</v>
      </c>
      <c r="T94">
        <f>92</f>
        <v>92</v>
      </c>
      <c r="U94" t="str">
        <f>IF(DONNEES_SOURCE!$CA93=TRUE,DONNEES_SOURCE!$AI93,"")</f>
        <v/>
      </c>
      <c r="V94" t="str">
        <f>IF(DONNEES_SOURCE!$CA93=TRUE,IFERROR(VALUE(LEFT(DONNEES_SOURCE!$S93,1)),DONNEES_SOURCE!$S93),"")</f>
        <v/>
      </c>
      <c r="W94" t="str">
        <f>IF(DONNEES_SOURCE!$CA93=TRUE,IFERROR(VALUE(LEFT(DONNEES_SOURCE!$T93,1)),DONNEES_SOURCE!$T93),"")</f>
        <v/>
      </c>
      <c r="X94" t="str">
        <f>IF(DONNEES_SOURCE!$CA93=TRUE,IFERROR(VALUE(LEFT(DONNEES_SOURCE!$U93,1)),DONNEES_SOURCE!$U93),"")</f>
        <v/>
      </c>
      <c r="Y94" t="str">
        <f>IF(DONNEES_SOURCE!$CA93=TRUE,DONNEES_SOURCE!$BZ93,"")</f>
        <v/>
      </c>
    </row>
    <row r="95" spans="1:25" x14ac:dyDescent="0.25">
      <c r="K95">
        <f>DONNEES_SOURCE!$CA$94</f>
        <v>0</v>
      </c>
      <c r="L95">
        <f>DONNEES_SOURCE!$CB$94</f>
        <v>0</v>
      </c>
      <c r="M95" t="str">
        <f>IFERROR(VALUE(LEFT(DONNEES_SOURCE!$O$94,1)),"")</f>
        <v/>
      </c>
      <c r="N95" t="str">
        <f>IFERROR(VALUE(LEFT(DONNEES_SOURCE!$P$94,1)),"")</f>
        <v/>
      </c>
      <c r="O95" t="str">
        <f>IFERROR(VALUE(LEFT(DONNEES_SOURCE!$Q$94,1)),"")</f>
        <v/>
      </c>
      <c r="P95" t="str">
        <f>IFERROR(VALUE(LEFT(DONNEES_SOURCE!$Y$94,1)),"")</f>
        <v/>
      </c>
      <c r="Q95" t="str">
        <f>IFERROR(VALUE(LEFT(DONNEES_SOURCE!$Z$94,1)),"")</f>
        <v/>
      </c>
      <c r="R95" t="str">
        <f>IFERROR(VALUE(LEFT(DONNEES_SOURCE!$AA$94,1)),"")</f>
        <v/>
      </c>
      <c r="S95">
        <f>DONNEES_SOURCE!$BU$94</f>
        <v>0</v>
      </c>
      <c r="T95">
        <f>93</f>
        <v>93</v>
      </c>
      <c r="U95" t="str">
        <f>IF(DONNEES_SOURCE!$CA94=TRUE,DONNEES_SOURCE!$AI94,"")</f>
        <v/>
      </c>
      <c r="V95" t="str">
        <f>IF(DONNEES_SOURCE!$CA94=TRUE,IFERROR(VALUE(LEFT(DONNEES_SOURCE!$S94,1)),DONNEES_SOURCE!$S94),"")</f>
        <v/>
      </c>
      <c r="W95" t="str">
        <f>IF(DONNEES_SOURCE!$CA94=TRUE,IFERROR(VALUE(LEFT(DONNEES_SOURCE!$T94,1)),DONNEES_SOURCE!$T94),"")</f>
        <v/>
      </c>
      <c r="X95" t="str">
        <f>IF(DONNEES_SOURCE!$CA94=TRUE,IFERROR(VALUE(LEFT(DONNEES_SOURCE!$U94,1)),DONNEES_SOURCE!$U94),"")</f>
        <v/>
      </c>
      <c r="Y95" t="str">
        <f>IF(DONNEES_SOURCE!$CA94=TRUE,DONNEES_SOURCE!$BZ94,"")</f>
        <v/>
      </c>
    </row>
    <row r="96" spans="1:25" x14ac:dyDescent="0.25">
      <c r="K96">
        <f>DONNEES_SOURCE!$CA$95</f>
        <v>0</v>
      </c>
      <c r="L96">
        <f>DONNEES_SOURCE!$CB$95</f>
        <v>0</v>
      </c>
      <c r="M96" t="str">
        <f>IFERROR(VALUE(LEFT(DONNEES_SOURCE!$O$95,1)),"")</f>
        <v/>
      </c>
      <c r="N96" t="str">
        <f>IFERROR(VALUE(LEFT(DONNEES_SOURCE!$P$95,1)),"")</f>
        <v/>
      </c>
      <c r="O96" t="str">
        <f>IFERROR(VALUE(LEFT(DONNEES_SOURCE!$Q$95,1)),"")</f>
        <v/>
      </c>
      <c r="P96" t="str">
        <f>IFERROR(VALUE(LEFT(DONNEES_SOURCE!$Y$95,1)),"")</f>
        <v/>
      </c>
      <c r="Q96" t="str">
        <f>IFERROR(VALUE(LEFT(DONNEES_SOURCE!$Z$95,1)),"")</f>
        <v/>
      </c>
      <c r="R96" t="str">
        <f>IFERROR(VALUE(LEFT(DONNEES_SOURCE!$AA$95,1)),"")</f>
        <v/>
      </c>
      <c r="S96">
        <f>DONNEES_SOURCE!$BU$95</f>
        <v>0</v>
      </c>
      <c r="T96">
        <f>94</f>
        <v>94</v>
      </c>
      <c r="U96" t="str">
        <f>IF(DONNEES_SOURCE!$CA95=TRUE,DONNEES_SOURCE!$AI95,"")</f>
        <v/>
      </c>
      <c r="V96" t="str">
        <f>IF(DONNEES_SOURCE!$CA95=TRUE,IFERROR(VALUE(LEFT(DONNEES_SOURCE!$S95,1)),DONNEES_SOURCE!$S95),"")</f>
        <v/>
      </c>
      <c r="W96" t="str">
        <f>IF(DONNEES_SOURCE!$CA95=TRUE,IFERROR(VALUE(LEFT(DONNEES_SOURCE!$T95,1)),DONNEES_SOURCE!$T95),"")</f>
        <v/>
      </c>
      <c r="X96" t="str">
        <f>IF(DONNEES_SOURCE!$CA95=TRUE,IFERROR(VALUE(LEFT(DONNEES_SOURCE!$U95,1)),DONNEES_SOURCE!$U95),"")</f>
        <v/>
      </c>
      <c r="Y96" t="str">
        <f>IF(DONNEES_SOURCE!$CA95=TRUE,DONNEES_SOURCE!$BZ95,"")</f>
        <v/>
      </c>
    </row>
    <row r="97" spans="11:25" x14ac:dyDescent="0.25">
      <c r="K97">
        <f>DONNEES_SOURCE!$CA$96</f>
        <v>0</v>
      </c>
      <c r="L97">
        <f>DONNEES_SOURCE!$CB$96</f>
        <v>0</v>
      </c>
      <c r="M97" t="str">
        <f>IFERROR(VALUE(LEFT(DONNEES_SOURCE!$O$96,1)),"")</f>
        <v/>
      </c>
      <c r="N97" t="str">
        <f>IFERROR(VALUE(LEFT(DONNEES_SOURCE!$P$96,1)),"")</f>
        <v/>
      </c>
      <c r="O97" t="str">
        <f>IFERROR(VALUE(LEFT(DONNEES_SOURCE!$Q$96,1)),"")</f>
        <v/>
      </c>
      <c r="P97" t="str">
        <f>IFERROR(VALUE(LEFT(DONNEES_SOURCE!$Y$96,1)),"")</f>
        <v/>
      </c>
      <c r="Q97" t="str">
        <f>IFERROR(VALUE(LEFT(DONNEES_SOURCE!$Z$96,1)),"")</f>
        <v/>
      </c>
      <c r="R97" t="str">
        <f>IFERROR(VALUE(LEFT(DONNEES_SOURCE!$AA$96,1)),"")</f>
        <v/>
      </c>
      <c r="S97">
        <f>DONNEES_SOURCE!$BU$96</f>
        <v>0</v>
      </c>
      <c r="T97">
        <f>95</f>
        <v>95</v>
      </c>
      <c r="U97" t="str">
        <f>IF(DONNEES_SOURCE!$CA96=TRUE,DONNEES_SOURCE!$AI96,"")</f>
        <v/>
      </c>
      <c r="V97" t="str">
        <f>IF(DONNEES_SOURCE!$CA96=TRUE,IFERROR(VALUE(LEFT(DONNEES_SOURCE!$S96,1)),DONNEES_SOURCE!$S96),"")</f>
        <v/>
      </c>
      <c r="W97" t="str">
        <f>IF(DONNEES_SOURCE!$CA96=TRUE,IFERROR(VALUE(LEFT(DONNEES_SOURCE!$T96,1)),DONNEES_SOURCE!$T96),"")</f>
        <v/>
      </c>
      <c r="X97" t="str">
        <f>IF(DONNEES_SOURCE!$CA96=TRUE,IFERROR(VALUE(LEFT(DONNEES_SOURCE!$U96,1)),DONNEES_SOURCE!$U96),"")</f>
        <v/>
      </c>
      <c r="Y97" t="str">
        <f>IF(DONNEES_SOURCE!$CA96=TRUE,DONNEES_SOURCE!$BZ96,"")</f>
        <v/>
      </c>
    </row>
    <row r="98" spans="11:25" x14ac:dyDescent="0.25">
      <c r="K98">
        <f>DONNEES_SOURCE!$CA$97</f>
        <v>0</v>
      </c>
      <c r="L98">
        <f>DONNEES_SOURCE!$CB$97</f>
        <v>0</v>
      </c>
      <c r="M98" t="str">
        <f>IFERROR(VALUE(LEFT(DONNEES_SOURCE!$O$97,1)),"")</f>
        <v/>
      </c>
      <c r="N98" t="str">
        <f>IFERROR(VALUE(LEFT(DONNEES_SOURCE!$P$97,1)),"")</f>
        <v/>
      </c>
      <c r="O98" t="str">
        <f>IFERROR(VALUE(LEFT(DONNEES_SOURCE!$Q$97,1)),"")</f>
        <v/>
      </c>
      <c r="P98" t="str">
        <f>IFERROR(VALUE(LEFT(DONNEES_SOURCE!$Y$97,1)),"")</f>
        <v/>
      </c>
      <c r="Q98" t="str">
        <f>IFERROR(VALUE(LEFT(DONNEES_SOURCE!$Z$97,1)),"")</f>
        <v/>
      </c>
      <c r="R98" t="str">
        <f>IFERROR(VALUE(LEFT(DONNEES_SOURCE!$AA$97,1)),"")</f>
        <v/>
      </c>
      <c r="S98">
        <f>DONNEES_SOURCE!$BU$97</f>
        <v>0</v>
      </c>
      <c r="T98">
        <f>96</f>
        <v>96</v>
      </c>
      <c r="U98" t="str">
        <f>IF(DONNEES_SOURCE!$CA97=TRUE,DONNEES_SOURCE!$AI97,"")</f>
        <v/>
      </c>
      <c r="V98" t="str">
        <f>IF(DONNEES_SOURCE!$CA97=TRUE,IFERROR(VALUE(LEFT(DONNEES_SOURCE!$S97,1)),DONNEES_SOURCE!$S97),"")</f>
        <v/>
      </c>
      <c r="W98" t="str">
        <f>IF(DONNEES_SOURCE!$CA97=TRUE,IFERROR(VALUE(LEFT(DONNEES_SOURCE!$T97,1)),DONNEES_SOURCE!$T97),"")</f>
        <v/>
      </c>
      <c r="X98" t="str">
        <f>IF(DONNEES_SOURCE!$CA97=TRUE,IFERROR(VALUE(LEFT(DONNEES_SOURCE!$U97,1)),DONNEES_SOURCE!$U97),"")</f>
        <v/>
      </c>
      <c r="Y98" t="str">
        <f>IF(DONNEES_SOURCE!$CA97=TRUE,DONNEES_SOURCE!$BZ97,"")</f>
        <v/>
      </c>
    </row>
    <row r="99" spans="11:25" x14ac:dyDescent="0.25">
      <c r="K99">
        <f>DONNEES_SOURCE!$CA$98</f>
        <v>0</v>
      </c>
      <c r="L99">
        <f>DONNEES_SOURCE!$CB$98</f>
        <v>0</v>
      </c>
      <c r="M99" t="str">
        <f>IFERROR(VALUE(LEFT(DONNEES_SOURCE!$O$98,1)),"")</f>
        <v/>
      </c>
      <c r="N99" t="str">
        <f>IFERROR(VALUE(LEFT(DONNEES_SOURCE!$P$98,1)),"")</f>
        <v/>
      </c>
      <c r="O99" t="str">
        <f>IFERROR(VALUE(LEFT(DONNEES_SOURCE!$Q$98,1)),"")</f>
        <v/>
      </c>
      <c r="P99" t="str">
        <f>IFERROR(VALUE(LEFT(DONNEES_SOURCE!$Y$98,1)),"")</f>
        <v/>
      </c>
      <c r="Q99" t="str">
        <f>IFERROR(VALUE(LEFT(DONNEES_SOURCE!$Z$98,1)),"")</f>
        <v/>
      </c>
      <c r="R99" t="str">
        <f>IFERROR(VALUE(LEFT(DONNEES_SOURCE!$AA$98,1)),"")</f>
        <v/>
      </c>
      <c r="S99">
        <f>DONNEES_SOURCE!$BU$98</f>
        <v>0</v>
      </c>
      <c r="T99">
        <f>97</f>
        <v>97</v>
      </c>
      <c r="U99" t="str">
        <f>IF(DONNEES_SOURCE!$CA98=TRUE,DONNEES_SOURCE!$AI98,"")</f>
        <v/>
      </c>
      <c r="V99" t="str">
        <f>IF(DONNEES_SOURCE!$CA98=TRUE,IFERROR(VALUE(LEFT(DONNEES_SOURCE!$S98,1)),DONNEES_SOURCE!$S98),"")</f>
        <v/>
      </c>
      <c r="W99" t="str">
        <f>IF(DONNEES_SOURCE!$CA98=TRUE,IFERROR(VALUE(LEFT(DONNEES_SOURCE!$T98,1)),DONNEES_SOURCE!$T98),"")</f>
        <v/>
      </c>
      <c r="X99" t="str">
        <f>IF(DONNEES_SOURCE!$CA98=TRUE,IFERROR(VALUE(LEFT(DONNEES_SOURCE!$U98,1)),DONNEES_SOURCE!$U98),"")</f>
        <v/>
      </c>
      <c r="Y99" t="str">
        <f>IF(DONNEES_SOURCE!$CA98=TRUE,DONNEES_SOURCE!$BZ98,"")</f>
        <v/>
      </c>
    </row>
    <row r="100" spans="11:25" x14ac:dyDescent="0.25">
      <c r="K100">
        <f>DONNEES_SOURCE!$CA$99</f>
        <v>0</v>
      </c>
      <c r="L100">
        <f>DONNEES_SOURCE!$CB$99</f>
        <v>0</v>
      </c>
      <c r="M100" t="str">
        <f>IFERROR(VALUE(LEFT(DONNEES_SOURCE!$O$99,1)),"")</f>
        <v/>
      </c>
      <c r="N100" t="str">
        <f>IFERROR(VALUE(LEFT(DONNEES_SOURCE!$P$99,1)),"")</f>
        <v/>
      </c>
      <c r="O100" t="str">
        <f>IFERROR(VALUE(LEFT(DONNEES_SOURCE!$Q$99,1)),"")</f>
        <v/>
      </c>
      <c r="P100" t="str">
        <f>IFERROR(VALUE(LEFT(DONNEES_SOURCE!$Y$99,1)),"")</f>
        <v/>
      </c>
      <c r="Q100" t="str">
        <f>IFERROR(VALUE(LEFT(DONNEES_SOURCE!$Z$99,1)),"")</f>
        <v/>
      </c>
      <c r="R100" t="str">
        <f>IFERROR(VALUE(LEFT(DONNEES_SOURCE!$AA$99,1)),"")</f>
        <v/>
      </c>
      <c r="S100">
        <f>DONNEES_SOURCE!$BU$99</f>
        <v>0</v>
      </c>
      <c r="T100">
        <f>98</f>
        <v>98</v>
      </c>
      <c r="U100" t="str">
        <f>IF(DONNEES_SOURCE!$CA99=TRUE,DONNEES_SOURCE!$AI99,"")</f>
        <v/>
      </c>
      <c r="V100" t="str">
        <f>IF(DONNEES_SOURCE!$CA99=TRUE,IFERROR(VALUE(LEFT(DONNEES_SOURCE!$S99,1)),DONNEES_SOURCE!$S99),"")</f>
        <v/>
      </c>
      <c r="W100" t="str">
        <f>IF(DONNEES_SOURCE!$CA99=TRUE,IFERROR(VALUE(LEFT(DONNEES_SOURCE!$T99,1)),DONNEES_SOURCE!$T99),"")</f>
        <v/>
      </c>
      <c r="X100" t="str">
        <f>IF(DONNEES_SOURCE!$CA99=TRUE,IFERROR(VALUE(LEFT(DONNEES_SOURCE!$U99,1)),DONNEES_SOURCE!$U99),"")</f>
        <v/>
      </c>
      <c r="Y100" t="str">
        <f>IF(DONNEES_SOURCE!$CA99=TRUE,DONNEES_SOURCE!$BZ99,"")</f>
        <v/>
      </c>
    </row>
    <row r="101" spans="11:25" x14ac:dyDescent="0.25">
      <c r="K101">
        <f>DONNEES_SOURCE!$CA$100</f>
        <v>0</v>
      </c>
      <c r="L101">
        <f>DONNEES_SOURCE!$CB$100</f>
        <v>0</v>
      </c>
      <c r="M101" t="str">
        <f>IFERROR(VALUE(LEFT(DONNEES_SOURCE!$O$100,1)),"")</f>
        <v/>
      </c>
      <c r="N101" t="str">
        <f>IFERROR(VALUE(LEFT(DONNEES_SOURCE!$P$100,1)),"")</f>
        <v/>
      </c>
      <c r="O101" t="str">
        <f>IFERROR(VALUE(LEFT(DONNEES_SOURCE!$Q$100,1)),"")</f>
        <v/>
      </c>
      <c r="P101" t="str">
        <f>IFERROR(VALUE(LEFT(DONNEES_SOURCE!$Y$100,1)),"")</f>
        <v/>
      </c>
      <c r="Q101" t="str">
        <f>IFERROR(VALUE(LEFT(DONNEES_SOURCE!$Z$100,1)),"")</f>
        <v/>
      </c>
      <c r="R101" t="str">
        <f>IFERROR(VALUE(LEFT(DONNEES_SOURCE!$AA$100,1)),"")</f>
        <v/>
      </c>
      <c r="S101">
        <f>DONNEES_SOURCE!$BU$100</f>
        <v>0</v>
      </c>
      <c r="T101">
        <f>99</f>
        <v>99</v>
      </c>
      <c r="U101" t="str">
        <f>IF(DONNEES_SOURCE!$CA100=TRUE,DONNEES_SOURCE!$AI100,"")</f>
        <v/>
      </c>
      <c r="V101" t="str">
        <f>IF(DONNEES_SOURCE!$CA100=TRUE,IFERROR(VALUE(LEFT(DONNEES_SOURCE!$S100,1)),DONNEES_SOURCE!$S100),"")</f>
        <v/>
      </c>
      <c r="W101" t="str">
        <f>IF(DONNEES_SOURCE!$CA100=TRUE,IFERROR(VALUE(LEFT(DONNEES_SOURCE!$T100,1)),DONNEES_SOURCE!$T100),"")</f>
        <v/>
      </c>
      <c r="X101" t="str">
        <f>IF(DONNEES_SOURCE!$CA100=TRUE,IFERROR(VALUE(LEFT(DONNEES_SOURCE!$U100,1)),DONNEES_SOURCE!$U100),"")</f>
        <v/>
      </c>
      <c r="Y101" t="str">
        <f>IF(DONNEES_SOURCE!$CA100=TRUE,DONNEES_SOURCE!$BZ100,"")</f>
        <v/>
      </c>
    </row>
    <row r="102" spans="11:25" x14ac:dyDescent="0.25">
      <c r="K102">
        <f>DONNEES_SOURCE!$CA$101</f>
        <v>0</v>
      </c>
      <c r="L102">
        <f>DONNEES_SOURCE!$CB$101</f>
        <v>0</v>
      </c>
      <c r="M102" t="str">
        <f>IFERROR(VALUE(LEFT(DONNEES_SOURCE!$O$101,1)),"")</f>
        <v/>
      </c>
      <c r="N102" t="str">
        <f>IFERROR(VALUE(LEFT(DONNEES_SOURCE!$P$101,1)),"")</f>
        <v/>
      </c>
      <c r="O102" t="str">
        <f>IFERROR(VALUE(LEFT(DONNEES_SOURCE!$Q$101,1)),"")</f>
        <v/>
      </c>
      <c r="P102" t="str">
        <f>IFERROR(VALUE(LEFT(DONNEES_SOURCE!$Y$101,1)),"")</f>
        <v/>
      </c>
      <c r="Q102" t="str">
        <f>IFERROR(VALUE(LEFT(DONNEES_SOURCE!$Z$101,1)),"")</f>
        <v/>
      </c>
      <c r="R102" t="str">
        <f>IFERROR(VALUE(LEFT(DONNEES_SOURCE!$AA$101,1)),"")</f>
        <v/>
      </c>
      <c r="S102">
        <f>DONNEES_SOURCE!$BU$101</f>
        <v>0</v>
      </c>
      <c r="T102">
        <f>100</f>
        <v>100</v>
      </c>
    </row>
  </sheetData>
  <mergeCells count="20">
    <mergeCell ref="A53:J53"/>
    <mergeCell ref="A1:J1"/>
    <mergeCell ref="A3:J3"/>
    <mergeCell ref="A4:J4"/>
    <mergeCell ref="A16:J16"/>
    <mergeCell ref="A17:J17"/>
    <mergeCell ref="A28:J28"/>
    <mergeCell ref="A78:J78"/>
    <mergeCell ref="A79:J79"/>
    <mergeCell ref="A54:J54"/>
    <mergeCell ref="A55:J55"/>
    <mergeCell ref="A64:J64"/>
    <mergeCell ref="A67:J67"/>
    <mergeCell ref="A68:J68"/>
    <mergeCell ref="A69:J69"/>
    <mergeCell ref="A29:J29"/>
    <mergeCell ref="A40:J40"/>
    <mergeCell ref="A41:J41"/>
    <mergeCell ref="A42:J42"/>
    <mergeCell ref="K1:O1"/>
  </mergeCells>
  <conditionalFormatting sqref="G32:G38">
    <cfRule type="containsText" dxfId="6" priority="1" operator="containsText" text="*">
      <formula>NOT(ISERROR(SEARCH("*",G32)))</formula>
    </cfRule>
    <cfRule type="containsText" dxfId="5" priority="2" operator="containsText" text=".">
      <formula>NOT(ISERROR(SEARCH(".",G32)))</formula>
    </cfRule>
    <cfRule type="containsText" dxfId="4" priority="3" operator="containsText" text="NS">
      <formula>NOT(ISERROR(SEARCH("NS",G32)))</formula>
    </cfRule>
  </conditionalFormatting>
  <conditionalFormatting sqref="I45:I51">
    <cfRule type="containsText" dxfId="3" priority="4" operator="containsText" text="*">
      <formula>NOT(ISERROR(SEARCH("*",I45)))</formula>
    </cfRule>
    <cfRule type="containsText" dxfId="2" priority="5" operator="containsText" text=".">
      <formula>NOT(ISERROR(SEARCH(".",I45)))</formula>
    </cfRule>
    <cfRule type="containsText" dxfId="1" priority="6" operator="containsText" text="NS">
      <formula>NOT(ISERROR(SEARCH("NS",I45)))</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149B9-5AF2-42A1-93F1-7A2F82C5A67F}">
  <dimension ref="A1:P102"/>
  <sheetViews>
    <sheetView topLeftCell="A15" workbookViewId="0">
      <selection activeCell="C29" sqref="C29:C32"/>
    </sheetView>
  </sheetViews>
  <sheetFormatPr baseColWidth="10" defaultRowHeight="15" x14ac:dyDescent="0.25"/>
  <cols>
    <col min="1" max="1" width="34.28515625" customWidth="1"/>
    <col min="2" max="2" width="19" customWidth="1"/>
    <col min="3" max="9" width="15.28515625" customWidth="1"/>
  </cols>
  <sheetData>
    <row r="1" spans="1:16" ht="18.75" x14ac:dyDescent="0.3">
      <c r="A1" s="300" t="s">
        <v>732</v>
      </c>
      <c r="B1" s="301"/>
      <c r="C1" s="301"/>
      <c r="D1" s="301"/>
      <c r="E1" s="301"/>
      <c r="F1" s="301"/>
      <c r="G1" s="301"/>
      <c r="H1" s="301"/>
      <c r="I1" s="301"/>
      <c r="J1" s="301"/>
      <c r="K1" s="302" t="s">
        <v>733</v>
      </c>
      <c r="L1" s="303"/>
      <c r="M1" s="303"/>
      <c r="N1" s="303"/>
      <c r="O1" s="303"/>
      <c r="P1" s="303"/>
    </row>
    <row r="2" spans="1:16" x14ac:dyDescent="0.25">
      <c r="K2" s="71" t="s">
        <v>711</v>
      </c>
      <c r="L2" s="71" t="s">
        <v>712</v>
      </c>
      <c r="M2" s="71" t="s">
        <v>296</v>
      </c>
      <c r="N2" s="71" t="s">
        <v>734</v>
      </c>
      <c r="O2" s="71" t="s">
        <v>735</v>
      </c>
      <c r="P2" s="71" t="s">
        <v>291</v>
      </c>
    </row>
    <row r="3" spans="1:16" x14ac:dyDescent="0.25">
      <c r="A3" s="304" t="s">
        <v>666</v>
      </c>
      <c r="B3" s="301"/>
      <c r="C3" s="301"/>
      <c r="D3" s="301"/>
      <c r="E3" s="301"/>
      <c r="F3" s="301"/>
      <c r="G3" s="301"/>
      <c r="H3" s="301"/>
      <c r="I3" s="301"/>
      <c r="J3" s="301"/>
      <c r="K3" t="b">
        <f>DONNEES_SOURCE!CA2</f>
        <v>1</v>
      </c>
      <c r="L3">
        <f>DONNEES_SOURCE!CB2</f>
        <v>3</v>
      </c>
      <c r="M3">
        <f>DONNEES_SOURCE!BV2</f>
        <v>5.3333000000000004</v>
      </c>
      <c r="N3">
        <f>IFERROR(VALUE(LEFT(DONNEES_SOURCE!AJ2,1)),DONNEES_SOURCE!AJ2)</f>
        <v>5</v>
      </c>
      <c r="O3">
        <f>IFERROR(VALUE(LEFT(DONNEES_SOURCE!AK2,1)),DONNEES_SOURCE!AK2)</f>
        <v>5</v>
      </c>
      <c r="P3">
        <f>DONNEES_SOURCE!BQ2</f>
        <v>6</v>
      </c>
    </row>
    <row r="4" spans="1:16" x14ac:dyDescent="0.25">
      <c r="A4" s="299" t="s">
        <v>736</v>
      </c>
      <c r="B4" s="254"/>
      <c r="C4" s="254"/>
      <c r="D4" s="254"/>
      <c r="E4" s="254"/>
      <c r="F4" s="254"/>
      <c r="G4" s="254"/>
      <c r="H4" s="254"/>
      <c r="I4" s="254"/>
      <c r="J4" s="254"/>
      <c r="K4" t="b">
        <f>DONNEES_SOURCE!CA3</f>
        <v>1</v>
      </c>
      <c r="L4">
        <f>DONNEES_SOURCE!CB3</f>
        <v>5</v>
      </c>
      <c r="M4">
        <f>DONNEES_SOURCE!BV3</f>
        <v>5</v>
      </c>
      <c r="N4">
        <f>IFERROR(VALUE(LEFT(DONNEES_SOURCE!AJ3,1)),DONNEES_SOURCE!AJ3)</f>
        <v>5</v>
      </c>
      <c r="O4">
        <f>IFERROR(VALUE(LEFT(DONNEES_SOURCE!AK3,1)),DONNEES_SOURCE!AK3)</f>
        <v>6</v>
      </c>
      <c r="P4">
        <f>DONNEES_SOURCE!BQ3</f>
        <v>4</v>
      </c>
    </row>
    <row r="5" spans="1:16" x14ac:dyDescent="0.25">
      <c r="K5" t="b">
        <f>DONNEES_SOURCE!CA4</f>
        <v>1</v>
      </c>
      <c r="L5">
        <f>DONNEES_SOURCE!CB4</f>
        <v>5</v>
      </c>
      <c r="M5">
        <f>DONNEES_SOURCE!BV4</f>
        <v>3</v>
      </c>
      <c r="N5">
        <f>IFERROR(VALUE(LEFT(DONNEES_SOURCE!AJ4,1)),DONNEES_SOURCE!AJ4)</f>
        <v>5</v>
      </c>
      <c r="O5">
        <f>IFERROR(VALUE(LEFT(DONNEES_SOURCE!AK4,1)),DONNEES_SOURCE!AK4)</f>
        <v>1</v>
      </c>
      <c r="P5">
        <f>DONNEES_SOURCE!BQ4</f>
        <v>3</v>
      </c>
    </row>
    <row r="6" spans="1:16" x14ac:dyDescent="0.25">
      <c r="A6" s="208" t="s">
        <v>667</v>
      </c>
      <c r="B6" s="208" t="s">
        <v>668</v>
      </c>
      <c r="C6" s="208" t="s">
        <v>485</v>
      </c>
      <c r="D6" s="208" t="s">
        <v>669</v>
      </c>
      <c r="E6" s="208" t="s">
        <v>670</v>
      </c>
      <c r="F6" s="208" t="s">
        <v>307</v>
      </c>
      <c r="K6" t="b">
        <f>DONNEES_SOURCE!CA5</f>
        <v>1</v>
      </c>
      <c r="L6">
        <f>DONNEES_SOURCE!CB5</f>
        <v>7</v>
      </c>
      <c r="M6">
        <f>DONNEES_SOURCE!BV5</f>
        <v>5.3333000000000004</v>
      </c>
      <c r="N6">
        <f>IFERROR(VALUE(LEFT(DONNEES_SOURCE!AJ5,1)),DONNEES_SOURCE!AJ5)</f>
        <v>6</v>
      </c>
      <c r="O6">
        <f>IFERROR(VALUE(LEFT(DONNEES_SOURCE!AK5,1)),DONNEES_SOURCE!AK5)</f>
        <v>6</v>
      </c>
      <c r="P6">
        <f>DONNEES_SOURCE!BQ5</f>
        <v>4</v>
      </c>
    </row>
    <row r="7" spans="1:16" x14ac:dyDescent="0.25">
      <c r="A7" s="193" t="s">
        <v>671</v>
      </c>
      <c r="B7" s="193" cm="1">
        <f t="array" ref="B7">SUMPRODUCT(($K$3:$K$102=TRUE)*($L$3:$L$102&lt;&gt;""))</f>
        <v>67</v>
      </c>
      <c r="C7" s="195">
        <f>AVERAGEIF($K$3:$K$102,TRUE,$L$3:$L$102)</f>
        <v>5.0149253731343286</v>
      </c>
      <c r="D7" s="195" cm="1">
        <f t="array" ref="D7">MEDIAN(_xlfn._xlws.FILTER($L$3:$L$102,$K$3:$K$102=TRUE))</f>
        <v>5</v>
      </c>
      <c r="E7" s="195" cm="1">
        <f t="array" ref="E7">_xlfn.STDEV.S(_xlfn._xlws.FILTER($L$3:$L$102,$K$3:$K$102=TRUE))</f>
        <v>1.3426854289121921</v>
      </c>
      <c r="F7" s="193" t="s">
        <v>680</v>
      </c>
      <c r="K7" t="b">
        <f>DONNEES_SOURCE!CA6</f>
        <v>1</v>
      </c>
      <c r="L7">
        <f>DONNEES_SOURCE!CB6</f>
        <v>5</v>
      </c>
      <c r="M7">
        <f>DONNEES_SOURCE!BV6</f>
        <v>5.6666999999999996</v>
      </c>
      <c r="N7">
        <f>IFERROR(VALUE(LEFT(DONNEES_SOURCE!AJ6,1)),DONNEES_SOURCE!AJ6)</f>
        <v>6</v>
      </c>
      <c r="O7">
        <f>IFERROR(VALUE(LEFT(DONNEES_SOURCE!AK6,1)),DONNEES_SOURCE!AK6)</f>
        <v>6</v>
      </c>
      <c r="P7">
        <f>DONNEES_SOURCE!BQ6</f>
        <v>5</v>
      </c>
    </row>
    <row r="8" spans="1:16" x14ac:dyDescent="0.25">
      <c r="A8" s="193" t="s">
        <v>737</v>
      </c>
      <c r="B8" s="193" cm="1">
        <f t="array" ref="B8">SUMPRODUCT(($K$3:$K$102=TRUE)*($M$3:$M$102&lt;&gt;""))</f>
        <v>67</v>
      </c>
      <c r="C8" s="195">
        <f>AVERAGEIF($K$3:$K$102,TRUE,$M$3:$M$102)</f>
        <v>4.7661701492537309</v>
      </c>
      <c r="D8" s="195" cm="1">
        <f t="array" ref="D8">MEDIAN(_xlfn._xlws.FILTER($M$3:$M$102,$K$3:$K$102=TRUE))</f>
        <v>4.6666999999999996</v>
      </c>
      <c r="E8" s="195" cm="1">
        <f t="array" ref="E8">_xlfn.STDEV.S(_xlfn._xlws.FILTER($M$3:$M$102,$K$3:$K$102=TRUE))</f>
        <v>0.96227558218274301</v>
      </c>
      <c r="F8" s="193" t="s">
        <v>741</v>
      </c>
      <c r="K8" t="b">
        <f>DONNEES_SOURCE!CA7</f>
        <v>1</v>
      </c>
      <c r="L8">
        <f>DONNEES_SOURCE!CB7</f>
        <v>5</v>
      </c>
      <c r="M8">
        <f>DONNEES_SOURCE!BV7</f>
        <v>4.3333000000000004</v>
      </c>
      <c r="N8">
        <f>IFERROR(VALUE(LEFT(DONNEES_SOURCE!AJ7,1)),DONNEES_SOURCE!AJ7)</f>
        <v>5</v>
      </c>
      <c r="O8">
        <f>IFERROR(VALUE(LEFT(DONNEES_SOURCE!AK7,1)),DONNEES_SOURCE!AK7)</f>
        <v>5</v>
      </c>
      <c r="P8">
        <f>DONNEES_SOURCE!BQ7</f>
        <v>3</v>
      </c>
    </row>
    <row r="9" spans="1:16" x14ac:dyDescent="0.25">
      <c r="A9" s="193" t="s">
        <v>738</v>
      </c>
      <c r="B9" s="193" cm="1">
        <f t="array" ref="B9">SUMPRODUCT(($K$3:$K$102=TRUE)*($N$3:$N$102&lt;&gt;""))</f>
        <v>67</v>
      </c>
      <c r="C9" s="195">
        <f>AVERAGEIF($K$3:$K$102,TRUE,$N$3:$N$102)</f>
        <v>5.3880597014925371</v>
      </c>
      <c r="D9" s="195" cm="1">
        <f t="array" ref="D9">MEDIAN(_xlfn._xlws.FILTER($N$3:$N$102,$K$3:$K$102=TRUE))</f>
        <v>5</v>
      </c>
      <c r="E9" s="195" cm="1">
        <f t="array" ref="E9">_xlfn.STDEV.S(_xlfn._xlws.FILTER($N$3:$N$102,$K$3:$K$102=TRUE))</f>
        <v>1.1003473815200779</v>
      </c>
      <c r="F9" s="193" t="s">
        <v>742</v>
      </c>
      <c r="K9" t="b">
        <f>DONNEES_SOURCE!CA8</f>
        <v>1</v>
      </c>
      <c r="L9">
        <f>DONNEES_SOURCE!CB8</f>
        <v>3</v>
      </c>
      <c r="M9">
        <f>DONNEES_SOURCE!BV8</f>
        <v>3.6667000000000001</v>
      </c>
      <c r="N9">
        <f>IFERROR(VALUE(LEFT(DONNEES_SOURCE!AJ8,1)),DONNEES_SOURCE!AJ8)</f>
        <v>6</v>
      </c>
      <c r="O9">
        <f>IFERROR(VALUE(LEFT(DONNEES_SOURCE!AK8,1)),DONNEES_SOURCE!AK8)</f>
        <v>3</v>
      </c>
      <c r="P9">
        <f>DONNEES_SOURCE!BQ8</f>
        <v>2</v>
      </c>
    </row>
    <row r="10" spans="1:16" x14ac:dyDescent="0.25">
      <c r="A10" s="193" t="s">
        <v>739</v>
      </c>
      <c r="B10" s="193" cm="1">
        <f t="array" ref="B10">SUMPRODUCT(($K$3:$K$102=TRUE)*($O$3:$O$102&lt;&gt;""))</f>
        <v>67</v>
      </c>
      <c r="C10" s="195">
        <f>AVERAGEIF($K$3:$K$102,TRUE,$O$3:$O$102)</f>
        <v>5.4029850746268657</v>
      </c>
      <c r="D10" s="195" cm="1">
        <f t="array" ref="D10">MEDIAN(_xlfn._xlws.FILTER($O$3:$O$102,$K$3:$K$102=TRUE))</f>
        <v>6</v>
      </c>
      <c r="E10" s="195" cm="1">
        <f t="array" ref="E10">_xlfn.STDEV.S(_xlfn._xlws.FILTER($O$3:$O$102,$K$3:$K$102=TRUE))</f>
        <v>1.1017850735323595</v>
      </c>
      <c r="F10" s="193" t="s">
        <v>743</v>
      </c>
      <c r="K10" t="b">
        <f>DONNEES_SOURCE!CA9</f>
        <v>1</v>
      </c>
      <c r="L10">
        <f>DONNEES_SOURCE!CB9</f>
        <v>3</v>
      </c>
      <c r="M10">
        <f>DONNEES_SOURCE!BV9</f>
        <v>5.3333000000000004</v>
      </c>
      <c r="N10">
        <f>IFERROR(VALUE(LEFT(DONNEES_SOURCE!AJ9,1)),DONNEES_SOURCE!AJ9)</f>
        <v>6</v>
      </c>
      <c r="O10">
        <f>IFERROR(VALUE(LEFT(DONNEES_SOURCE!AK9,1)),DONNEES_SOURCE!AK9)</f>
        <v>5</v>
      </c>
      <c r="P10">
        <f>DONNEES_SOURCE!BQ9</f>
        <v>5</v>
      </c>
    </row>
    <row r="11" spans="1:16" x14ac:dyDescent="0.25">
      <c r="A11" s="193" t="s">
        <v>740</v>
      </c>
      <c r="B11" s="193" cm="1">
        <f t="array" ref="B11">SUMPRODUCT(($K$3:$K$102=TRUE)*($P$3:$P$102&lt;&gt;""))</f>
        <v>67</v>
      </c>
      <c r="C11" s="195">
        <f>AVERAGEIF($K$3:$K$102,TRUE,$P$3:$P$102)</f>
        <v>3.5074626865671643</v>
      </c>
      <c r="D11" s="195" cm="1">
        <f t="array" ref="D11">MEDIAN(_xlfn._xlws.FILTER($P$3:$P$102,$K$3:$K$102=TRUE))</f>
        <v>3</v>
      </c>
      <c r="E11" s="195" cm="1">
        <f t="array" ref="E11">_xlfn.STDEV.S(_xlfn._xlws.FILTER($P$3:$P$102,$K$3:$K$102=TRUE))</f>
        <v>1.4911164652637137</v>
      </c>
      <c r="F11" s="193" t="s">
        <v>744</v>
      </c>
      <c r="K11" t="b">
        <f>DONNEES_SOURCE!CA10</f>
        <v>1</v>
      </c>
      <c r="L11">
        <f>DONNEES_SOURCE!CB10</f>
        <v>4</v>
      </c>
      <c r="M11">
        <f>DONNEES_SOURCE!BV10</f>
        <v>6</v>
      </c>
      <c r="N11">
        <f>IFERROR(VALUE(LEFT(DONNEES_SOURCE!AJ10,1)),DONNEES_SOURCE!AJ10)</f>
        <v>7</v>
      </c>
      <c r="O11">
        <f>IFERROR(VALUE(LEFT(DONNEES_SOURCE!AK10,1)),DONNEES_SOURCE!AK10)</f>
        <v>6</v>
      </c>
      <c r="P11">
        <f>DONNEES_SOURCE!BQ10</f>
        <v>5</v>
      </c>
    </row>
    <row r="12" spans="1:16" x14ac:dyDescent="0.25">
      <c r="K12" t="b">
        <f>DONNEES_SOURCE!CA11</f>
        <v>1</v>
      </c>
      <c r="L12">
        <f>DONNEES_SOURCE!CB11</f>
        <v>4</v>
      </c>
      <c r="M12">
        <f>DONNEES_SOURCE!BV11</f>
        <v>5.6666999999999996</v>
      </c>
      <c r="N12">
        <f>IFERROR(VALUE(LEFT(DONNEES_SOURCE!AJ11,1)),DONNEES_SOURCE!AJ11)</f>
        <v>7</v>
      </c>
      <c r="O12">
        <f>IFERROR(VALUE(LEFT(DONNEES_SOURCE!AK11,1)),DONNEES_SOURCE!AK11)</f>
        <v>5</v>
      </c>
      <c r="P12">
        <f>DONNEES_SOURCE!BQ11</f>
        <v>5</v>
      </c>
    </row>
    <row r="13" spans="1:16" x14ac:dyDescent="0.25">
      <c r="A13" s="304" t="s">
        <v>688</v>
      </c>
      <c r="B13" s="301"/>
      <c r="C13" s="301"/>
      <c r="D13" s="301"/>
      <c r="E13" s="301"/>
      <c r="F13" s="301"/>
      <c r="G13" s="301"/>
      <c r="H13" s="301"/>
      <c r="I13" s="301"/>
      <c r="J13" s="301"/>
      <c r="K13" t="b">
        <f>DONNEES_SOURCE!CA12</f>
        <v>1</v>
      </c>
      <c r="L13">
        <f>DONNEES_SOURCE!CB12</f>
        <v>7</v>
      </c>
      <c r="M13">
        <f>DONNEES_SOURCE!BV12</f>
        <v>5.3333000000000004</v>
      </c>
      <c r="N13">
        <f>IFERROR(VALUE(LEFT(DONNEES_SOURCE!AJ12,1)),DONNEES_SOURCE!AJ12)</f>
        <v>7</v>
      </c>
      <c r="O13">
        <f>IFERROR(VALUE(LEFT(DONNEES_SOURCE!AK12,1)),DONNEES_SOURCE!AK12)</f>
        <v>6</v>
      </c>
      <c r="P13">
        <f>DONNEES_SOURCE!BQ12</f>
        <v>3</v>
      </c>
    </row>
    <row r="14" spans="1:16" x14ac:dyDescent="0.25">
      <c r="A14" s="299" t="s">
        <v>689</v>
      </c>
      <c r="B14" s="254"/>
      <c r="C14" s="254"/>
      <c r="D14" s="254"/>
      <c r="E14" s="254"/>
      <c r="F14" s="254"/>
      <c r="G14" s="254"/>
      <c r="H14" s="254"/>
      <c r="I14" s="254"/>
      <c r="J14" s="254"/>
      <c r="K14" t="b">
        <f>DONNEES_SOURCE!CA13</f>
        <v>1</v>
      </c>
      <c r="L14">
        <f>DONNEES_SOURCE!CB13</f>
        <v>7</v>
      </c>
      <c r="M14">
        <f>DONNEES_SOURCE!BV13</f>
        <v>6.6666999999999996</v>
      </c>
      <c r="N14">
        <f>IFERROR(VALUE(LEFT(DONNEES_SOURCE!AJ13,1)),DONNEES_SOURCE!AJ13)</f>
        <v>7</v>
      </c>
      <c r="O14">
        <f>IFERROR(VALUE(LEFT(DONNEES_SOURCE!AK13,1)),DONNEES_SOURCE!AK13)</f>
        <v>7</v>
      </c>
      <c r="P14">
        <f>DONNEES_SOURCE!BQ13</f>
        <v>6</v>
      </c>
    </row>
    <row r="15" spans="1:16" x14ac:dyDescent="0.25">
      <c r="K15" t="b">
        <f>DONNEES_SOURCE!CA14</f>
        <v>1</v>
      </c>
      <c r="L15">
        <f>DONNEES_SOURCE!CB14</f>
        <v>6</v>
      </c>
      <c r="M15">
        <f>DONNEES_SOURCE!BV14</f>
        <v>6.3333000000000004</v>
      </c>
      <c r="N15">
        <f>IFERROR(VALUE(LEFT(DONNEES_SOURCE!AJ14,1)),DONNEES_SOURCE!AJ14)</f>
        <v>7</v>
      </c>
      <c r="O15">
        <f>IFERROR(VALUE(LEFT(DONNEES_SOURCE!AK14,1)),DONNEES_SOURCE!AK14)</f>
        <v>6</v>
      </c>
      <c r="P15">
        <f>DONNEES_SOURCE!BQ14</f>
        <v>6</v>
      </c>
    </row>
    <row r="16" spans="1:16" x14ac:dyDescent="0.25">
      <c r="A16" s="204" t="s">
        <v>667</v>
      </c>
      <c r="B16" s="204" t="s">
        <v>690</v>
      </c>
      <c r="C16" s="204" t="s">
        <v>379</v>
      </c>
      <c r="D16" s="204" t="s">
        <v>485</v>
      </c>
      <c r="E16" s="204" t="s">
        <v>670</v>
      </c>
      <c r="K16" t="b">
        <f>DONNEES_SOURCE!CA15</f>
        <v>1</v>
      </c>
      <c r="L16">
        <f>DONNEES_SOURCE!CB15</f>
        <v>3</v>
      </c>
      <c r="M16">
        <f>DONNEES_SOURCE!BV15</f>
        <v>3.6667000000000001</v>
      </c>
      <c r="N16">
        <f>IFERROR(VALUE(LEFT(DONNEES_SOURCE!AJ15,1)),DONNEES_SOURCE!AJ15)</f>
        <v>4</v>
      </c>
      <c r="O16">
        <f>IFERROR(VALUE(LEFT(DONNEES_SOURCE!AK15,1)),DONNEES_SOURCE!AK15)</f>
        <v>5</v>
      </c>
      <c r="P16">
        <f>DONNEES_SOURCE!BQ15</f>
        <v>2</v>
      </c>
    </row>
    <row r="17" spans="1:16" x14ac:dyDescent="0.25">
      <c r="A17" t="s">
        <v>691</v>
      </c>
      <c r="B17" t="s">
        <v>140</v>
      </c>
      <c r="C17">
        <f>COUNTIFS(DONNEES_SOURCE!BZ:BZ,"Junior",DONNEES_SOURCE!CA:CA,TRUE,DONNEES_SOURCE!CB:CB,"&lt;&gt;"&amp;"")</f>
        <v>32</v>
      </c>
      <c r="D17" s="190">
        <f>AVERAGEIFS(DONNEES_SOURCE!CB:CB,DONNEES_SOURCE!BZ:BZ,"Junior",DONNEES_SOURCE!CA:CA,TRUE)</f>
        <v>4.9375</v>
      </c>
      <c r="E17" s="190" cm="1">
        <f t="array" ref="E17">_xlfn.STDEV.S(_xlfn._xlws.FILTER(DONNEES_SOURCE!CB:CB,(DONNEES_SOURCE!BZ:BZ="Junior")*(DONNEES_SOURCE!CA:CA=TRUE)))</f>
        <v>1.4797013648139472</v>
      </c>
      <c r="K17" t="b">
        <f>DONNEES_SOURCE!CA16</f>
        <v>1</v>
      </c>
      <c r="L17">
        <f>DONNEES_SOURCE!CB16</f>
        <v>7</v>
      </c>
      <c r="M17">
        <f>DONNEES_SOURCE!BV16</f>
        <v>5.6666999999999996</v>
      </c>
      <c r="N17">
        <f>IFERROR(VALUE(LEFT(DONNEES_SOURCE!AJ16,1)),DONNEES_SOURCE!AJ16)</f>
        <v>6</v>
      </c>
      <c r="O17">
        <f>IFERROR(VALUE(LEFT(DONNEES_SOURCE!AK16,1)),DONNEES_SOURCE!AK16)</f>
        <v>6</v>
      </c>
      <c r="P17">
        <f>DONNEES_SOURCE!BQ16</f>
        <v>5</v>
      </c>
    </row>
    <row r="18" spans="1:16" x14ac:dyDescent="0.25">
      <c r="B18" t="s">
        <v>373</v>
      </c>
      <c r="C18">
        <f>COUNTIFS(DONNEES_SOURCE!BZ:BZ,"Senior-Manager",DONNEES_SOURCE!CA:CA,TRUE,DONNEES_SOURCE!CB:CB,"&lt;&gt;"&amp;"")</f>
        <v>17</v>
      </c>
      <c r="D18" s="190">
        <f>AVERAGEIFS(DONNEES_SOURCE!CB:CB,DONNEES_SOURCE!BZ:BZ,"Senior-Manager",DONNEES_SOURCE!CA:CA,TRUE)</f>
        <v>5.2352941176470589</v>
      </c>
      <c r="E18" s="190" cm="1">
        <f t="array" ref="E18">_xlfn.STDEV.S(_xlfn._xlws.FILTER(DONNEES_SOURCE!CB:CB,(DONNEES_SOURCE!BZ:BZ="Senior-Manager")*(DONNEES_SOURCE!CA:CA=TRUE)))</f>
        <v>1.4802622979013671</v>
      </c>
      <c r="K18" t="b">
        <f>DONNEES_SOURCE!CA17</f>
        <v>1</v>
      </c>
      <c r="L18">
        <f>DONNEES_SOURCE!CB17</f>
        <v>5</v>
      </c>
      <c r="M18">
        <f>DONNEES_SOURCE!BV17</f>
        <v>4</v>
      </c>
      <c r="N18">
        <f>IFERROR(VALUE(LEFT(DONNEES_SOURCE!AJ17,1)),DONNEES_SOURCE!AJ17)</f>
        <v>5</v>
      </c>
      <c r="O18">
        <f>IFERROR(VALUE(LEFT(DONNEES_SOURCE!AK17,1)),DONNEES_SOURCE!AK17)</f>
        <v>5</v>
      </c>
      <c r="P18">
        <f>DONNEES_SOURCE!BQ17</f>
        <v>2</v>
      </c>
    </row>
    <row r="19" spans="1:16" x14ac:dyDescent="0.25">
      <c r="B19" t="s">
        <v>384</v>
      </c>
      <c r="C19">
        <f>COUNTIFS(DONNEES_SOURCE!BZ:BZ,"Associe",DONNEES_SOURCE!CA:CA,TRUE,DONNEES_SOURCE!CB:CB,"&lt;&gt;"&amp;"")</f>
        <v>18</v>
      </c>
      <c r="D19" s="190">
        <f>AVERAGEIFS(DONNEES_SOURCE!CB:CB,DONNEES_SOURCE!BZ:BZ,"Associe",DONNEES_SOURCE!CA:CA,TRUE)</f>
        <v>4.9444444444444446</v>
      </c>
      <c r="E19" s="190" cm="1">
        <f t="array" ref="E19">_xlfn.STDEV.S(_xlfn._xlws.FILTER(DONNEES_SOURCE!CB:CB,(DONNEES_SOURCE!BZ:BZ="Associe")*(DONNEES_SOURCE!CA:CA=TRUE)))</f>
        <v>0.93759531105923422</v>
      </c>
      <c r="K19" t="b">
        <f>DONNEES_SOURCE!CA18</f>
        <v>1</v>
      </c>
      <c r="L19">
        <f>DONNEES_SOURCE!CB18</f>
        <v>4</v>
      </c>
      <c r="M19">
        <f>DONNEES_SOURCE!BV18</f>
        <v>2.6667000000000001</v>
      </c>
      <c r="N19">
        <f>IFERROR(VALUE(LEFT(DONNEES_SOURCE!AJ18,1)),DONNEES_SOURCE!AJ18)</f>
        <v>4</v>
      </c>
      <c r="O19">
        <f>IFERROR(VALUE(LEFT(DONNEES_SOURCE!AK18,1)),DONNEES_SOURCE!AK18)</f>
        <v>2</v>
      </c>
      <c r="P19">
        <f>DONNEES_SOURCE!BQ18</f>
        <v>2</v>
      </c>
    </row>
    <row r="20" spans="1:16" x14ac:dyDescent="0.25">
      <c r="D20" s="190"/>
      <c r="E20" s="190"/>
      <c r="K20" t="b">
        <f>DONNEES_SOURCE!CA19</f>
        <v>1</v>
      </c>
      <c r="L20">
        <f>DONNEES_SOURCE!CB19</f>
        <v>5</v>
      </c>
      <c r="M20">
        <f>DONNEES_SOURCE!BV19</f>
        <v>6</v>
      </c>
      <c r="N20">
        <f>IFERROR(VALUE(LEFT(DONNEES_SOURCE!AJ19,1)),DONNEES_SOURCE!AJ19)</f>
        <v>7</v>
      </c>
      <c r="O20">
        <f>IFERROR(VALUE(LEFT(DONNEES_SOURCE!AK19,1)),DONNEES_SOURCE!AK19)</f>
        <v>6</v>
      </c>
      <c r="P20">
        <f>DONNEES_SOURCE!BQ19</f>
        <v>5</v>
      </c>
    </row>
    <row r="21" spans="1:16" x14ac:dyDescent="0.25">
      <c r="A21" t="s">
        <v>745</v>
      </c>
      <c r="B21" t="s">
        <v>140</v>
      </c>
      <c r="C21">
        <f>COUNTIFS(DONNEES_SOURCE!BZ:BZ,"Junior",DONNEES_SOURCE!CA:CA,TRUE,DONNEES_SOURCE!BV:BV,"&lt;&gt;"&amp;"")</f>
        <v>32</v>
      </c>
      <c r="D21" s="190">
        <f>AVERAGEIFS(DONNEES_SOURCE!BV:BV,DONNEES_SOURCE!BZ:BZ,"Junior",DONNEES_SOURCE!CA:CA,TRUE)</f>
        <v>4.9062468749999999</v>
      </c>
      <c r="E21" s="190" cm="1">
        <f t="array" ref="E21">_xlfn.STDEV.S(_xlfn._xlws.FILTER(DONNEES_SOURCE!BV:BV,(DONNEES_SOURCE!BZ:BZ="Junior")*(DONNEES_SOURCE!CA:CA=TRUE)))</f>
        <v>0.83057172846115845</v>
      </c>
      <c r="K21" t="b">
        <f>DONNEES_SOURCE!CA20</f>
        <v>1</v>
      </c>
      <c r="L21">
        <f>DONNEES_SOURCE!CB20</f>
        <v>7</v>
      </c>
      <c r="M21">
        <f>DONNEES_SOURCE!BV20</f>
        <v>6.3333000000000004</v>
      </c>
      <c r="N21">
        <f>IFERROR(VALUE(LEFT(DONNEES_SOURCE!AJ20,1)),DONNEES_SOURCE!AJ20)</f>
        <v>6</v>
      </c>
      <c r="O21">
        <f>IFERROR(VALUE(LEFT(DONNEES_SOURCE!AK20,1)),DONNEES_SOURCE!AK20)</f>
        <v>7</v>
      </c>
      <c r="P21">
        <f>DONNEES_SOURCE!BQ20</f>
        <v>6</v>
      </c>
    </row>
    <row r="22" spans="1:16" x14ac:dyDescent="0.25">
      <c r="B22" t="s">
        <v>373</v>
      </c>
      <c r="C22">
        <f>COUNTIFS(DONNEES_SOURCE!BZ:BZ,"Senior-Manager",DONNEES_SOURCE!CA:CA,TRUE,DONNEES_SOURCE!BV:BV,"&lt;&gt;"&amp;"")</f>
        <v>17</v>
      </c>
      <c r="D22" s="190">
        <f>AVERAGEIFS(DONNEES_SOURCE!BV:BV,DONNEES_SOURCE!BZ:BZ,"Senior-Manager",DONNEES_SOURCE!CA:CA,TRUE)</f>
        <v>5.0784352941176474</v>
      </c>
      <c r="E22" s="190" cm="1">
        <f t="array" ref="E22">_xlfn.STDEV.S(_xlfn._xlws.FILTER(DONNEES_SOURCE!BV:BV,(DONNEES_SOURCE!BZ:BZ="Senior-Manager")*(DONNEES_SOURCE!CA:CA=TRUE)))</f>
        <v>1.1578821949691029</v>
      </c>
      <c r="K22" t="b">
        <f>DONNEES_SOURCE!CA21</f>
        <v>1</v>
      </c>
      <c r="L22">
        <f>DONNEES_SOURCE!CB21</f>
        <v>3</v>
      </c>
      <c r="M22">
        <f>DONNEES_SOURCE!BV21</f>
        <v>4.6666999999999996</v>
      </c>
      <c r="N22">
        <f>IFERROR(VALUE(LEFT(DONNEES_SOURCE!AJ21,1)),DONNEES_SOURCE!AJ21)</f>
        <v>6</v>
      </c>
      <c r="O22">
        <f>IFERROR(VALUE(LEFT(DONNEES_SOURCE!AK21,1)),DONNEES_SOURCE!AK21)</f>
        <v>3</v>
      </c>
      <c r="P22">
        <f>DONNEES_SOURCE!BQ21</f>
        <v>5</v>
      </c>
    </row>
    <row r="23" spans="1:16" x14ac:dyDescent="0.25">
      <c r="B23" t="s">
        <v>384</v>
      </c>
      <c r="C23">
        <f>COUNTIFS(DONNEES_SOURCE!BZ:BZ,"Associe",DONNEES_SOURCE!CA:CA,TRUE,DONNEES_SOURCE!BV:BV,"&lt;&gt;"&amp;"")</f>
        <v>18</v>
      </c>
      <c r="D23" s="190">
        <f>AVERAGEIFS(DONNEES_SOURCE!BV:BV,DONNEES_SOURCE!BZ:BZ,"Associe",DONNEES_SOURCE!CA:CA,TRUE)</f>
        <v>4.2222277777777784</v>
      </c>
      <c r="E23" s="190" cm="1">
        <f t="array" ref="E23">_xlfn.STDEV.S(_xlfn._xlws.FILTER(DONNEES_SOURCE!BV:BV,(DONNEES_SOURCE!BZ:BZ="Associe")*(DONNEES_SOURCE!CA:CA=TRUE)))</f>
        <v>0.79211720969114685</v>
      </c>
      <c r="K23" t="b">
        <f>DONNEES_SOURCE!CA22</f>
        <v>1</v>
      </c>
      <c r="L23">
        <f>DONNEES_SOURCE!CB22</f>
        <v>2</v>
      </c>
      <c r="M23">
        <f>DONNEES_SOURCE!BV22</f>
        <v>4.3333000000000004</v>
      </c>
      <c r="N23">
        <f>IFERROR(VALUE(LEFT(DONNEES_SOURCE!AJ22,1)),DONNEES_SOURCE!AJ22)</f>
        <v>5</v>
      </c>
      <c r="O23">
        <f>IFERROR(VALUE(LEFT(DONNEES_SOURCE!AK22,1)),DONNEES_SOURCE!AK22)</f>
        <v>5</v>
      </c>
      <c r="P23">
        <f>DONNEES_SOURCE!BQ22</f>
        <v>3</v>
      </c>
    </row>
    <row r="24" spans="1:16" x14ac:dyDescent="0.25">
      <c r="K24" t="b">
        <f>DONNEES_SOURCE!CA23</f>
        <v>1</v>
      </c>
      <c r="L24">
        <f>DONNEES_SOURCE!CB23</f>
        <v>7</v>
      </c>
      <c r="M24">
        <f>DONNEES_SOURCE!BV23</f>
        <v>5.6666999999999996</v>
      </c>
      <c r="N24">
        <f>IFERROR(VALUE(LEFT(DONNEES_SOURCE!AJ23,1)),DONNEES_SOURCE!AJ23)</f>
        <v>5</v>
      </c>
      <c r="O24">
        <f>IFERROR(VALUE(LEFT(DONNEES_SOURCE!AK23,1)),DONNEES_SOURCE!AK23)</f>
        <v>6</v>
      </c>
      <c r="P24">
        <f>DONNEES_SOURCE!BQ23</f>
        <v>6</v>
      </c>
    </row>
    <row r="25" spans="1:16" x14ac:dyDescent="0.25">
      <c r="A25" s="304" t="s">
        <v>746</v>
      </c>
      <c r="B25" s="301"/>
      <c r="C25" s="301"/>
      <c r="D25" s="301"/>
      <c r="E25" s="301"/>
      <c r="F25" s="301"/>
      <c r="G25" s="301"/>
      <c r="H25" s="301"/>
      <c r="I25" s="301"/>
      <c r="J25" s="301"/>
      <c r="K25" t="b">
        <f>DONNEES_SOURCE!CA24</f>
        <v>1</v>
      </c>
      <c r="L25">
        <f>DONNEES_SOURCE!CB24</f>
        <v>5</v>
      </c>
      <c r="M25">
        <f>DONNEES_SOURCE!BV24</f>
        <v>5.3333000000000004</v>
      </c>
      <c r="N25">
        <f>IFERROR(VALUE(LEFT(DONNEES_SOURCE!AJ24,1)),DONNEES_SOURCE!AJ24)</f>
        <v>5</v>
      </c>
      <c r="O25">
        <f>IFERROR(VALUE(LEFT(DONNEES_SOURCE!AK24,1)),DONNEES_SOURCE!AK24)</f>
        <v>6</v>
      </c>
      <c r="P25">
        <f>DONNEES_SOURCE!BQ24</f>
        <v>5</v>
      </c>
    </row>
    <row r="26" spans="1:16" x14ac:dyDescent="0.25">
      <c r="A26" s="299" t="s">
        <v>747</v>
      </c>
      <c r="B26" s="254"/>
      <c r="C26" s="254"/>
      <c r="D26" s="254"/>
      <c r="E26" s="254"/>
      <c r="F26" s="254"/>
      <c r="G26" s="254"/>
      <c r="H26" s="254"/>
      <c r="I26" s="254"/>
      <c r="J26" s="254"/>
      <c r="K26" t="b">
        <f>DONNEES_SOURCE!CA25</f>
        <v>1</v>
      </c>
      <c r="L26">
        <f>DONNEES_SOURCE!CB25</f>
        <v>7</v>
      </c>
      <c r="M26">
        <f>DONNEES_SOURCE!BV25</f>
        <v>5.6666999999999996</v>
      </c>
      <c r="N26">
        <f>IFERROR(VALUE(LEFT(DONNEES_SOURCE!AJ25,1)),DONNEES_SOURCE!AJ25)</f>
        <v>6</v>
      </c>
      <c r="O26">
        <f>IFERROR(VALUE(LEFT(DONNEES_SOURCE!AK25,1)),DONNEES_SOURCE!AK25)</f>
        <v>7</v>
      </c>
      <c r="P26">
        <f>DONNEES_SOURCE!BQ25</f>
        <v>4</v>
      </c>
    </row>
    <row r="27" spans="1:16" x14ac:dyDescent="0.25">
      <c r="K27" t="b">
        <f>DONNEES_SOURCE!CA26</f>
        <v>1</v>
      </c>
      <c r="L27">
        <f>DONNEES_SOURCE!CB26</f>
        <v>5</v>
      </c>
      <c r="M27">
        <f>DONNEES_SOURCE!BV26</f>
        <v>3.3332999999999999</v>
      </c>
      <c r="N27">
        <f>IFERROR(VALUE(LEFT(DONNEES_SOURCE!AJ26,1)),DONNEES_SOURCE!AJ26)</f>
        <v>3</v>
      </c>
      <c r="O27">
        <f>IFERROR(VALUE(LEFT(DONNEES_SOURCE!AK26,1)),DONNEES_SOURCE!AK26)</f>
        <v>5</v>
      </c>
      <c r="P27">
        <f>DONNEES_SOURCE!BQ26</f>
        <v>2</v>
      </c>
    </row>
    <row r="28" spans="1:16" x14ac:dyDescent="0.25">
      <c r="A28" s="209" t="s">
        <v>695</v>
      </c>
      <c r="B28" s="209" t="s">
        <v>379</v>
      </c>
      <c r="C28" s="209" t="s">
        <v>696</v>
      </c>
      <c r="D28" s="209" t="s">
        <v>629</v>
      </c>
      <c r="E28" s="209" t="s">
        <v>697</v>
      </c>
      <c r="F28" s="209" t="s">
        <v>548</v>
      </c>
      <c r="G28" s="209" t="s">
        <v>698</v>
      </c>
      <c r="K28" t="b">
        <f>DONNEES_SOURCE!CA27</f>
        <v>1</v>
      </c>
      <c r="L28">
        <f>DONNEES_SOURCE!CB27</f>
        <v>2</v>
      </c>
      <c r="M28">
        <f>DONNEES_SOURCE!BV27</f>
        <v>5.3333000000000004</v>
      </c>
      <c r="N28">
        <f>IFERROR(VALUE(LEFT(DONNEES_SOURCE!AJ27,1)),DONNEES_SOURCE!AJ27)</f>
        <v>6</v>
      </c>
      <c r="O28">
        <f>IFERROR(VALUE(LEFT(DONNEES_SOURCE!AK27,1)),DONNEES_SOURCE!AK27)</f>
        <v>6</v>
      </c>
      <c r="P28">
        <f>DONNEES_SOURCE!BQ27</f>
        <v>4</v>
      </c>
    </row>
    <row r="29" spans="1:16" x14ac:dyDescent="0.25">
      <c r="A29" s="210" t="s">
        <v>748</v>
      </c>
      <c r="B29" s="210">
        <f t="shared" ref="B29:G29" si="0">D42</f>
        <v>67</v>
      </c>
      <c r="C29" s="253">
        <f t="shared" si="0"/>
        <v>0.3249278719182116</v>
      </c>
      <c r="D29" s="211">
        <f t="shared" si="0"/>
        <v>2.7699532393942992</v>
      </c>
      <c r="E29" s="212">
        <f t="shared" si="0"/>
        <v>65</v>
      </c>
      <c r="F29" s="211">
        <f t="shared" si="0"/>
        <v>7.3005317475038451E-3</v>
      </c>
      <c r="G29" s="221" t="str">
        <f t="shared" si="0"/>
        <v>**</v>
      </c>
      <c r="K29" t="b">
        <f>DONNEES_SOURCE!CA28</f>
        <v>1</v>
      </c>
      <c r="L29">
        <f>DONNEES_SOURCE!CB28</f>
        <v>2</v>
      </c>
      <c r="M29">
        <f>DONNEES_SOURCE!BV28</f>
        <v>3</v>
      </c>
      <c r="N29">
        <f>IFERROR(VALUE(LEFT(DONNEES_SOURCE!AJ28,1)),DONNEES_SOURCE!AJ28)</f>
        <v>3</v>
      </c>
      <c r="O29">
        <f>IFERROR(VALUE(LEFT(DONNEES_SOURCE!AK28,1)),DONNEES_SOURCE!AK28)</f>
        <v>5</v>
      </c>
      <c r="P29">
        <f>DONNEES_SOURCE!BQ28</f>
        <v>1</v>
      </c>
    </row>
    <row r="30" spans="1:16" x14ac:dyDescent="0.25">
      <c r="A30" s="210" t="s">
        <v>749</v>
      </c>
      <c r="B30" s="210">
        <f t="shared" ref="B30:G30" si="1">D48</f>
        <v>67</v>
      </c>
      <c r="C30" s="253">
        <f t="shared" si="1"/>
        <v>0.2572891985945141</v>
      </c>
      <c r="D30" s="211">
        <f t="shared" si="1"/>
        <v>2.1465982466005937</v>
      </c>
      <c r="E30" s="212">
        <f t="shared" si="1"/>
        <v>65</v>
      </c>
      <c r="F30" s="211">
        <f t="shared" si="1"/>
        <v>3.5562325923429117E-2</v>
      </c>
      <c r="G30" s="221" t="str">
        <f t="shared" si="1"/>
        <v>*</v>
      </c>
      <c r="K30" t="b">
        <f>DONNEES_SOURCE!CA29</f>
        <v>1</v>
      </c>
      <c r="L30">
        <f>DONNEES_SOURCE!CB29</f>
        <v>6</v>
      </c>
      <c r="M30">
        <f>DONNEES_SOURCE!BV29</f>
        <v>4.3333000000000004</v>
      </c>
      <c r="N30">
        <f>IFERROR(VALUE(LEFT(DONNEES_SOURCE!AJ29,1)),DONNEES_SOURCE!AJ29)</f>
        <v>5</v>
      </c>
      <c r="O30">
        <f>IFERROR(VALUE(LEFT(DONNEES_SOURCE!AK29,1)),DONNEES_SOURCE!AK29)</f>
        <v>5</v>
      </c>
      <c r="P30">
        <f>DONNEES_SOURCE!BQ29</f>
        <v>3</v>
      </c>
    </row>
    <row r="31" spans="1:16" x14ac:dyDescent="0.25">
      <c r="A31" s="210" t="s">
        <v>750</v>
      </c>
      <c r="B31" s="210">
        <f t="shared" ref="B31:G31" si="2">D54</f>
        <v>67</v>
      </c>
      <c r="C31" s="253">
        <f t="shared" si="2"/>
        <v>0.49220463736035647</v>
      </c>
      <c r="D31" s="211">
        <f t="shared" si="2"/>
        <v>4.5587294813402766</v>
      </c>
      <c r="E31" s="212">
        <f t="shared" si="2"/>
        <v>65</v>
      </c>
      <c r="F31" s="211">
        <f t="shared" si="2"/>
        <v>2.3313128937962319E-5</v>
      </c>
      <c r="G31" s="221" t="str">
        <f t="shared" si="2"/>
        <v>***</v>
      </c>
      <c r="K31" t="b">
        <f>DONNEES_SOURCE!CA30</f>
        <v>1</v>
      </c>
      <c r="L31">
        <f>DONNEES_SOURCE!CB30</f>
        <v>7</v>
      </c>
      <c r="M31">
        <f>DONNEES_SOURCE!BV30</f>
        <v>5.3333000000000004</v>
      </c>
      <c r="N31">
        <f>IFERROR(VALUE(LEFT(DONNEES_SOURCE!AJ30,1)),DONNEES_SOURCE!AJ30)</f>
        <v>6</v>
      </c>
      <c r="O31">
        <f>IFERROR(VALUE(LEFT(DONNEES_SOURCE!AK30,1)),DONNEES_SOURCE!AK30)</f>
        <v>6</v>
      </c>
      <c r="P31">
        <f>DONNEES_SOURCE!BQ30</f>
        <v>4</v>
      </c>
    </row>
    <row r="32" spans="1:16" x14ac:dyDescent="0.25">
      <c r="A32" s="210" t="s">
        <v>751</v>
      </c>
      <c r="B32" s="210">
        <f t="shared" ref="B32:G32" si="3">D60</f>
        <v>67</v>
      </c>
      <c r="C32" s="253">
        <f t="shared" si="3"/>
        <v>0.13965812301593633</v>
      </c>
      <c r="D32" s="211">
        <f t="shared" si="3"/>
        <v>1.1371036478038479</v>
      </c>
      <c r="E32" s="212">
        <f t="shared" si="3"/>
        <v>65</v>
      </c>
      <c r="F32" s="211">
        <f t="shared" si="3"/>
        <v>0.25966951543664168</v>
      </c>
      <c r="G32" s="222" t="str">
        <f t="shared" si="3"/>
        <v>NS</v>
      </c>
      <c r="K32" t="b">
        <f>DONNEES_SOURCE!CA31</f>
        <v>1</v>
      </c>
      <c r="L32">
        <f>DONNEES_SOURCE!CB31</f>
        <v>6</v>
      </c>
      <c r="M32">
        <f>DONNEES_SOURCE!BV31</f>
        <v>4.6666999999999996</v>
      </c>
      <c r="N32">
        <f>IFERROR(VALUE(LEFT(DONNEES_SOURCE!AJ31,1)),DONNEES_SOURCE!AJ31)</f>
        <v>5</v>
      </c>
      <c r="O32">
        <f>IFERROR(VALUE(LEFT(DONNEES_SOURCE!AK31,1)),DONNEES_SOURCE!AK31)</f>
        <v>6</v>
      </c>
      <c r="P32">
        <f>DONNEES_SOURCE!BQ31</f>
        <v>3</v>
      </c>
    </row>
    <row r="33" spans="1:16" x14ac:dyDescent="0.25">
      <c r="K33" t="b">
        <f>DONNEES_SOURCE!CA32</f>
        <v>1</v>
      </c>
      <c r="L33">
        <f>DONNEES_SOURCE!CB32</f>
        <v>4</v>
      </c>
      <c r="M33">
        <f>DONNEES_SOURCE!BV32</f>
        <v>5.3333000000000004</v>
      </c>
      <c r="N33">
        <f>IFERROR(VALUE(LEFT(DONNEES_SOURCE!AJ32,1)),DONNEES_SOURCE!AJ32)</f>
        <v>6</v>
      </c>
      <c r="O33">
        <f>IFERROR(VALUE(LEFT(DONNEES_SOURCE!AK32,1)),DONNEES_SOURCE!AK32)</f>
        <v>5</v>
      </c>
      <c r="P33">
        <f>DONNEES_SOURCE!BQ32</f>
        <v>5</v>
      </c>
    </row>
    <row r="34" spans="1:16" x14ac:dyDescent="0.25">
      <c r="K34" t="b">
        <f>DONNEES_SOURCE!CA33</f>
        <v>1</v>
      </c>
      <c r="L34">
        <f>DONNEES_SOURCE!CB33</f>
        <v>7</v>
      </c>
      <c r="M34">
        <f>DONNEES_SOURCE!BV33</f>
        <v>5.6666999999999996</v>
      </c>
      <c r="N34">
        <f>IFERROR(VALUE(LEFT(DONNEES_SOURCE!AJ33,1)),DONNEES_SOURCE!AJ33)</f>
        <v>6</v>
      </c>
      <c r="O34">
        <f>IFERROR(VALUE(LEFT(DONNEES_SOURCE!AK33,1)),DONNEES_SOURCE!AK33)</f>
        <v>6</v>
      </c>
      <c r="P34">
        <f>DONNEES_SOURCE!BQ33</f>
        <v>5</v>
      </c>
    </row>
    <row r="35" spans="1:16" x14ac:dyDescent="0.25">
      <c r="A35" s="304" t="s">
        <v>752</v>
      </c>
      <c r="B35" s="301"/>
      <c r="C35" s="301"/>
      <c r="D35" s="301"/>
      <c r="E35" s="301"/>
      <c r="F35" s="301"/>
      <c r="G35" s="301"/>
      <c r="H35" s="301"/>
      <c r="I35" s="301"/>
      <c r="J35" s="301"/>
      <c r="K35" t="b">
        <f>DONNEES_SOURCE!CA34</f>
        <v>1</v>
      </c>
      <c r="L35">
        <f>DONNEES_SOURCE!CB34</f>
        <v>5</v>
      </c>
      <c r="M35">
        <f>DONNEES_SOURCE!BV34</f>
        <v>4.6666999999999996</v>
      </c>
      <c r="N35">
        <f>IFERROR(VALUE(LEFT(DONNEES_SOURCE!AJ34,1)),DONNEES_SOURCE!AJ34)</f>
        <v>5</v>
      </c>
      <c r="O35">
        <f>IFERROR(VALUE(LEFT(DONNEES_SOURCE!AK34,1)),DONNEES_SOURCE!AK34)</f>
        <v>6</v>
      </c>
      <c r="P35">
        <f>DONNEES_SOURCE!BQ34</f>
        <v>3</v>
      </c>
    </row>
    <row r="36" spans="1:16" x14ac:dyDescent="0.25">
      <c r="A36" s="299" t="s">
        <v>753</v>
      </c>
      <c r="B36" s="254"/>
      <c r="C36" s="254"/>
      <c r="D36" s="254"/>
      <c r="E36" s="254"/>
      <c r="F36" s="254"/>
      <c r="G36" s="254"/>
      <c r="H36" s="254"/>
      <c r="I36" s="254"/>
      <c r="J36" s="254"/>
      <c r="K36" t="b">
        <f>DONNEES_SOURCE!CA35</f>
        <v>1</v>
      </c>
      <c r="L36">
        <f>DONNEES_SOURCE!CB35</f>
        <v>5</v>
      </c>
      <c r="M36">
        <f>DONNEES_SOURCE!BV35</f>
        <v>4.6666999999999996</v>
      </c>
      <c r="N36">
        <f>IFERROR(VALUE(LEFT(DONNEES_SOURCE!AJ35,1)),DONNEES_SOURCE!AJ35)</f>
        <v>5</v>
      </c>
      <c r="O36">
        <f>IFERROR(VALUE(LEFT(DONNEES_SOURCE!AK35,1)),DONNEES_SOURCE!AK35)</f>
        <v>5</v>
      </c>
      <c r="P36">
        <f>DONNEES_SOURCE!BQ35</f>
        <v>4</v>
      </c>
    </row>
    <row r="37" spans="1:16" x14ac:dyDescent="0.25">
      <c r="K37" t="b">
        <f>DONNEES_SOURCE!CA36</f>
        <v>1</v>
      </c>
      <c r="L37">
        <f>DONNEES_SOURCE!CB36</f>
        <v>5</v>
      </c>
      <c r="M37">
        <f>DONNEES_SOURCE!BV36</f>
        <v>4.6666999999999996</v>
      </c>
      <c r="N37">
        <f>IFERROR(VALUE(LEFT(DONNEES_SOURCE!AJ36,1)),DONNEES_SOURCE!AJ36)</f>
        <v>6</v>
      </c>
      <c r="O37">
        <f>IFERROR(VALUE(LEFT(DONNEES_SOURCE!AK36,1)),DONNEES_SOURCE!AK36)</f>
        <v>6</v>
      </c>
      <c r="P37">
        <f>DONNEES_SOURCE!BQ36</f>
        <v>2</v>
      </c>
    </row>
    <row r="38" spans="1:16" x14ac:dyDescent="0.25">
      <c r="A38" s="204" t="s">
        <v>695</v>
      </c>
      <c r="B38" s="204" t="s">
        <v>626</v>
      </c>
      <c r="C38" s="204" t="s">
        <v>627</v>
      </c>
      <c r="D38" s="204" t="s">
        <v>628</v>
      </c>
      <c r="E38" s="204" t="s">
        <v>696</v>
      </c>
      <c r="F38" s="204" t="s">
        <v>629</v>
      </c>
      <c r="G38" s="204" t="s">
        <v>697</v>
      </c>
      <c r="H38" s="204" t="s">
        <v>548</v>
      </c>
      <c r="I38" s="204" t="s">
        <v>698</v>
      </c>
      <c r="K38" t="b">
        <f>DONNEES_SOURCE!CA37</f>
        <v>1</v>
      </c>
      <c r="L38">
        <f>DONNEES_SOURCE!CB37</f>
        <v>4</v>
      </c>
      <c r="M38">
        <f>DONNEES_SOURCE!BV37</f>
        <v>4.3333000000000004</v>
      </c>
      <c r="N38">
        <f>IFERROR(VALUE(LEFT(DONNEES_SOURCE!AJ37,1)),DONNEES_SOURCE!AJ37)</f>
        <v>5</v>
      </c>
      <c r="O38">
        <f>IFERROR(VALUE(LEFT(DONNEES_SOURCE!AK37,1)),DONNEES_SOURCE!AK37)</f>
        <v>5</v>
      </c>
      <c r="P38">
        <f>DONNEES_SOURCE!BQ37</f>
        <v>3</v>
      </c>
    </row>
    <row r="39" spans="1:16" x14ac:dyDescent="0.25">
      <c r="A39" s="205"/>
      <c r="B39" s="205"/>
      <c r="C39" s="205"/>
      <c r="D39" s="205" t="s">
        <v>754</v>
      </c>
      <c r="E39" s="205" t="s">
        <v>755</v>
      </c>
      <c r="F39" s="205" t="s">
        <v>756</v>
      </c>
      <c r="G39" s="205" t="s">
        <v>757</v>
      </c>
      <c r="H39" s="205" t="s">
        <v>758</v>
      </c>
      <c r="I39" s="205" t="s">
        <v>759</v>
      </c>
      <c r="K39" t="b">
        <f>DONNEES_SOURCE!CA38</f>
        <v>1</v>
      </c>
      <c r="L39">
        <f>DONNEES_SOURCE!CB38</f>
        <v>5</v>
      </c>
      <c r="M39">
        <f>DONNEES_SOURCE!BV38</f>
        <v>3.6667000000000001</v>
      </c>
      <c r="N39">
        <f>IFERROR(VALUE(LEFT(DONNEES_SOURCE!AJ38,1)),DONNEES_SOURCE!AJ38)</f>
        <v>3</v>
      </c>
      <c r="O39">
        <f>IFERROR(VALUE(LEFT(DONNEES_SOURCE!AK38,1)),DONNEES_SOURCE!AK38)</f>
        <v>6</v>
      </c>
      <c r="P39">
        <f>DONNEES_SOURCE!BQ38</f>
        <v>2</v>
      </c>
    </row>
    <row r="40" spans="1:16" x14ac:dyDescent="0.25">
      <c r="K40" t="b">
        <f>DONNEES_SOURCE!CA39</f>
        <v>1</v>
      </c>
      <c r="L40">
        <f>DONNEES_SOURCE!CB39</f>
        <v>6</v>
      </c>
      <c r="M40">
        <f>DONNEES_SOURCE!BV39</f>
        <v>4.3333000000000004</v>
      </c>
      <c r="N40">
        <f>IFERROR(VALUE(LEFT(DONNEES_SOURCE!AJ39,1)),DONNEES_SOURCE!AJ39)</f>
        <v>6</v>
      </c>
      <c r="O40">
        <f>IFERROR(VALUE(LEFT(DONNEES_SOURCE!AK39,1)),DONNEES_SOURCE!AK39)</f>
        <v>6</v>
      </c>
      <c r="P40">
        <f>DONNEES_SOURCE!BQ39</f>
        <v>1</v>
      </c>
    </row>
    <row r="41" spans="1:16" x14ac:dyDescent="0.25">
      <c r="A41" s="206" t="s">
        <v>760</v>
      </c>
      <c r="B41" s="207"/>
      <c r="C41" s="207"/>
      <c r="D41" s="207"/>
      <c r="E41" s="207"/>
      <c r="F41" s="207"/>
      <c r="G41" s="207"/>
      <c r="H41" s="207"/>
      <c r="I41" s="207"/>
      <c r="K41" t="b">
        <f>DONNEES_SOURCE!CA40</f>
        <v>1</v>
      </c>
      <c r="L41">
        <f>DONNEES_SOURCE!CB40</f>
        <v>4</v>
      </c>
      <c r="M41">
        <f>DONNEES_SOURCE!BV40</f>
        <v>4</v>
      </c>
      <c r="N41">
        <f>IFERROR(VALUE(LEFT(DONNEES_SOURCE!AJ40,1)),DONNEES_SOURCE!AJ40)</f>
        <v>4</v>
      </c>
      <c r="O41">
        <f>IFERROR(VALUE(LEFT(DONNEES_SOURCE!AK40,1)),DONNEES_SOURCE!AK40)</f>
        <v>6</v>
      </c>
      <c r="P41">
        <f>DONNEES_SOURCE!BQ40</f>
        <v>2</v>
      </c>
    </row>
    <row r="42" spans="1:16" x14ac:dyDescent="0.25">
      <c r="A42" t="s">
        <v>761</v>
      </c>
      <c r="B42" t="s">
        <v>296</v>
      </c>
      <c r="C42" t="s">
        <v>498</v>
      </c>
      <c r="D42" s="191" cm="1">
        <f t="array" ref="D42">SUMPRODUCT(($K$3:$K$102=TRUE)*($M$3:$M$102&lt;&gt;"")*($L$3:$L$102&lt;&gt;""))</f>
        <v>67</v>
      </c>
      <c r="E42" s="200" cm="1">
        <f t="array" ref="E42">CORREL(_xlfn._xlws.FILTER(_xlfn.RANK.AVG($M$3:$M$102,$M$3:$M$102,1),($K$3:$K$102=TRUE)*($M$3:$M$102&lt;&gt;"")*($L$3:$L$102&lt;&gt;"")),_xlfn._xlws.FILTER(_xlfn.RANK.AVG($L$3:$L$102,$L$3:$L$102,1),($K$3:$K$102=TRUE)*($M$3:$M$102&lt;&gt;"")*($L$3:$L$102&lt;&gt;"")))</f>
        <v>0.3249278719182116</v>
      </c>
      <c r="F42" s="200">
        <f>E42*SQRT(D42-2)/SQRT(1-E42^2)</f>
        <v>2.7699532393942992</v>
      </c>
      <c r="G42" s="191">
        <f>D42-2</f>
        <v>65</v>
      </c>
      <c r="H42" s="200">
        <f>_xlfn.T.DIST.2T(ABS(F42),G42)</f>
        <v>7.3005317475038451E-3</v>
      </c>
      <c r="I42" t="str">
        <f>IF(H42&lt;0.001,"***",IF(H42&lt;0.01,"**",IF(H42&lt;0.05,"*",IF(H42&lt;0.1,".","NS"))))</f>
        <v>**</v>
      </c>
      <c r="K42" t="b">
        <f>DONNEES_SOURCE!CA41</f>
        <v>1</v>
      </c>
      <c r="L42">
        <f>DONNEES_SOURCE!CB41</f>
        <v>5</v>
      </c>
      <c r="M42">
        <f>DONNEES_SOURCE!BV41</f>
        <v>3.6667000000000001</v>
      </c>
      <c r="N42">
        <f>IFERROR(VALUE(LEFT(DONNEES_SOURCE!AJ41,1)),DONNEES_SOURCE!AJ41)</f>
        <v>5</v>
      </c>
      <c r="O42">
        <f>IFERROR(VALUE(LEFT(DONNEES_SOURCE!AK41,1)),DONNEES_SOURCE!AK41)</f>
        <v>5</v>
      </c>
      <c r="P42">
        <f>DONNEES_SOURCE!BQ41</f>
        <v>1</v>
      </c>
    </row>
    <row r="43" spans="1:16" x14ac:dyDescent="0.25">
      <c r="K43" t="b">
        <f>DONNEES_SOURCE!CA42</f>
        <v>1</v>
      </c>
      <c r="L43">
        <f>DONNEES_SOURCE!CB42</f>
        <v>7</v>
      </c>
      <c r="M43">
        <f>DONNEES_SOURCE!BV42</f>
        <v>4</v>
      </c>
      <c r="N43">
        <f>IFERROR(VALUE(LEFT(DONNEES_SOURCE!AJ42,1)),DONNEES_SOURCE!AJ42)</f>
        <v>6</v>
      </c>
      <c r="O43">
        <f>IFERROR(VALUE(LEFT(DONNEES_SOURCE!AK42,1)),DONNEES_SOURCE!AK42)</f>
        <v>4</v>
      </c>
      <c r="P43">
        <f>DONNEES_SOURCE!BQ42</f>
        <v>2</v>
      </c>
    </row>
    <row r="44" spans="1:16" x14ac:dyDescent="0.25">
      <c r="K44" t="b">
        <f>DONNEES_SOURCE!CA43</f>
        <v>1</v>
      </c>
      <c r="L44">
        <f>DONNEES_SOURCE!CB43</f>
        <v>5</v>
      </c>
      <c r="M44">
        <f>DONNEES_SOURCE!BV43</f>
        <v>5</v>
      </c>
      <c r="N44">
        <f>IFERROR(VALUE(LEFT(DONNEES_SOURCE!AJ43,1)),DONNEES_SOURCE!AJ43)</f>
        <v>5</v>
      </c>
      <c r="O44">
        <f>IFERROR(VALUE(LEFT(DONNEES_SOURCE!AK43,1)),DONNEES_SOURCE!AK43)</f>
        <v>6</v>
      </c>
      <c r="P44">
        <f>DONNEES_SOURCE!BQ43</f>
        <v>4</v>
      </c>
    </row>
    <row r="45" spans="1:16" x14ac:dyDescent="0.25">
      <c r="K45" t="b">
        <f>DONNEES_SOURCE!CA44</f>
        <v>1</v>
      </c>
      <c r="L45">
        <f>DONNEES_SOURCE!CB44</f>
        <v>5</v>
      </c>
      <c r="M45">
        <f>DONNEES_SOURCE!BV44</f>
        <v>4</v>
      </c>
      <c r="N45">
        <f>IFERROR(VALUE(LEFT(DONNEES_SOURCE!AJ44,1)),DONNEES_SOURCE!AJ44)</f>
        <v>4</v>
      </c>
      <c r="O45">
        <f>IFERROR(VALUE(LEFT(DONNEES_SOURCE!AK44,1)),DONNEES_SOURCE!AK44)</f>
        <v>5</v>
      </c>
      <c r="P45">
        <f>DONNEES_SOURCE!BQ44</f>
        <v>3</v>
      </c>
    </row>
    <row r="46" spans="1:16" x14ac:dyDescent="0.25">
      <c r="K46" t="b">
        <f>DONNEES_SOURCE!CA45</f>
        <v>1</v>
      </c>
      <c r="L46">
        <f>DONNEES_SOURCE!CB45</f>
        <v>6</v>
      </c>
      <c r="M46">
        <f>DONNEES_SOURCE!BV45</f>
        <v>4</v>
      </c>
      <c r="N46">
        <f>IFERROR(VALUE(LEFT(DONNEES_SOURCE!AJ45,1)),DONNEES_SOURCE!AJ45)</f>
        <v>5</v>
      </c>
      <c r="O46">
        <f>IFERROR(VALUE(LEFT(DONNEES_SOURCE!AK45,1)),DONNEES_SOURCE!AK45)</f>
        <v>5</v>
      </c>
      <c r="P46">
        <f>DONNEES_SOURCE!BQ45</f>
        <v>2</v>
      </c>
    </row>
    <row r="47" spans="1:16" x14ac:dyDescent="0.25">
      <c r="A47" s="206" t="s">
        <v>762</v>
      </c>
      <c r="B47" s="207"/>
      <c r="C47" s="207"/>
      <c r="D47" s="207"/>
      <c r="E47" s="207"/>
      <c r="F47" s="207"/>
      <c r="G47" s="207"/>
      <c r="H47" s="207"/>
      <c r="I47" s="207"/>
      <c r="K47" t="b">
        <f>DONNEES_SOURCE!CA46</f>
        <v>1</v>
      </c>
      <c r="L47">
        <f>DONNEES_SOURCE!CB46</f>
        <v>6</v>
      </c>
      <c r="M47">
        <f>DONNEES_SOURCE!BV46</f>
        <v>4.6666999999999996</v>
      </c>
      <c r="N47">
        <f>IFERROR(VALUE(LEFT(DONNEES_SOURCE!AJ46,1)),DONNEES_SOURCE!AJ46)</f>
        <v>4</v>
      </c>
      <c r="O47">
        <f>IFERROR(VALUE(LEFT(DONNEES_SOURCE!AK46,1)),DONNEES_SOURCE!AK46)</f>
        <v>6</v>
      </c>
      <c r="P47">
        <f>DONNEES_SOURCE!BQ46</f>
        <v>4</v>
      </c>
    </row>
    <row r="48" spans="1:16" x14ac:dyDescent="0.25">
      <c r="A48" t="s">
        <v>763</v>
      </c>
      <c r="B48" t="s">
        <v>764</v>
      </c>
      <c r="C48" t="s">
        <v>498</v>
      </c>
      <c r="D48" s="191" cm="1">
        <f t="array" ref="D48">SUMPRODUCT(($K$3:$K$102=TRUE)*($N$3:$N$102&lt;&gt;"")*($L$3:$L$102&lt;&gt;""))</f>
        <v>67</v>
      </c>
      <c r="E48" s="200" cm="1">
        <f t="array" ref="E48">CORREL(_xlfn._xlws.FILTER(_xlfn.RANK.AVG($N$3:$N$102,$N$3:$N$102,1),($K$3:$K$102=TRUE)*($N$3:$N$102&lt;&gt;"")*($L$3:$L$102&lt;&gt;"")),_xlfn._xlws.FILTER(_xlfn.RANK.AVG($L$3:$L$102,$L$3:$L$102,1),($K$3:$K$102=TRUE)*($N$3:$N$102&lt;&gt;"")*($L$3:$L$102&lt;&gt;"")))</f>
        <v>0.2572891985945141</v>
      </c>
      <c r="F48" s="200">
        <f>E48*SQRT(D48-2)/SQRT(1-E48^2)</f>
        <v>2.1465982466005937</v>
      </c>
      <c r="G48" s="191">
        <f>D48-2</f>
        <v>65</v>
      </c>
      <c r="H48" s="200">
        <f>_xlfn.T.DIST.2T(ABS(F48),G48)</f>
        <v>3.5562325923429117E-2</v>
      </c>
      <c r="I48" t="str">
        <f>IF(H48&lt;0.001,"***",IF(H48&lt;0.01,"**",IF(H48&lt;0.05,"*",IF(H48&lt;0.1,".","NS"))))</f>
        <v>*</v>
      </c>
      <c r="K48" t="b">
        <f>DONNEES_SOURCE!CA47</f>
        <v>1</v>
      </c>
      <c r="L48">
        <f>DONNEES_SOURCE!CB47</f>
        <v>4</v>
      </c>
      <c r="M48">
        <f>DONNEES_SOURCE!BV47</f>
        <v>5.3333000000000004</v>
      </c>
      <c r="N48">
        <f>IFERROR(VALUE(LEFT(DONNEES_SOURCE!AJ47,1)),DONNEES_SOURCE!AJ47)</f>
        <v>6</v>
      </c>
      <c r="O48">
        <f>IFERROR(VALUE(LEFT(DONNEES_SOURCE!AK47,1)),DONNEES_SOURCE!AK47)</f>
        <v>6</v>
      </c>
      <c r="P48">
        <f>DONNEES_SOURCE!BQ47</f>
        <v>4</v>
      </c>
    </row>
    <row r="49" spans="1:16" x14ac:dyDescent="0.25">
      <c r="K49" t="b">
        <f>DONNEES_SOURCE!CA48</f>
        <v>1</v>
      </c>
      <c r="L49">
        <f>DONNEES_SOURCE!CB48</f>
        <v>5</v>
      </c>
      <c r="M49">
        <f>DONNEES_SOURCE!BV48</f>
        <v>5.6666999999999996</v>
      </c>
      <c r="N49">
        <f>IFERROR(VALUE(LEFT(DONNEES_SOURCE!AJ48,1)),DONNEES_SOURCE!AJ48)</f>
        <v>7</v>
      </c>
      <c r="O49">
        <f>IFERROR(VALUE(LEFT(DONNEES_SOURCE!AK48,1)),DONNEES_SOURCE!AK48)</f>
        <v>7</v>
      </c>
      <c r="P49">
        <f>DONNEES_SOURCE!BQ48</f>
        <v>3</v>
      </c>
    </row>
    <row r="50" spans="1:16" x14ac:dyDescent="0.25">
      <c r="K50" t="b">
        <f>DONNEES_SOURCE!CA49</f>
        <v>1</v>
      </c>
      <c r="L50">
        <f>DONNEES_SOURCE!CB49</f>
        <v>5</v>
      </c>
      <c r="M50">
        <f>DONNEES_SOURCE!BV49</f>
        <v>4.3333000000000004</v>
      </c>
      <c r="N50">
        <f>IFERROR(VALUE(LEFT(DONNEES_SOURCE!AJ49,1)),DONNEES_SOURCE!AJ49)</f>
        <v>4</v>
      </c>
      <c r="O50">
        <f>IFERROR(VALUE(LEFT(DONNEES_SOURCE!AK49,1)),DONNEES_SOURCE!AK49)</f>
        <v>5</v>
      </c>
      <c r="P50">
        <f>DONNEES_SOURCE!BQ49</f>
        <v>4</v>
      </c>
    </row>
    <row r="51" spans="1:16" x14ac:dyDescent="0.25">
      <c r="K51" t="b">
        <f>DONNEES_SOURCE!CA50</f>
        <v>1</v>
      </c>
      <c r="L51">
        <f>DONNEES_SOURCE!CB50</f>
        <v>5</v>
      </c>
      <c r="M51">
        <f>DONNEES_SOURCE!BV50</f>
        <v>4.3333000000000004</v>
      </c>
      <c r="N51">
        <f>IFERROR(VALUE(LEFT(DONNEES_SOURCE!AJ50,1)),DONNEES_SOURCE!AJ50)</f>
        <v>5</v>
      </c>
      <c r="O51">
        <f>IFERROR(VALUE(LEFT(DONNEES_SOURCE!AK50,1)),DONNEES_SOURCE!AK50)</f>
        <v>5</v>
      </c>
      <c r="P51">
        <f>DONNEES_SOURCE!BQ50</f>
        <v>3</v>
      </c>
    </row>
    <row r="52" spans="1:16" x14ac:dyDescent="0.25">
      <c r="K52" t="b">
        <f>DONNEES_SOURCE!CA51</f>
        <v>1</v>
      </c>
      <c r="L52">
        <f>DONNEES_SOURCE!CB51</f>
        <v>5</v>
      </c>
      <c r="M52">
        <f>DONNEES_SOURCE!BV51</f>
        <v>4.3333000000000004</v>
      </c>
      <c r="N52">
        <f>IFERROR(VALUE(LEFT(DONNEES_SOURCE!AJ51,1)),DONNEES_SOURCE!AJ51)</f>
        <v>6</v>
      </c>
      <c r="O52">
        <f>IFERROR(VALUE(LEFT(DONNEES_SOURCE!AK51,1)),DONNEES_SOURCE!AK51)</f>
        <v>5</v>
      </c>
      <c r="P52">
        <f>DONNEES_SOURCE!BQ51</f>
        <v>2</v>
      </c>
    </row>
    <row r="53" spans="1:16" x14ac:dyDescent="0.25">
      <c r="A53" s="206" t="s">
        <v>765</v>
      </c>
      <c r="B53" s="207"/>
      <c r="C53" s="207"/>
      <c r="D53" s="207"/>
      <c r="E53" s="207"/>
      <c r="F53" s="207"/>
      <c r="G53" s="207"/>
      <c r="H53" s="207"/>
      <c r="I53" s="207"/>
      <c r="K53" t="b">
        <f>DONNEES_SOURCE!CA52</f>
        <v>1</v>
      </c>
      <c r="L53">
        <f>DONNEES_SOURCE!CB52</f>
        <v>4</v>
      </c>
      <c r="M53">
        <f>DONNEES_SOURCE!BV52</f>
        <v>5.6666999999999996</v>
      </c>
      <c r="N53">
        <f>IFERROR(VALUE(LEFT(DONNEES_SOURCE!AJ52,1)),DONNEES_SOURCE!AJ52)</f>
        <v>6</v>
      </c>
      <c r="O53">
        <f>IFERROR(VALUE(LEFT(DONNEES_SOURCE!AK52,1)),DONNEES_SOURCE!AK52)</f>
        <v>5</v>
      </c>
      <c r="P53">
        <f>DONNEES_SOURCE!BQ52</f>
        <v>6</v>
      </c>
    </row>
    <row r="54" spans="1:16" x14ac:dyDescent="0.25">
      <c r="A54" t="s">
        <v>766</v>
      </c>
      <c r="B54" t="s">
        <v>767</v>
      </c>
      <c r="C54" t="s">
        <v>498</v>
      </c>
      <c r="D54" s="191" cm="1">
        <f t="array" ref="D54">SUMPRODUCT(($K$3:$K$102=TRUE)*($O$3:$O$102&lt;&gt;"")*($L$3:$L$102&lt;&gt;""))</f>
        <v>67</v>
      </c>
      <c r="E54" s="200" cm="1">
        <f t="array" ref="E54">CORREL(_xlfn._xlws.FILTER(_xlfn.RANK.AVG($O$3:$O$102,$O$3:$O$102,1),($K$3:$K$102=TRUE)*($O$3:$O$102&lt;&gt;"")*($L$3:$L$102&lt;&gt;"")),_xlfn._xlws.FILTER(_xlfn.RANK.AVG($L$3:$L$102,$L$3:$L$102,1),($K$3:$K$102=TRUE)*($O$3:$O$102&lt;&gt;"")*($L$3:$L$102&lt;&gt;"")))</f>
        <v>0.49220463736035647</v>
      </c>
      <c r="F54" s="200">
        <f>E54*SQRT(D54-2)/SQRT(1-E54^2)</f>
        <v>4.5587294813402766</v>
      </c>
      <c r="G54" s="191">
        <f>D54-2</f>
        <v>65</v>
      </c>
      <c r="H54" s="190">
        <f>_xlfn.T.DIST.2T(ABS(F54),G54)</f>
        <v>2.3313128937962319E-5</v>
      </c>
      <c r="I54" t="str">
        <f>IF(H54&lt;0.001,"***",IF(H54&lt;0.01,"**",IF(H54&lt;0.05,"*",IF(H54&lt;0.1,".","NS"))))</f>
        <v>***</v>
      </c>
      <c r="K54" t="b">
        <f>DONNEES_SOURCE!CA53</f>
        <v>1</v>
      </c>
      <c r="L54">
        <f>DONNEES_SOURCE!CB53</f>
        <v>7</v>
      </c>
      <c r="M54">
        <f>DONNEES_SOURCE!BV53</f>
        <v>6.6666999999999996</v>
      </c>
      <c r="N54">
        <f>IFERROR(VALUE(LEFT(DONNEES_SOURCE!AJ53,1)),DONNEES_SOURCE!AJ53)</f>
        <v>7</v>
      </c>
      <c r="O54">
        <f>IFERROR(VALUE(LEFT(DONNEES_SOURCE!AK53,1)),DONNEES_SOURCE!AK53)</f>
        <v>7</v>
      </c>
      <c r="P54">
        <f>DONNEES_SOURCE!BQ53</f>
        <v>6</v>
      </c>
    </row>
    <row r="55" spans="1:16" x14ac:dyDescent="0.25">
      <c r="K55" t="b">
        <f>DONNEES_SOURCE!CA54</f>
        <v>1</v>
      </c>
      <c r="L55">
        <f>DONNEES_SOURCE!CB54</f>
        <v>7</v>
      </c>
      <c r="M55">
        <f>DONNEES_SOURCE!BV54</f>
        <v>4.3333000000000004</v>
      </c>
      <c r="N55">
        <f>IFERROR(VALUE(LEFT(DONNEES_SOURCE!AJ54,1)),DONNEES_SOURCE!AJ54)</f>
        <v>5</v>
      </c>
      <c r="O55">
        <f>IFERROR(VALUE(LEFT(DONNEES_SOURCE!AK54,1)),DONNEES_SOURCE!AK54)</f>
        <v>6</v>
      </c>
      <c r="P55">
        <f>DONNEES_SOURCE!BQ54</f>
        <v>2</v>
      </c>
    </row>
    <row r="56" spans="1:16" x14ac:dyDescent="0.25">
      <c r="K56" t="b">
        <f>DONNEES_SOURCE!CA55</f>
        <v>1</v>
      </c>
      <c r="L56">
        <f>DONNEES_SOURCE!CB55</f>
        <v>5</v>
      </c>
      <c r="M56">
        <f>DONNEES_SOURCE!BV55</f>
        <v>6.3333000000000004</v>
      </c>
      <c r="N56">
        <f>IFERROR(VALUE(LEFT(DONNEES_SOURCE!AJ55,1)),DONNEES_SOURCE!AJ55)</f>
        <v>7</v>
      </c>
      <c r="O56">
        <f>IFERROR(VALUE(LEFT(DONNEES_SOURCE!AK55,1)),DONNEES_SOURCE!AK55)</f>
        <v>6</v>
      </c>
      <c r="P56">
        <f>DONNEES_SOURCE!BQ55</f>
        <v>6</v>
      </c>
    </row>
    <row r="57" spans="1:16" x14ac:dyDescent="0.25">
      <c r="K57" t="b">
        <f>DONNEES_SOURCE!CA56</f>
        <v>1</v>
      </c>
      <c r="L57">
        <f>DONNEES_SOURCE!CB56</f>
        <v>5</v>
      </c>
      <c r="M57">
        <f>DONNEES_SOURCE!BV56</f>
        <v>4.6666999999999996</v>
      </c>
      <c r="N57">
        <f>IFERROR(VALUE(LEFT(DONNEES_SOURCE!AJ56,1)),DONNEES_SOURCE!AJ56)</f>
        <v>6</v>
      </c>
      <c r="O57">
        <f>IFERROR(VALUE(LEFT(DONNEES_SOURCE!AK56,1)),DONNEES_SOURCE!AK56)</f>
        <v>6</v>
      </c>
      <c r="P57">
        <f>DONNEES_SOURCE!BQ56</f>
        <v>2</v>
      </c>
    </row>
    <row r="58" spans="1:16" x14ac:dyDescent="0.25">
      <c r="K58" t="b">
        <f>DONNEES_SOURCE!CA57</f>
        <v>1</v>
      </c>
      <c r="L58">
        <f>DONNEES_SOURCE!CB57</f>
        <v>6</v>
      </c>
      <c r="M58">
        <f>DONNEES_SOURCE!BV57</f>
        <v>4.6666999999999996</v>
      </c>
      <c r="N58">
        <f>IFERROR(VALUE(LEFT(DONNEES_SOURCE!AJ57,1)),DONNEES_SOURCE!AJ57)</f>
        <v>5</v>
      </c>
      <c r="O58">
        <f>IFERROR(VALUE(LEFT(DONNEES_SOURCE!AK57,1)),DONNEES_SOURCE!AK57)</f>
        <v>5</v>
      </c>
      <c r="P58">
        <f>DONNEES_SOURCE!BQ57</f>
        <v>4</v>
      </c>
    </row>
    <row r="59" spans="1:16" x14ac:dyDescent="0.25">
      <c r="A59" s="206" t="s">
        <v>768</v>
      </c>
      <c r="B59" s="207"/>
      <c r="C59" s="207"/>
      <c r="D59" s="207"/>
      <c r="E59" s="207"/>
      <c r="F59" s="207"/>
      <c r="G59" s="207"/>
      <c r="H59" s="207"/>
      <c r="I59" s="207"/>
      <c r="K59" t="b">
        <f>DONNEES_SOURCE!CA58</f>
        <v>1</v>
      </c>
      <c r="L59">
        <f>DONNEES_SOURCE!CB58</f>
        <v>5</v>
      </c>
      <c r="M59">
        <f>DONNEES_SOURCE!BV58</f>
        <v>4.3333000000000004</v>
      </c>
      <c r="N59">
        <f>IFERROR(VALUE(LEFT(DONNEES_SOURCE!AJ58,1)),DONNEES_SOURCE!AJ58)</f>
        <v>5</v>
      </c>
      <c r="O59">
        <f>IFERROR(VALUE(LEFT(DONNEES_SOURCE!AK58,1)),DONNEES_SOURCE!AK58)</f>
        <v>5</v>
      </c>
      <c r="P59">
        <f>DONNEES_SOURCE!BQ58</f>
        <v>3</v>
      </c>
    </row>
    <row r="60" spans="1:16" x14ac:dyDescent="0.25">
      <c r="A60" t="s">
        <v>769</v>
      </c>
      <c r="B60" t="s">
        <v>291</v>
      </c>
      <c r="C60" t="s">
        <v>498</v>
      </c>
      <c r="D60" s="191" cm="1">
        <f t="array" ref="D60">SUMPRODUCT(($K$3:$K$102=TRUE)*($P$3:$P$102&lt;&gt;"")*($L$3:$L$102&lt;&gt;""))</f>
        <v>67</v>
      </c>
      <c r="E60" s="200" cm="1">
        <f t="array" ref="E60">CORREL(_xlfn._xlws.FILTER(_xlfn.RANK.AVG($P$3:$P$102,$P$3:$P$102,1),($K$3:$K$102=TRUE)*($P$3:$P$102&lt;&gt;"")*($L$3:$L$102&lt;&gt;"")),_xlfn._xlws.FILTER(_xlfn.RANK.AVG($L$3:$L$102,$L$3:$L$102,1),($K$3:$K$102=TRUE)*($P$3:$P$102&lt;&gt;"")*($L$3:$L$102&lt;&gt;"")))</f>
        <v>0.13965812301593633</v>
      </c>
      <c r="F60" s="200">
        <f>E60*SQRT(D60-2)/SQRT(1-E60^2)</f>
        <v>1.1371036478038479</v>
      </c>
      <c r="G60" s="191">
        <f>D60-2</f>
        <v>65</v>
      </c>
      <c r="H60" s="200">
        <f>_xlfn.T.DIST.2T(ABS(F60),G60)</f>
        <v>0.25966951543664168</v>
      </c>
      <c r="I60" t="str">
        <f>IF(H60&lt;0.001,"***",IF(H60&lt;0.01,"**",IF(H60&lt;0.05,"*",IF(H60&lt;0.1,".","NS"))))</f>
        <v>NS</v>
      </c>
      <c r="K60" t="b">
        <f>DONNEES_SOURCE!CA59</f>
        <v>1</v>
      </c>
      <c r="L60">
        <f>DONNEES_SOURCE!CB59</f>
        <v>4</v>
      </c>
      <c r="M60">
        <f>DONNEES_SOURCE!BV59</f>
        <v>4.3333000000000004</v>
      </c>
      <c r="N60">
        <f>IFERROR(VALUE(LEFT(DONNEES_SOURCE!AJ59,1)),DONNEES_SOURCE!AJ59)</f>
        <v>4</v>
      </c>
      <c r="O60">
        <f>IFERROR(VALUE(LEFT(DONNEES_SOURCE!AK59,1)),DONNEES_SOURCE!AK59)</f>
        <v>5</v>
      </c>
      <c r="P60">
        <f>DONNEES_SOURCE!BQ59</f>
        <v>4</v>
      </c>
    </row>
    <row r="61" spans="1:16" x14ac:dyDescent="0.25">
      <c r="K61" t="b">
        <f>DONNEES_SOURCE!CA60</f>
        <v>1</v>
      </c>
      <c r="L61">
        <f>DONNEES_SOURCE!CB60</f>
        <v>6</v>
      </c>
      <c r="M61">
        <f>DONNEES_SOURCE!BV60</f>
        <v>5.6666999999999996</v>
      </c>
      <c r="N61">
        <f>IFERROR(VALUE(LEFT(DONNEES_SOURCE!AJ60,1)),DONNEES_SOURCE!AJ60)</f>
        <v>7</v>
      </c>
      <c r="O61">
        <f>IFERROR(VALUE(LEFT(DONNEES_SOURCE!AK60,1)),DONNEES_SOURCE!AK60)</f>
        <v>7</v>
      </c>
      <c r="P61">
        <f>DONNEES_SOURCE!BQ60</f>
        <v>3</v>
      </c>
    </row>
    <row r="62" spans="1:16" x14ac:dyDescent="0.25">
      <c r="K62" t="b">
        <f>DONNEES_SOURCE!CA61</f>
        <v>1</v>
      </c>
      <c r="L62">
        <f>DONNEES_SOURCE!CB61</f>
        <v>5</v>
      </c>
      <c r="M62">
        <f>DONNEES_SOURCE!BV61</f>
        <v>3</v>
      </c>
      <c r="N62">
        <f>IFERROR(VALUE(LEFT(DONNEES_SOURCE!AJ61,1)),DONNEES_SOURCE!AJ61)</f>
        <v>3</v>
      </c>
      <c r="O62">
        <f>IFERROR(VALUE(LEFT(DONNEES_SOURCE!AK61,1)),DONNEES_SOURCE!AK61)</f>
        <v>5</v>
      </c>
      <c r="P62">
        <f>DONNEES_SOURCE!BQ61</f>
        <v>1</v>
      </c>
    </row>
    <row r="63" spans="1:16" x14ac:dyDescent="0.25">
      <c r="A63" s="304" t="s">
        <v>770</v>
      </c>
      <c r="B63" s="301"/>
      <c r="C63" s="301"/>
      <c r="D63" s="301"/>
      <c r="E63" s="301"/>
      <c r="F63" s="301"/>
      <c r="G63" s="301"/>
      <c r="H63" s="301"/>
      <c r="I63" s="301"/>
      <c r="J63" s="301"/>
      <c r="K63" t="b">
        <f>DONNEES_SOURCE!CA62</f>
        <v>1</v>
      </c>
      <c r="L63">
        <f>DONNEES_SOURCE!CB62</f>
        <v>4</v>
      </c>
      <c r="M63">
        <f>DONNEES_SOURCE!BV62</f>
        <v>5.3333000000000004</v>
      </c>
      <c r="N63">
        <f>IFERROR(VALUE(LEFT(DONNEES_SOURCE!AJ62,1)),DONNEES_SOURCE!AJ62)</f>
        <v>6</v>
      </c>
      <c r="O63">
        <f>IFERROR(VALUE(LEFT(DONNEES_SOURCE!AK62,1)),DONNEES_SOURCE!AK62)</f>
        <v>6</v>
      </c>
      <c r="P63">
        <f>DONNEES_SOURCE!BQ62</f>
        <v>4</v>
      </c>
    </row>
    <row r="64" spans="1:16" x14ac:dyDescent="0.25">
      <c r="A64" s="299" t="s">
        <v>771</v>
      </c>
      <c r="B64" s="254"/>
      <c r="C64" s="254"/>
      <c r="D64" s="254"/>
      <c r="E64" s="254"/>
      <c r="F64" s="254"/>
      <c r="G64" s="254"/>
      <c r="H64" s="254"/>
      <c r="I64" s="254"/>
      <c r="J64" s="254"/>
      <c r="K64" t="b">
        <f>DONNEES_SOURCE!CA63</f>
        <v>1</v>
      </c>
      <c r="L64">
        <f>DONNEES_SOURCE!CB63</f>
        <v>5</v>
      </c>
      <c r="M64">
        <f>DONNEES_SOURCE!BV63</f>
        <v>2.6667000000000001</v>
      </c>
      <c r="N64">
        <f>IFERROR(VALUE(LEFT(DONNEES_SOURCE!AJ63,1)),DONNEES_SOURCE!AJ63)</f>
        <v>4</v>
      </c>
      <c r="O64">
        <f>IFERROR(VALUE(LEFT(DONNEES_SOURCE!AK63,1)),DONNEES_SOURCE!AK63)</f>
        <v>3</v>
      </c>
      <c r="P64">
        <f>DONNEES_SOURCE!BQ63</f>
        <v>1</v>
      </c>
    </row>
    <row r="65" spans="1:16" x14ac:dyDescent="0.25">
      <c r="K65" t="b">
        <f>DONNEES_SOURCE!CA64</f>
        <v>1</v>
      </c>
      <c r="L65">
        <f>DONNEES_SOURCE!CB64</f>
        <v>3</v>
      </c>
      <c r="M65">
        <f>DONNEES_SOURCE!BV64</f>
        <v>4</v>
      </c>
      <c r="N65">
        <f>IFERROR(VALUE(LEFT(DONNEES_SOURCE!AJ64,1)),DONNEES_SOURCE!AJ64)</f>
        <v>5</v>
      </c>
      <c r="O65">
        <f>IFERROR(VALUE(LEFT(DONNEES_SOURCE!AK64,1)),DONNEES_SOURCE!AK64)</f>
        <v>5</v>
      </c>
      <c r="P65">
        <f>DONNEES_SOURCE!BQ64</f>
        <v>2</v>
      </c>
    </row>
    <row r="66" spans="1:16" x14ac:dyDescent="0.25">
      <c r="A66" s="299" t="s">
        <v>772</v>
      </c>
      <c r="B66" s="254"/>
      <c r="C66" s="254"/>
      <c r="D66" s="254"/>
      <c r="E66" s="254"/>
      <c r="F66" s="254"/>
      <c r="G66" s="254"/>
      <c r="H66" s="254"/>
      <c r="I66" s="254"/>
      <c r="J66" s="254"/>
      <c r="K66" t="b">
        <f>DONNEES_SOURCE!CA65</f>
        <v>1</v>
      </c>
      <c r="L66">
        <f>DONNEES_SOURCE!CB65</f>
        <v>5</v>
      </c>
      <c r="M66">
        <f>DONNEES_SOURCE!BV65</f>
        <v>4.6666999999999996</v>
      </c>
      <c r="N66">
        <f>IFERROR(VALUE(LEFT(DONNEES_SOURCE!AJ65,1)),DONNEES_SOURCE!AJ65)</f>
        <v>5</v>
      </c>
      <c r="O66">
        <f>IFERROR(VALUE(LEFT(DONNEES_SOURCE!AK65,1)),DONNEES_SOURCE!AK65)</f>
        <v>6</v>
      </c>
      <c r="P66">
        <f>DONNEES_SOURCE!BQ65</f>
        <v>3</v>
      </c>
    </row>
    <row r="67" spans="1:16" x14ac:dyDescent="0.25">
      <c r="K67" t="b">
        <f>DONNEES_SOURCE!CA66</f>
        <v>1</v>
      </c>
      <c r="L67">
        <f>DONNEES_SOURCE!CB66</f>
        <v>5</v>
      </c>
      <c r="M67">
        <f>DONNEES_SOURCE!BV66</f>
        <v>4.6666999999999996</v>
      </c>
      <c r="N67">
        <f>IFERROR(VALUE(LEFT(DONNEES_SOURCE!AJ66,1)),DONNEES_SOURCE!AJ66)</f>
        <v>6</v>
      </c>
      <c r="O67">
        <f>IFERROR(VALUE(LEFT(DONNEES_SOURCE!AK66,1)),DONNEES_SOURCE!AK66)</f>
        <v>6</v>
      </c>
      <c r="P67">
        <f>DONNEES_SOURCE!BQ66</f>
        <v>2</v>
      </c>
    </row>
    <row r="68" spans="1:16" x14ac:dyDescent="0.25">
      <c r="A68" s="299" t="s">
        <v>773</v>
      </c>
      <c r="B68" s="254"/>
      <c r="C68" s="254"/>
      <c r="D68" s="254"/>
      <c r="E68" s="254"/>
      <c r="F68" s="254"/>
      <c r="G68" s="254"/>
      <c r="H68" s="254"/>
      <c r="I68" s="254"/>
      <c r="J68" s="254"/>
      <c r="K68" t="b">
        <f>DONNEES_SOURCE!CA67</f>
        <v>1</v>
      </c>
      <c r="L68">
        <f>DONNEES_SOURCE!CB67</f>
        <v>4</v>
      </c>
      <c r="M68">
        <f>DONNEES_SOURCE!BV67</f>
        <v>4</v>
      </c>
      <c r="N68">
        <f>IFERROR(VALUE(LEFT(DONNEES_SOURCE!AJ67,1)),DONNEES_SOURCE!AJ67)</f>
        <v>4</v>
      </c>
      <c r="O68">
        <f>IFERROR(VALUE(LEFT(DONNEES_SOURCE!AK67,1)),DONNEES_SOURCE!AK67)</f>
        <v>5</v>
      </c>
      <c r="P68">
        <f>DONNEES_SOURCE!BQ67</f>
        <v>3</v>
      </c>
    </row>
    <row r="69" spans="1:16" x14ac:dyDescent="0.25">
      <c r="K69" t="b">
        <f>DONNEES_SOURCE!CA68</f>
        <v>1</v>
      </c>
      <c r="L69">
        <f>DONNEES_SOURCE!CB68</f>
        <v>6</v>
      </c>
      <c r="M69">
        <f>DONNEES_SOURCE!BV68</f>
        <v>6</v>
      </c>
      <c r="N69">
        <f>IFERROR(VALUE(LEFT(DONNEES_SOURCE!AJ68,1)),DONNEES_SOURCE!AJ68)</f>
        <v>7</v>
      </c>
      <c r="O69">
        <f>IFERROR(VALUE(LEFT(DONNEES_SOURCE!AK68,1)),DONNEES_SOURCE!AK68)</f>
        <v>6</v>
      </c>
      <c r="P69">
        <f>DONNEES_SOURCE!BQ68</f>
        <v>5</v>
      </c>
    </row>
    <row r="70" spans="1:16" x14ac:dyDescent="0.25">
      <c r="K70">
        <f>DONNEES_SOURCE!CA69</f>
        <v>0</v>
      </c>
      <c r="L70">
        <f>DONNEES_SOURCE!CB69</f>
        <v>0</v>
      </c>
      <c r="M70">
        <f>DONNEES_SOURCE!BV69</f>
        <v>0</v>
      </c>
      <c r="N70">
        <f>IFERROR(VALUE(LEFT(DONNEES_SOURCE!AJ69,1)),DONNEES_SOURCE!AJ69)</f>
        <v>0</v>
      </c>
      <c r="O70">
        <f>IFERROR(VALUE(LEFT(DONNEES_SOURCE!AK69,1)),DONNEES_SOURCE!AK69)</f>
        <v>0</v>
      </c>
      <c r="P70">
        <f>DONNEES_SOURCE!BQ69</f>
        <v>0</v>
      </c>
    </row>
    <row r="71" spans="1:16" x14ac:dyDescent="0.25">
      <c r="K71">
        <f>DONNEES_SOURCE!CA70</f>
        <v>0</v>
      </c>
      <c r="L71">
        <f>DONNEES_SOURCE!CB70</f>
        <v>0</v>
      </c>
      <c r="M71">
        <f>DONNEES_SOURCE!BV70</f>
        <v>0</v>
      </c>
      <c r="N71">
        <f>IFERROR(VALUE(LEFT(DONNEES_SOURCE!AJ70,1)),DONNEES_SOURCE!AJ70)</f>
        <v>0</v>
      </c>
      <c r="O71">
        <f>IFERROR(VALUE(LEFT(DONNEES_SOURCE!AK70,1)),DONNEES_SOURCE!AK70)</f>
        <v>0</v>
      </c>
      <c r="P71">
        <f>DONNEES_SOURCE!BQ70</f>
        <v>0</v>
      </c>
    </row>
    <row r="72" spans="1:16" x14ac:dyDescent="0.25">
      <c r="K72">
        <f>DONNEES_SOURCE!CA71</f>
        <v>0</v>
      </c>
      <c r="L72">
        <f>DONNEES_SOURCE!CB71</f>
        <v>0</v>
      </c>
      <c r="M72">
        <f>DONNEES_SOURCE!BV71</f>
        <v>0</v>
      </c>
      <c r="N72">
        <f>IFERROR(VALUE(LEFT(DONNEES_SOURCE!AJ71,1)),DONNEES_SOURCE!AJ71)</f>
        <v>0</v>
      </c>
      <c r="O72">
        <f>IFERROR(VALUE(LEFT(DONNEES_SOURCE!AK71,1)),DONNEES_SOURCE!AK71)</f>
        <v>0</v>
      </c>
      <c r="P72">
        <f>DONNEES_SOURCE!BQ71</f>
        <v>0</v>
      </c>
    </row>
    <row r="73" spans="1:16" x14ac:dyDescent="0.25">
      <c r="K73">
        <f>DONNEES_SOURCE!CA72</f>
        <v>0</v>
      </c>
      <c r="L73">
        <f>DONNEES_SOURCE!CB72</f>
        <v>0</v>
      </c>
      <c r="M73">
        <f>DONNEES_SOURCE!BV72</f>
        <v>0</v>
      </c>
      <c r="N73">
        <f>IFERROR(VALUE(LEFT(DONNEES_SOURCE!AJ72,1)),DONNEES_SOURCE!AJ72)</f>
        <v>0</v>
      </c>
      <c r="O73">
        <f>IFERROR(VALUE(LEFT(DONNEES_SOURCE!AK72,1)),DONNEES_SOURCE!AK72)</f>
        <v>0</v>
      </c>
      <c r="P73">
        <f>DONNEES_SOURCE!BQ72</f>
        <v>0</v>
      </c>
    </row>
    <row r="74" spans="1:16" x14ac:dyDescent="0.25">
      <c r="K74">
        <f>DONNEES_SOURCE!CA73</f>
        <v>0</v>
      </c>
      <c r="L74">
        <f>DONNEES_SOURCE!CB73</f>
        <v>0</v>
      </c>
      <c r="M74">
        <f>DONNEES_SOURCE!BV73</f>
        <v>0</v>
      </c>
      <c r="N74">
        <f>IFERROR(VALUE(LEFT(DONNEES_SOURCE!AJ73,1)),DONNEES_SOURCE!AJ73)</f>
        <v>0</v>
      </c>
      <c r="O74">
        <f>IFERROR(VALUE(LEFT(DONNEES_SOURCE!AK73,1)),DONNEES_SOURCE!AK73)</f>
        <v>0</v>
      </c>
      <c r="P74">
        <f>DONNEES_SOURCE!BQ73</f>
        <v>0</v>
      </c>
    </row>
    <row r="75" spans="1:16" x14ac:dyDescent="0.25">
      <c r="K75">
        <f>DONNEES_SOURCE!CA74</f>
        <v>0</v>
      </c>
      <c r="L75">
        <f>DONNEES_SOURCE!CB74</f>
        <v>0</v>
      </c>
      <c r="M75">
        <f>DONNEES_SOURCE!BV74</f>
        <v>0</v>
      </c>
      <c r="N75">
        <f>IFERROR(VALUE(LEFT(DONNEES_SOURCE!AJ74,1)),DONNEES_SOURCE!AJ74)</f>
        <v>0</v>
      </c>
      <c r="O75">
        <f>IFERROR(VALUE(LEFT(DONNEES_SOURCE!AK74,1)),DONNEES_SOURCE!AK74)</f>
        <v>0</v>
      </c>
      <c r="P75">
        <f>DONNEES_SOURCE!BQ74</f>
        <v>0</v>
      </c>
    </row>
    <row r="76" spans="1:16" x14ac:dyDescent="0.25">
      <c r="K76">
        <f>DONNEES_SOURCE!CA75</f>
        <v>0</v>
      </c>
      <c r="L76">
        <f>DONNEES_SOURCE!CB75</f>
        <v>0</v>
      </c>
      <c r="M76">
        <f>DONNEES_SOURCE!BV75</f>
        <v>0</v>
      </c>
      <c r="N76">
        <f>IFERROR(VALUE(LEFT(DONNEES_SOURCE!AJ75,1)),DONNEES_SOURCE!AJ75)</f>
        <v>0</v>
      </c>
      <c r="O76">
        <f>IFERROR(VALUE(LEFT(DONNEES_SOURCE!AK75,1)),DONNEES_SOURCE!AK75)</f>
        <v>0</v>
      </c>
      <c r="P76">
        <f>DONNEES_SOURCE!BQ75</f>
        <v>0</v>
      </c>
    </row>
    <row r="77" spans="1:16" x14ac:dyDescent="0.25">
      <c r="K77">
        <f>DONNEES_SOURCE!CA76</f>
        <v>0</v>
      </c>
      <c r="L77">
        <f>DONNEES_SOURCE!CB76</f>
        <v>0</v>
      </c>
      <c r="M77">
        <f>DONNEES_SOURCE!BV76</f>
        <v>0</v>
      </c>
      <c r="N77">
        <f>IFERROR(VALUE(LEFT(DONNEES_SOURCE!AJ76,1)),DONNEES_SOURCE!AJ76)</f>
        <v>0</v>
      </c>
      <c r="O77">
        <f>IFERROR(VALUE(LEFT(DONNEES_SOURCE!AK76,1)),DONNEES_SOURCE!AK76)</f>
        <v>0</v>
      </c>
      <c r="P77">
        <f>DONNEES_SOURCE!BQ76</f>
        <v>0</v>
      </c>
    </row>
    <row r="78" spans="1:16" x14ac:dyDescent="0.25">
      <c r="K78">
        <f>DONNEES_SOURCE!CA77</f>
        <v>0</v>
      </c>
      <c r="L78">
        <f>DONNEES_SOURCE!CB77</f>
        <v>0</v>
      </c>
      <c r="M78">
        <f>DONNEES_SOURCE!BV77</f>
        <v>0</v>
      </c>
      <c r="N78">
        <f>IFERROR(VALUE(LEFT(DONNEES_SOURCE!AJ77,1)),DONNEES_SOURCE!AJ77)</f>
        <v>0</v>
      </c>
      <c r="O78">
        <f>IFERROR(VALUE(LEFT(DONNEES_SOURCE!AK77,1)),DONNEES_SOURCE!AK77)</f>
        <v>0</v>
      </c>
      <c r="P78">
        <f>DONNEES_SOURCE!BQ77</f>
        <v>0</v>
      </c>
    </row>
    <row r="79" spans="1:16" x14ac:dyDescent="0.25">
      <c r="K79">
        <f>DONNEES_SOURCE!CA78</f>
        <v>0</v>
      </c>
      <c r="L79">
        <f>DONNEES_SOURCE!CB78</f>
        <v>0</v>
      </c>
      <c r="M79">
        <f>DONNEES_SOURCE!BV78</f>
        <v>0</v>
      </c>
      <c r="N79">
        <f>IFERROR(VALUE(LEFT(DONNEES_SOURCE!AJ78,1)),DONNEES_SOURCE!AJ78)</f>
        <v>0</v>
      </c>
      <c r="O79">
        <f>IFERROR(VALUE(LEFT(DONNEES_SOURCE!AK78,1)),DONNEES_SOURCE!AK78)</f>
        <v>0</v>
      </c>
      <c r="P79">
        <f>DONNEES_SOURCE!BQ78</f>
        <v>0</v>
      </c>
    </row>
    <row r="80" spans="1:16" x14ac:dyDescent="0.25">
      <c r="K80">
        <f>DONNEES_SOURCE!CA79</f>
        <v>0</v>
      </c>
      <c r="L80">
        <f>DONNEES_SOURCE!CB79</f>
        <v>0</v>
      </c>
      <c r="M80">
        <f>DONNEES_SOURCE!BV79</f>
        <v>0</v>
      </c>
      <c r="N80">
        <f>IFERROR(VALUE(LEFT(DONNEES_SOURCE!AJ79,1)),DONNEES_SOURCE!AJ79)</f>
        <v>0</v>
      </c>
      <c r="O80">
        <f>IFERROR(VALUE(LEFT(DONNEES_SOURCE!AK79,1)),DONNEES_SOURCE!AK79)</f>
        <v>0</v>
      </c>
      <c r="P80">
        <f>DONNEES_SOURCE!BQ79</f>
        <v>0</v>
      </c>
    </row>
    <row r="81" spans="11:16" x14ac:dyDescent="0.25">
      <c r="K81">
        <f>DONNEES_SOURCE!CA80</f>
        <v>0</v>
      </c>
      <c r="L81">
        <f>DONNEES_SOURCE!CB80</f>
        <v>0</v>
      </c>
      <c r="M81">
        <f>DONNEES_SOURCE!BV80</f>
        <v>0</v>
      </c>
      <c r="N81">
        <f>IFERROR(VALUE(LEFT(DONNEES_SOURCE!AJ80,1)),DONNEES_SOURCE!AJ80)</f>
        <v>0</v>
      </c>
      <c r="O81">
        <f>IFERROR(VALUE(LEFT(DONNEES_SOURCE!AK80,1)),DONNEES_SOURCE!AK80)</f>
        <v>0</v>
      </c>
      <c r="P81">
        <f>DONNEES_SOURCE!BQ80</f>
        <v>0</v>
      </c>
    </row>
    <row r="82" spans="11:16" x14ac:dyDescent="0.25">
      <c r="K82">
        <f>DONNEES_SOURCE!CA81</f>
        <v>0</v>
      </c>
      <c r="L82">
        <f>DONNEES_SOURCE!CB81</f>
        <v>0</v>
      </c>
      <c r="M82">
        <f>DONNEES_SOURCE!BV81</f>
        <v>0</v>
      </c>
      <c r="N82">
        <f>IFERROR(VALUE(LEFT(DONNEES_SOURCE!AJ81,1)),DONNEES_SOURCE!AJ81)</f>
        <v>0</v>
      </c>
      <c r="O82">
        <f>IFERROR(VALUE(LEFT(DONNEES_SOURCE!AK81,1)),DONNEES_SOURCE!AK81)</f>
        <v>0</v>
      </c>
      <c r="P82">
        <f>DONNEES_SOURCE!BQ81</f>
        <v>0</v>
      </c>
    </row>
    <row r="83" spans="11:16" x14ac:dyDescent="0.25">
      <c r="K83">
        <f>DONNEES_SOURCE!CA82</f>
        <v>0</v>
      </c>
      <c r="L83">
        <f>DONNEES_SOURCE!CB82</f>
        <v>0</v>
      </c>
      <c r="M83">
        <f>DONNEES_SOURCE!BV82</f>
        <v>0</v>
      </c>
      <c r="N83">
        <f>IFERROR(VALUE(LEFT(DONNEES_SOURCE!AJ82,1)),DONNEES_SOURCE!AJ82)</f>
        <v>0</v>
      </c>
      <c r="O83">
        <f>IFERROR(VALUE(LEFT(DONNEES_SOURCE!AK82,1)),DONNEES_SOURCE!AK82)</f>
        <v>0</v>
      </c>
      <c r="P83">
        <f>DONNEES_SOURCE!BQ82</f>
        <v>0</v>
      </c>
    </row>
    <row r="84" spans="11:16" x14ac:dyDescent="0.25">
      <c r="K84">
        <f>DONNEES_SOURCE!CA83</f>
        <v>0</v>
      </c>
      <c r="L84">
        <f>DONNEES_SOURCE!CB83</f>
        <v>0</v>
      </c>
      <c r="M84">
        <f>DONNEES_SOURCE!BV83</f>
        <v>0</v>
      </c>
      <c r="N84">
        <f>IFERROR(VALUE(LEFT(DONNEES_SOURCE!AJ83,1)),DONNEES_SOURCE!AJ83)</f>
        <v>0</v>
      </c>
      <c r="O84">
        <f>IFERROR(VALUE(LEFT(DONNEES_SOURCE!AK83,1)),DONNEES_SOURCE!AK83)</f>
        <v>0</v>
      </c>
      <c r="P84">
        <f>DONNEES_SOURCE!BQ83</f>
        <v>0</v>
      </c>
    </row>
    <row r="85" spans="11:16" x14ac:dyDescent="0.25">
      <c r="K85">
        <f>DONNEES_SOURCE!CA84</f>
        <v>0</v>
      </c>
      <c r="L85">
        <f>DONNEES_SOURCE!CB84</f>
        <v>0</v>
      </c>
      <c r="M85">
        <f>DONNEES_SOURCE!BV84</f>
        <v>0</v>
      </c>
      <c r="N85">
        <f>IFERROR(VALUE(LEFT(DONNEES_SOURCE!AJ84,1)),DONNEES_SOURCE!AJ84)</f>
        <v>0</v>
      </c>
      <c r="O85">
        <f>IFERROR(VALUE(LEFT(DONNEES_SOURCE!AK84,1)),DONNEES_SOURCE!AK84)</f>
        <v>0</v>
      </c>
      <c r="P85">
        <f>DONNEES_SOURCE!BQ84</f>
        <v>0</v>
      </c>
    </row>
    <row r="86" spans="11:16" x14ac:dyDescent="0.25">
      <c r="K86">
        <f>DONNEES_SOURCE!CA85</f>
        <v>0</v>
      </c>
      <c r="L86">
        <f>DONNEES_SOURCE!CB85</f>
        <v>0</v>
      </c>
      <c r="M86">
        <f>DONNEES_SOURCE!BV85</f>
        <v>0</v>
      </c>
      <c r="N86">
        <f>IFERROR(VALUE(LEFT(DONNEES_SOURCE!AJ85,1)),DONNEES_SOURCE!AJ85)</f>
        <v>0</v>
      </c>
      <c r="O86">
        <f>IFERROR(VALUE(LEFT(DONNEES_SOURCE!AK85,1)),DONNEES_SOURCE!AK85)</f>
        <v>0</v>
      </c>
      <c r="P86">
        <f>DONNEES_SOURCE!BQ85</f>
        <v>0</v>
      </c>
    </row>
    <row r="87" spans="11:16" x14ac:dyDescent="0.25">
      <c r="K87">
        <f>DONNEES_SOURCE!CA86</f>
        <v>0</v>
      </c>
      <c r="L87">
        <f>DONNEES_SOURCE!CB86</f>
        <v>0</v>
      </c>
      <c r="M87">
        <f>DONNEES_SOURCE!BV86</f>
        <v>0</v>
      </c>
      <c r="N87">
        <f>IFERROR(VALUE(LEFT(DONNEES_SOURCE!AJ86,1)),DONNEES_SOURCE!AJ86)</f>
        <v>0</v>
      </c>
      <c r="O87">
        <f>IFERROR(VALUE(LEFT(DONNEES_SOURCE!AK86,1)),DONNEES_SOURCE!AK86)</f>
        <v>0</v>
      </c>
      <c r="P87">
        <f>DONNEES_SOURCE!BQ86</f>
        <v>0</v>
      </c>
    </row>
    <row r="88" spans="11:16" x14ac:dyDescent="0.25">
      <c r="K88">
        <f>DONNEES_SOURCE!CA87</f>
        <v>0</v>
      </c>
      <c r="L88">
        <f>DONNEES_SOURCE!CB87</f>
        <v>0</v>
      </c>
      <c r="M88">
        <f>DONNEES_SOURCE!BV87</f>
        <v>0</v>
      </c>
      <c r="N88">
        <f>IFERROR(VALUE(LEFT(DONNEES_SOURCE!AJ87,1)),DONNEES_SOURCE!AJ87)</f>
        <v>0</v>
      </c>
      <c r="O88">
        <f>IFERROR(VALUE(LEFT(DONNEES_SOURCE!AK87,1)),DONNEES_SOURCE!AK87)</f>
        <v>0</v>
      </c>
      <c r="P88">
        <f>DONNEES_SOURCE!BQ87</f>
        <v>0</v>
      </c>
    </row>
    <row r="89" spans="11:16" x14ac:dyDescent="0.25">
      <c r="K89">
        <f>DONNEES_SOURCE!CA88</f>
        <v>0</v>
      </c>
      <c r="L89">
        <f>DONNEES_SOURCE!CB88</f>
        <v>0</v>
      </c>
      <c r="M89">
        <f>DONNEES_SOURCE!BV88</f>
        <v>0</v>
      </c>
      <c r="N89">
        <f>IFERROR(VALUE(LEFT(DONNEES_SOURCE!AJ88,1)),DONNEES_SOURCE!AJ88)</f>
        <v>0</v>
      </c>
      <c r="O89">
        <f>IFERROR(VALUE(LEFT(DONNEES_SOURCE!AK88,1)),DONNEES_SOURCE!AK88)</f>
        <v>0</v>
      </c>
      <c r="P89">
        <f>DONNEES_SOURCE!BQ88</f>
        <v>0</v>
      </c>
    </row>
    <row r="90" spans="11:16" x14ac:dyDescent="0.25">
      <c r="K90">
        <f>DONNEES_SOURCE!CA89</f>
        <v>0</v>
      </c>
      <c r="L90">
        <f>DONNEES_SOURCE!CB89</f>
        <v>0</v>
      </c>
      <c r="M90">
        <f>DONNEES_SOURCE!BV89</f>
        <v>0</v>
      </c>
      <c r="N90">
        <f>IFERROR(VALUE(LEFT(DONNEES_SOURCE!AJ89,1)),DONNEES_SOURCE!AJ89)</f>
        <v>0</v>
      </c>
      <c r="O90">
        <f>IFERROR(VALUE(LEFT(DONNEES_SOURCE!AK89,1)),DONNEES_SOURCE!AK89)</f>
        <v>0</v>
      </c>
      <c r="P90">
        <f>DONNEES_SOURCE!BQ89</f>
        <v>0</v>
      </c>
    </row>
    <row r="91" spans="11:16" x14ac:dyDescent="0.25">
      <c r="K91">
        <f>DONNEES_SOURCE!CA90</f>
        <v>0</v>
      </c>
      <c r="L91">
        <f>DONNEES_SOURCE!CB90</f>
        <v>0</v>
      </c>
      <c r="M91">
        <f>DONNEES_SOURCE!BV90</f>
        <v>0</v>
      </c>
      <c r="N91">
        <f>IFERROR(VALUE(LEFT(DONNEES_SOURCE!AJ90,1)),DONNEES_SOURCE!AJ90)</f>
        <v>0</v>
      </c>
      <c r="O91">
        <f>IFERROR(VALUE(LEFT(DONNEES_SOURCE!AK90,1)),DONNEES_SOURCE!AK90)</f>
        <v>0</v>
      </c>
      <c r="P91">
        <f>DONNEES_SOURCE!BQ90</f>
        <v>0</v>
      </c>
    </row>
    <row r="92" spans="11:16" x14ac:dyDescent="0.25">
      <c r="K92">
        <f>DONNEES_SOURCE!CA91</f>
        <v>0</v>
      </c>
      <c r="L92">
        <f>DONNEES_SOURCE!CB91</f>
        <v>0</v>
      </c>
      <c r="M92">
        <f>DONNEES_SOURCE!BV91</f>
        <v>0</v>
      </c>
      <c r="N92">
        <f>IFERROR(VALUE(LEFT(DONNEES_SOURCE!AJ91,1)),DONNEES_SOURCE!AJ91)</f>
        <v>0</v>
      </c>
      <c r="O92">
        <f>IFERROR(VALUE(LEFT(DONNEES_SOURCE!AK91,1)),DONNEES_SOURCE!AK91)</f>
        <v>0</v>
      </c>
      <c r="P92">
        <f>DONNEES_SOURCE!BQ91</f>
        <v>0</v>
      </c>
    </row>
    <row r="93" spans="11:16" x14ac:dyDescent="0.25">
      <c r="K93">
        <f>DONNEES_SOURCE!CA92</f>
        <v>0</v>
      </c>
      <c r="L93">
        <f>DONNEES_SOURCE!CB92</f>
        <v>0</v>
      </c>
      <c r="M93">
        <f>DONNEES_SOURCE!BV92</f>
        <v>0</v>
      </c>
      <c r="N93">
        <f>IFERROR(VALUE(LEFT(DONNEES_SOURCE!AJ92,1)),DONNEES_SOURCE!AJ92)</f>
        <v>0</v>
      </c>
      <c r="O93">
        <f>IFERROR(VALUE(LEFT(DONNEES_SOURCE!AK92,1)),DONNEES_SOURCE!AK92)</f>
        <v>0</v>
      </c>
      <c r="P93">
        <f>DONNEES_SOURCE!BQ92</f>
        <v>0</v>
      </c>
    </row>
    <row r="94" spans="11:16" x14ac:dyDescent="0.25">
      <c r="K94">
        <f>DONNEES_SOURCE!CA93</f>
        <v>0</v>
      </c>
      <c r="L94">
        <f>DONNEES_SOURCE!CB93</f>
        <v>0</v>
      </c>
      <c r="M94">
        <f>DONNEES_SOURCE!BV93</f>
        <v>0</v>
      </c>
      <c r="N94">
        <f>IFERROR(VALUE(LEFT(DONNEES_SOURCE!AJ93,1)),DONNEES_SOURCE!AJ93)</f>
        <v>0</v>
      </c>
      <c r="O94">
        <f>IFERROR(VALUE(LEFT(DONNEES_SOURCE!AK93,1)),DONNEES_SOURCE!AK93)</f>
        <v>0</v>
      </c>
      <c r="P94">
        <f>DONNEES_SOURCE!BQ93</f>
        <v>0</v>
      </c>
    </row>
    <row r="95" spans="11:16" x14ac:dyDescent="0.25">
      <c r="K95">
        <f>DONNEES_SOURCE!CA94</f>
        <v>0</v>
      </c>
      <c r="L95">
        <f>DONNEES_SOURCE!CB94</f>
        <v>0</v>
      </c>
      <c r="M95">
        <f>DONNEES_SOURCE!BV94</f>
        <v>0</v>
      </c>
      <c r="N95">
        <f>IFERROR(VALUE(LEFT(DONNEES_SOURCE!AJ94,1)),DONNEES_SOURCE!AJ94)</f>
        <v>0</v>
      </c>
      <c r="O95">
        <f>IFERROR(VALUE(LEFT(DONNEES_SOURCE!AK94,1)),DONNEES_SOURCE!AK94)</f>
        <v>0</v>
      </c>
      <c r="P95">
        <f>DONNEES_SOURCE!BQ94</f>
        <v>0</v>
      </c>
    </row>
    <row r="96" spans="11:16" x14ac:dyDescent="0.25">
      <c r="K96">
        <f>DONNEES_SOURCE!CA95</f>
        <v>0</v>
      </c>
      <c r="L96">
        <f>DONNEES_SOURCE!CB95</f>
        <v>0</v>
      </c>
      <c r="M96">
        <f>DONNEES_SOURCE!BV95</f>
        <v>0</v>
      </c>
      <c r="N96">
        <f>IFERROR(VALUE(LEFT(DONNEES_SOURCE!AJ95,1)),DONNEES_SOURCE!AJ95)</f>
        <v>0</v>
      </c>
      <c r="O96">
        <f>IFERROR(VALUE(LEFT(DONNEES_SOURCE!AK95,1)),DONNEES_SOURCE!AK95)</f>
        <v>0</v>
      </c>
      <c r="P96">
        <f>DONNEES_SOURCE!BQ95</f>
        <v>0</v>
      </c>
    </row>
    <row r="97" spans="11:16" x14ac:dyDescent="0.25">
      <c r="K97">
        <f>DONNEES_SOURCE!CA96</f>
        <v>0</v>
      </c>
      <c r="L97">
        <f>DONNEES_SOURCE!CB96</f>
        <v>0</v>
      </c>
      <c r="M97">
        <f>DONNEES_SOURCE!BV96</f>
        <v>0</v>
      </c>
      <c r="N97">
        <f>IFERROR(VALUE(LEFT(DONNEES_SOURCE!AJ96,1)),DONNEES_SOURCE!AJ96)</f>
        <v>0</v>
      </c>
      <c r="O97">
        <f>IFERROR(VALUE(LEFT(DONNEES_SOURCE!AK96,1)),DONNEES_SOURCE!AK96)</f>
        <v>0</v>
      </c>
      <c r="P97">
        <f>DONNEES_SOURCE!BQ96</f>
        <v>0</v>
      </c>
    </row>
    <row r="98" spans="11:16" x14ac:dyDescent="0.25">
      <c r="K98">
        <f>DONNEES_SOURCE!CA97</f>
        <v>0</v>
      </c>
      <c r="L98">
        <f>DONNEES_SOURCE!CB97</f>
        <v>0</v>
      </c>
      <c r="M98">
        <f>DONNEES_SOURCE!BV97</f>
        <v>0</v>
      </c>
      <c r="N98">
        <f>IFERROR(VALUE(LEFT(DONNEES_SOURCE!AJ97,1)),DONNEES_SOURCE!AJ97)</f>
        <v>0</v>
      </c>
      <c r="O98">
        <f>IFERROR(VALUE(LEFT(DONNEES_SOURCE!AK97,1)),DONNEES_SOURCE!AK97)</f>
        <v>0</v>
      </c>
      <c r="P98">
        <f>DONNEES_SOURCE!BQ97</f>
        <v>0</v>
      </c>
    </row>
    <row r="99" spans="11:16" x14ac:dyDescent="0.25">
      <c r="K99">
        <f>DONNEES_SOURCE!CA98</f>
        <v>0</v>
      </c>
      <c r="L99">
        <f>DONNEES_SOURCE!CB98</f>
        <v>0</v>
      </c>
      <c r="M99">
        <f>DONNEES_SOURCE!BV98</f>
        <v>0</v>
      </c>
      <c r="N99">
        <f>IFERROR(VALUE(LEFT(DONNEES_SOURCE!AJ98,1)),DONNEES_SOURCE!AJ98)</f>
        <v>0</v>
      </c>
      <c r="O99">
        <f>IFERROR(VALUE(LEFT(DONNEES_SOURCE!AK98,1)),DONNEES_SOURCE!AK98)</f>
        <v>0</v>
      </c>
      <c r="P99">
        <f>DONNEES_SOURCE!BQ98</f>
        <v>0</v>
      </c>
    </row>
    <row r="100" spans="11:16" x14ac:dyDescent="0.25">
      <c r="K100">
        <f>DONNEES_SOURCE!CA99</f>
        <v>0</v>
      </c>
      <c r="L100">
        <f>DONNEES_SOURCE!CB99</f>
        <v>0</v>
      </c>
      <c r="M100">
        <f>DONNEES_SOURCE!BV99</f>
        <v>0</v>
      </c>
      <c r="N100">
        <f>IFERROR(VALUE(LEFT(DONNEES_SOURCE!AJ99,1)),DONNEES_SOURCE!AJ99)</f>
        <v>0</v>
      </c>
      <c r="O100">
        <f>IFERROR(VALUE(LEFT(DONNEES_SOURCE!AK99,1)),DONNEES_SOURCE!AK99)</f>
        <v>0</v>
      </c>
      <c r="P100">
        <f>DONNEES_SOURCE!BQ99</f>
        <v>0</v>
      </c>
    </row>
    <row r="101" spans="11:16" x14ac:dyDescent="0.25">
      <c r="K101">
        <f>DONNEES_SOURCE!CA100</f>
        <v>0</v>
      </c>
      <c r="L101">
        <f>DONNEES_SOURCE!CB100</f>
        <v>0</v>
      </c>
      <c r="M101">
        <f>DONNEES_SOURCE!BV100</f>
        <v>0</v>
      </c>
      <c r="N101">
        <f>IFERROR(VALUE(LEFT(DONNEES_SOURCE!AJ100,1)),DONNEES_SOURCE!AJ100)</f>
        <v>0</v>
      </c>
      <c r="O101">
        <f>IFERROR(VALUE(LEFT(DONNEES_SOURCE!AK100,1)),DONNEES_SOURCE!AK100)</f>
        <v>0</v>
      </c>
      <c r="P101">
        <f>DONNEES_SOURCE!BQ100</f>
        <v>0</v>
      </c>
    </row>
    <row r="102" spans="11:16" x14ac:dyDescent="0.25">
      <c r="K102">
        <f>DONNEES_SOURCE!CA101</f>
        <v>0</v>
      </c>
      <c r="L102">
        <f>DONNEES_SOURCE!CB101</f>
        <v>0</v>
      </c>
      <c r="M102">
        <f>DONNEES_SOURCE!BV101</f>
        <v>0</v>
      </c>
      <c r="N102">
        <f>IFERROR(VALUE(LEFT(DONNEES_SOURCE!AJ101,1)),DONNEES_SOURCE!AJ101)</f>
        <v>0</v>
      </c>
      <c r="O102">
        <f>IFERROR(VALUE(LEFT(DONNEES_SOURCE!AK101,1)),DONNEES_SOURCE!AK101)</f>
        <v>0</v>
      </c>
      <c r="P102">
        <f>DONNEES_SOURCE!BQ101</f>
        <v>0</v>
      </c>
    </row>
  </sheetData>
  <mergeCells count="14">
    <mergeCell ref="A66:J66"/>
    <mergeCell ref="A68:J68"/>
    <mergeCell ref="A25:J25"/>
    <mergeCell ref="A26:J26"/>
    <mergeCell ref="A35:J35"/>
    <mergeCell ref="A36:J36"/>
    <mergeCell ref="A63:J63"/>
    <mergeCell ref="A64:J64"/>
    <mergeCell ref="A14:J14"/>
    <mergeCell ref="A1:J1"/>
    <mergeCell ref="K1:P1"/>
    <mergeCell ref="A3:J3"/>
    <mergeCell ref="A4:J4"/>
    <mergeCell ref="A13:J13"/>
  </mergeCells>
  <conditionalFormatting sqref="G29:G32">
    <cfRule type="containsText" dxfId="0" priority="1" operator="containsText" text="*">
      <formula>NOT(ISERROR(SEARCH("*",G29)))</formula>
    </cfRule>
    <cfRule type="expression" priority="2"/>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F0764-E596-4CD9-9C7C-0DD63B510236}">
  <dimension ref="A1:R102"/>
  <sheetViews>
    <sheetView workbookViewId="0">
      <selection activeCell="C8" sqref="C8"/>
    </sheetView>
  </sheetViews>
  <sheetFormatPr baseColWidth="10" defaultRowHeight="15" x14ac:dyDescent="0.25"/>
  <cols>
    <col min="1" max="1" width="38.140625" customWidth="1"/>
    <col min="2" max="2" width="19" hidden="1" customWidth="1"/>
    <col min="3" max="9" width="15.28515625" customWidth="1"/>
  </cols>
  <sheetData>
    <row r="1" spans="1:18" ht="18.75" x14ac:dyDescent="0.3">
      <c r="A1" s="306" t="s">
        <v>774</v>
      </c>
      <c r="B1" s="307"/>
      <c r="C1" s="307"/>
      <c r="D1" s="307"/>
      <c r="E1" s="307"/>
      <c r="F1" s="307"/>
      <c r="G1" s="307"/>
      <c r="H1" s="307"/>
      <c r="I1" s="307"/>
      <c r="J1" s="307"/>
      <c r="K1" s="302" t="s">
        <v>733</v>
      </c>
      <c r="L1" s="303"/>
      <c r="M1" s="303"/>
      <c r="N1" s="303"/>
      <c r="O1" s="303"/>
      <c r="P1" s="303"/>
      <c r="Q1" s="303"/>
      <c r="R1" s="303"/>
    </row>
    <row r="2" spans="1:18" x14ac:dyDescent="0.25">
      <c r="K2" s="71" t="s">
        <v>711</v>
      </c>
      <c r="L2" s="71" t="s">
        <v>712</v>
      </c>
      <c r="M2" s="71" t="s">
        <v>297</v>
      </c>
      <c r="N2" s="71" t="s">
        <v>531</v>
      </c>
      <c r="O2" s="71" t="s">
        <v>775</v>
      </c>
      <c r="P2" s="71" t="s">
        <v>776</v>
      </c>
      <c r="Q2" s="71" t="s">
        <v>777</v>
      </c>
      <c r="R2" s="71" t="s">
        <v>778</v>
      </c>
    </row>
    <row r="3" spans="1:18" x14ac:dyDescent="0.25">
      <c r="A3" s="308" t="s">
        <v>666</v>
      </c>
      <c r="B3" s="307"/>
      <c r="C3" s="307"/>
      <c r="D3" s="307"/>
      <c r="E3" s="307"/>
      <c r="F3" s="307"/>
      <c r="G3" s="307"/>
      <c r="H3" s="307"/>
      <c r="I3" s="307"/>
      <c r="J3" s="307"/>
      <c r="K3" t="b">
        <f>DONNEES_SOURCE!CA2</f>
        <v>1</v>
      </c>
      <c r="L3">
        <f>DONNEES_SOURCE!CB2</f>
        <v>3</v>
      </c>
      <c r="M3">
        <f>DONNEES_SOURCE!BW2</f>
        <v>6.25</v>
      </c>
      <c r="N3">
        <f>DONNEES_SOURCE!AU2</f>
        <v>4</v>
      </c>
      <c r="O3">
        <f>DONNEES_SOURCE!AM2</f>
        <v>7</v>
      </c>
      <c r="P3">
        <f>DONNEES_SOURCE!AN2</f>
        <v>7</v>
      </c>
      <c r="Q3">
        <f>DONNEES_SOURCE!AO2</f>
        <v>4</v>
      </c>
      <c r="R3">
        <f>DONNEES_SOURCE!AP2</f>
        <v>7</v>
      </c>
    </row>
    <row r="4" spans="1:18" x14ac:dyDescent="0.25">
      <c r="A4" s="305" t="s">
        <v>779</v>
      </c>
      <c r="B4" s="254"/>
      <c r="C4" s="254"/>
      <c r="D4" s="254"/>
      <c r="E4" s="254"/>
      <c r="F4" s="254"/>
      <c r="G4" s="254"/>
      <c r="H4" s="254"/>
      <c r="I4" s="254"/>
      <c r="J4" s="254"/>
      <c r="K4" t="b">
        <f>DONNEES_SOURCE!CA3</f>
        <v>1</v>
      </c>
      <c r="L4">
        <f>DONNEES_SOURCE!CB3</f>
        <v>5</v>
      </c>
      <c r="M4">
        <f>DONNEES_SOURCE!BW3</f>
        <v>6.25</v>
      </c>
      <c r="N4">
        <f>DONNEES_SOURCE!AU3</f>
        <v>4</v>
      </c>
      <c r="O4">
        <f>DONNEES_SOURCE!AM3</f>
        <v>7</v>
      </c>
      <c r="P4">
        <f>DONNEES_SOURCE!AN3</f>
        <v>4</v>
      </c>
      <c r="Q4">
        <f>DONNEES_SOURCE!AO3</f>
        <v>7</v>
      </c>
      <c r="R4">
        <f>DONNEES_SOURCE!AP3</f>
        <v>7</v>
      </c>
    </row>
    <row r="5" spans="1:18" x14ac:dyDescent="0.25">
      <c r="K5" t="b">
        <f>DONNEES_SOURCE!CA4</f>
        <v>1</v>
      </c>
      <c r="L5">
        <f>DONNEES_SOURCE!CB4</f>
        <v>5</v>
      </c>
      <c r="M5">
        <f>DONNEES_SOURCE!BW4</f>
        <v>3.75</v>
      </c>
      <c r="N5">
        <f>DONNEES_SOURCE!AU4</f>
        <v>5</v>
      </c>
      <c r="O5">
        <f>DONNEES_SOURCE!AM4</f>
        <v>1</v>
      </c>
      <c r="P5">
        <f>DONNEES_SOURCE!AN4</f>
        <v>4</v>
      </c>
      <c r="Q5">
        <f>DONNEES_SOURCE!AO4</f>
        <v>4</v>
      </c>
      <c r="R5">
        <f>DONNEES_SOURCE!AP4</f>
        <v>6</v>
      </c>
    </row>
    <row r="6" spans="1:18" x14ac:dyDescent="0.25">
      <c r="A6" s="216" t="s">
        <v>667</v>
      </c>
      <c r="B6" s="216" t="s">
        <v>668</v>
      </c>
      <c r="C6" s="216" t="s">
        <v>485</v>
      </c>
      <c r="D6" s="216" t="s">
        <v>669</v>
      </c>
      <c r="E6" s="216" t="s">
        <v>670</v>
      </c>
      <c r="F6" s="216" t="s">
        <v>307</v>
      </c>
      <c r="K6" t="b">
        <f>DONNEES_SOURCE!CA5</f>
        <v>1</v>
      </c>
      <c r="L6">
        <f>DONNEES_SOURCE!CB5</f>
        <v>7</v>
      </c>
      <c r="M6">
        <f>DONNEES_SOURCE!BW5</f>
        <v>5.5</v>
      </c>
      <c r="N6">
        <f>DONNEES_SOURCE!AU5</f>
        <v>4</v>
      </c>
      <c r="O6">
        <f>DONNEES_SOURCE!AM5</f>
        <v>4</v>
      </c>
      <c r="P6">
        <f>DONNEES_SOURCE!AN5</f>
        <v>7</v>
      </c>
      <c r="Q6">
        <f>DONNEES_SOURCE!AO5</f>
        <v>5</v>
      </c>
      <c r="R6">
        <f>DONNEES_SOURCE!AP5</f>
        <v>6</v>
      </c>
    </row>
    <row r="7" spans="1:18" hidden="1" x14ac:dyDescent="0.25">
      <c r="A7" s="193" t="s">
        <v>671</v>
      </c>
      <c r="B7" s="193" cm="1">
        <f t="array" ref="B7">SUMPRODUCT(($K$3:$K$102=TRUE)*($L$3:$L$102&lt;&gt;""))</f>
        <v>67</v>
      </c>
      <c r="C7" s="195">
        <f>AVERAGEIF($K$3:$K$102,TRUE,$L$3:$L$102)</f>
        <v>5.0149253731343286</v>
      </c>
      <c r="D7" s="195" cm="1">
        <f t="array" ref="D7">MEDIAN(_xlfn._xlws.FILTER($L$3:$L$102,$K$3:$K$102=TRUE))</f>
        <v>5</v>
      </c>
      <c r="E7" s="195" cm="1">
        <f t="array" ref="E7">_xlfn.STDEV.S(_xlfn._xlws.FILTER($L$3:$L$102,$K$3:$K$102=TRUE))</f>
        <v>1.3426854289121921</v>
      </c>
      <c r="F7" s="193" t="s">
        <v>680</v>
      </c>
      <c r="K7" t="b">
        <f>DONNEES_SOURCE!CA6</f>
        <v>1</v>
      </c>
      <c r="L7">
        <f>DONNEES_SOURCE!CB6</f>
        <v>5</v>
      </c>
      <c r="M7">
        <f>DONNEES_SOURCE!BW6</f>
        <v>5.5</v>
      </c>
      <c r="N7">
        <f>DONNEES_SOURCE!AU6</f>
        <v>6</v>
      </c>
      <c r="O7">
        <f>DONNEES_SOURCE!AM6</f>
        <v>6</v>
      </c>
      <c r="P7">
        <f>DONNEES_SOURCE!AN6</f>
        <v>6</v>
      </c>
      <c r="Q7">
        <f>DONNEES_SOURCE!AO6</f>
        <v>6</v>
      </c>
      <c r="R7">
        <f>DONNEES_SOURCE!AP6</f>
        <v>4</v>
      </c>
    </row>
    <row r="8" spans="1:18" x14ac:dyDescent="0.25">
      <c r="A8" s="193" t="s">
        <v>780</v>
      </c>
      <c r="B8" s="193" cm="1">
        <f t="array" ref="B8">SUMPRODUCT(($K$3:$K$102=TRUE)*($M$3:$M$102&lt;&gt;""))</f>
        <v>67</v>
      </c>
      <c r="C8" s="195" cm="1">
        <f t="array" ref="C8">AVERAGE(_xlfn._xlws.FILTER($M$3:$M$102,$K$3:$K$102=TRUE))</f>
        <v>5.5373134328358207</v>
      </c>
      <c r="D8" s="195" cm="1">
        <f t="array" ref="D8">MEDIAN(_xlfn._xlws.FILTER($M$3:$M$102,$K$3:$K$102=TRUE))</f>
        <v>5.5</v>
      </c>
      <c r="E8" s="195" cm="1">
        <f t="array" ref="E8">_xlfn.STDEV.S(_xlfn._xlws.FILTER($M$3:$M$102,$K$3:$K$102=TRUE))</f>
        <v>0.88254724672145102</v>
      </c>
      <c r="F8" s="193" t="s">
        <v>786</v>
      </c>
      <c r="K8" t="b">
        <f>DONNEES_SOURCE!CA7</f>
        <v>1</v>
      </c>
      <c r="L8">
        <f>DONNEES_SOURCE!CB7</f>
        <v>5</v>
      </c>
      <c r="M8">
        <f>DONNEES_SOURCE!BW7</f>
        <v>4</v>
      </c>
      <c r="N8">
        <f>DONNEES_SOURCE!AU7</f>
        <v>4</v>
      </c>
      <c r="O8">
        <f>DONNEES_SOURCE!AM7</f>
        <v>5</v>
      </c>
      <c r="P8">
        <f>DONNEES_SOURCE!AN7</f>
        <v>5</v>
      </c>
      <c r="Q8">
        <f>DONNEES_SOURCE!AO7</f>
        <v>4</v>
      </c>
      <c r="R8">
        <f>DONNEES_SOURCE!AP7</f>
        <v>2</v>
      </c>
    </row>
    <row r="9" spans="1:18" x14ac:dyDescent="0.25">
      <c r="A9" s="193" t="s">
        <v>781</v>
      </c>
      <c r="B9" s="193" cm="1">
        <f t="array" ref="B9">SUMPRODUCT(($K$3:$K$102=TRUE)*($N$3:$N$102&lt;&gt;""))</f>
        <v>67</v>
      </c>
      <c r="C9" s="195">
        <f>AVERAGEIF($K$3:$K$102,TRUE,$N$3:$N$102)</f>
        <v>4.2686567164179108</v>
      </c>
      <c r="D9" s="195" cm="1">
        <f t="array" ref="D9">MEDIAN(_xlfn._xlws.FILTER($N$3:$N$102,$K$3:$K$102=TRUE))</f>
        <v>4</v>
      </c>
      <c r="E9" s="195" cm="1">
        <f t="array" ref="E9">_xlfn.STDEV.S(_xlfn._xlws.FILTER($N$3:$N$102,$K$3:$K$102=TRUE))</f>
        <v>1.7196025752290875</v>
      </c>
      <c r="F9" s="193" t="s">
        <v>787</v>
      </c>
      <c r="K9" t="b">
        <f>DONNEES_SOURCE!CA8</f>
        <v>1</v>
      </c>
      <c r="L9">
        <f>DONNEES_SOURCE!CB8</f>
        <v>3</v>
      </c>
      <c r="M9">
        <f>DONNEES_SOURCE!BW8</f>
        <v>5.25</v>
      </c>
      <c r="N9">
        <f>DONNEES_SOURCE!AU8</f>
        <v>6</v>
      </c>
      <c r="O9">
        <f>DONNEES_SOURCE!AM8</f>
        <v>7</v>
      </c>
      <c r="P9">
        <f>DONNEES_SOURCE!AN8</f>
        <v>6</v>
      </c>
      <c r="Q9">
        <f>DONNEES_SOURCE!AO8</f>
        <v>6</v>
      </c>
      <c r="R9">
        <f>DONNEES_SOURCE!AP8</f>
        <v>2</v>
      </c>
    </row>
    <row r="10" spans="1:18" x14ac:dyDescent="0.25">
      <c r="A10" s="193" t="s">
        <v>782</v>
      </c>
      <c r="B10" s="193" cm="1">
        <f t="array" ref="B10">SUMPRODUCT(($K$3:$K$102=TRUE)*($O$3:$O$102&lt;&gt;""))</f>
        <v>67</v>
      </c>
      <c r="C10" s="195">
        <f>AVERAGEIF($K$3:$K$102,TRUE,$O$3:$O$102)</f>
        <v>6.1641791044776122</v>
      </c>
      <c r="D10" s="195" cm="1">
        <f t="array" ref="D10">MEDIAN(_xlfn._xlws.FILTER($O$3:$O$102,$K$3:$K$102=TRUE))</f>
        <v>7</v>
      </c>
      <c r="E10" s="195" cm="1">
        <f t="array" ref="E10">_xlfn.STDEV.S(_xlfn._xlws.FILTER($O$3:$O$102,$K$3:$K$102=TRUE))</f>
        <v>1.2009720170001321</v>
      </c>
      <c r="F10" s="193" t="s">
        <v>788</v>
      </c>
      <c r="K10" t="b">
        <f>DONNEES_SOURCE!CA9</f>
        <v>1</v>
      </c>
      <c r="L10">
        <f>DONNEES_SOURCE!CB9</f>
        <v>3</v>
      </c>
      <c r="M10">
        <f>DONNEES_SOURCE!BW9</f>
        <v>6</v>
      </c>
      <c r="N10">
        <f>DONNEES_SOURCE!AU9</f>
        <v>6</v>
      </c>
      <c r="O10">
        <f>DONNEES_SOURCE!AM9</f>
        <v>7</v>
      </c>
      <c r="P10">
        <f>DONNEES_SOURCE!AN9</f>
        <v>3</v>
      </c>
      <c r="Q10">
        <f>DONNEES_SOURCE!AO9</f>
        <v>7</v>
      </c>
      <c r="R10">
        <f>DONNEES_SOURCE!AP9</f>
        <v>7</v>
      </c>
    </row>
    <row r="11" spans="1:18" x14ac:dyDescent="0.25">
      <c r="A11" s="193" t="s">
        <v>783</v>
      </c>
      <c r="B11" s="193" cm="1">
        <f t="array" ref="B11">SUMPRODUCT(($K$3:$K$102=TRUE)*($P$3:$P$102&lt;&gt;""))</f>
        <v>67</v>
      </c>
      <c r="C11" s="195">
        <f>AVERAGEIF($K$3:$K$102,TRUE,$P$3:$P$102)</f>
        <v>5.7761194029850742</v>
      </c>
      <c r="D11" s="195" cm="1">
        <f t="array" ref="D11">MEDIAN(_xlfn._xlws.FILTER($P$3:$P$102,$K$3:$K$102=TRUE))</f>
        <v>6</v>
      </c>
      <c r="E11" s="195" cm="1">
        <f t="array" ref="E11">_xlfn.STDEV.S(_xlfn._xlws.FILTER($P$3:$P$102,$K$3:$K$102=TRUE))</f>
        <v>1.5649658290624027</v>
      </c>
      <c r="F11" s="193" t="s">
        <v>789</v>
      </c>
      <c r="K11" t="b">
        <f>DONNEES_SOURCE!CA10</f>
        <v>1</v>
      </c>
      <c r="L11">
        <f>DONNEES_SOURCE!CB10</f>
        <v>4</v>
      </c>
      <c r="M11">
        <f>DONNEES_SOURCE!BW10</f>
        <v>6.5</v>
      </c>
      <c r="N11">
        <f>DONNEES_SOURCE!AU10</f>
        <v>5</v>
      </c>
      <c r="O11">
        <f>DONNEES_SOURCE!AM10</f>
        <v>5</v>
      </c>
      <c r="P11">
        <f>DONNEES_SOURCE!AN10</f>
        <v>7</v>
      </c>
      <c r="Q11">
        <f>DONNEES_SOURCE!AO10</f>
        <v>7</v>
      </c>
      <c r="R11">
        <f>DONNEES_SOURCE!AP10</f>
        <v>7</v>
      </c>
    </row>
    <row r="12" spans="1:18" x14ac:dyDescent="0.25">
      <c r="A12" s="193" t="s">
        <v>784</v>
      </c>
      <c r="B12" s="193" cm="1">
        <f t="array" ref="B12">SUMPRODUCT(($K$3:$K$102=TRUE)*($Q$3:$Q$102&lt;&gt;""))</f>
        <v>67</v>
      </c>
      <c r="C12" s="195">
        <f>AVERAGEIF($K$3:$K$102,TRUE,$Q$3:$Q$102)</f>
        <v>5.1044776119402986</v>
      </c>
      <c r="D12" s="195" cm="1">
        <f t="array" ref="D12">MEDIAN(_xlfn._xlws.FILTER($Q$3:$Q$102,$K$3:$K$102=TRUE))</f>
        <v>5</v>
      </c>
      <c r="E12" s="195" cm="1">
        <f t="array" ref="E12">_xlfn.STDEV.S(_xlfn._xlws.FILTER($Q$3:$Q$102,$K$3:$K$102=TRUE))</f>
        <v>1.5189143686658784</v>
      </c>
      <c r="F12" s="193" t="s">
        <v>790</v>
      </c>
      <c r="K12" t="b">
        <f>DONNEES_SOURCE!CA11</f>
        <v>1</v>
      </c>
      <c r="L12">
        <f>DONNEES_SOURCE!CB11</f>
        <v>4</v>
      </c>
      <c r="M12">
        <f>DONNEES_SOURCE!BW11</f>
        <v>5.5</v>
      </c>
      <c r="N12">
        <f>DONNEES_SOURCE!AU11</f>
        <v>6</v>
      </c>
      <c r="O12">
        <f>DONNEES_SOURCE!AM11</f>
        <v>7</v>
      </c>
      <c r="P12">
        <f>DONNEES_SOURCE!AN11</f>
        <v>7</v>
      </c>
      <c r="Q12">
        <f>DONNEES_SOURCE!AO11</f>
        <v>1</v>
      </c>
      <c r="R12">
        <f>DONNEES_SOURCE!AP11</f>
        <v>7</v>
      </c>
    </row>
    <row r="13" spans="1:18" x14ac:dyDescent="0.25">
      <c r="A13" s="193" t="s">
        <v>785</v>
      </c>
      <c r="B13" s="193" cm="1">
        <f t="array" ref="B13">SUMPRODUCT(($K$3:$K$102=TRUE)*($R$3:$R$102&lt;&gt;""))</f>
        <v>67</v>
      </c>
      <c r="C13" s="195">
        <f>AVERAGEIF($K$3:$K$102,TRUE,$R$3:$R$102)</f>
        <v>5.1044776119402986</v>
      </c>
      <c r="D13" s="195" cm="1">
        <f t="array" ref="D13">MEDIAN(_xlfn._xlws.FILTER($R$3:$R$102,$K$3:$K$102=TRUE))</f>
        <v>5</v>
      </c>
      <c r="E13" s="195" cm="1">
        <f t="array" ref="E13">_xlfn.STDEV.S(_xlfn._xlws.FILTER($R$3:$R$102,$K$3:$K$102=TRUE))</f>
        <v>1.8185436094137704</v>
      </c>
      <c r="F13" s="193" t="s">
        <v>791</v>
      </c>
      <c r="K13" t="b">
        <f>DONNEES_SOURCE!CA12</f>
        <v>1</v>
      </c>
      <c r="L13">
        <f>DONNEES_SOURCE!CB12</f>
        <v>7</v>
      </c>
      <c r="M13">
        <f>DONNEES_SOURCE!BW12</f>
        <v>7</v>
      </c>
      <c r="N13">
        <f>DONNEES_SOURCE!AU12</f>
        <v>4</v>
      </c>
      <c r="O13">
        <f>DONNEES_SOURCE!AM12</f>
        <v>7</v>
      </c>
      <c r="P13">
        <f>DONNEES_SOURCE!AN12</f>
        <v>7</v>
      </c>
      <c r="Q13">
        <f>DONNEES_SOURCE!AO12</f>
        <v>7</v>
      </c>
      <c r="R13">
        <f>DONNEES_SOURCE!AP12</f>
        <v>7</v>
      </c>
    </row>
    <row r="14" spans="1:18" x14ac:dyDescent="0.25">
      <c r="K14" t="b">
        <f>DONNEES_SOURCE!CA13</f>
        <v>1</v>
      </c>
      <c r="L14">
        <f>DONNEES_SOURCE!CB13</f>
        <v>7</v>
      </c>
      <c r="M14">
        <f>DONNEES_SOURCE!BW13</f>
        <v>6.25</v>
      </c>
      <c r="N14">
        <f>DONNEES_SOURCE!AU13</f>
        <v>1</v>
      </c>
      <c r="O14">
        <f>DONNEES_SOURCE!AM13</f>
        <v>7</v>
      </c>
      <c r="P14">
        <f>DONNEES_SOURCE!AN13</f>
        <v>7</v>
      </c>
      <c r="Q14">
        <f>DONNEES_SOURCE!AO13</f>
        <v>5</v>
      </c>
      <c r="R14">
        <f>DONNEES_SOURCE!AP13</f>
        <v>6</v>
      </c>
    </row>
    <row r="15" spans="1:18" x14ac:dyDescent="0.25">
      <c r="A15" s="308" t="s">
        <v>688</v>
      </c>
      <c r="B15" s="307"/>
      <c r="C15" s="307"/>
      <c r="D15" s="307"/>
      <c r="E15" s="307"/>
      <c r="F15" s="307"/>
      <c r="G15" s="307"/>
      <c r="H15" s="307"/>
      <c r="I15" s="307"/>
      <c r="J15" s="307"/>
      <c r="K15" t="b">
        <f>DONNEES_SOURCE!CA14</f>
        <v>1</v>
      </c>
      <c r="L15">
        <f>DONNEES_SOURCE!CB14</f>
        <v>6</v>
      </c>
      <c r="M15">
        <f>DONNEES_SOURCE!BW14</f>
        <v>6</v>
      </c>
      <c r="N15">
        <f>DONNEES_SOURCE!AU14</f>
        <v>4</v>
      </c>
      <c r="O15">
        <f>DONNEES_SOURCE!AM14</f>
        <v>7</v>
      </c>
      <c r="P15">
        <f>DONNEES_SOURCE!AN14</f>
        <v>4</v>
      </c>
      <c r="Q15">
        <f>DONNEES_SOURCE!AO14</f>
        <v>7</v>
      </c>
      <c r="R15">
        <f>DONNEES_SOURCE!AP14</f>
        <v>6</v>
      </c>
    </row>
    <row r="16" spans="1:18" x14ac:dyDescent="0.25">
      <c r="A16" s="305" t="s">
        <v>792</v>
      </c>
      <c r="B16" s="254"/>
      <c r="C16" s="254"/>
      <c r="D16" s="254"/>
      <c r="E16" s="254"/>
      <c r="F16" s="254"/>
      <c r="G16" s="254"/>
      <c r="H16" s="254"/>
      <c r="I16" s="254"/>
      <c r="J16" s="254"/>
      <c r="K16" t="b">
        <f>DONNEES_SOURCE!CA15</f>
        <v>1</v>
      </c>
      <c r="L16">
        <f>DONNEES_SOURCE!CB15</f>
        <v>3</v>
      </c>
      <c r="M16">
        <f>DONNEES_SOURCE!BW15</f>
        <v>5.5</v>
      </c>
      <c r="N16">
        <f>DONNEES_SOURCE!AU15</f>
        <v>4</v>
      </c>
      <c r="O16">
        <f>DONNEES_SOURCE!AM15</f>
        <v>6</v>
      </c>
      <c r="P16">
        <f>DONNEES_SOURCE!AN15</f>
        <v>7</v>
      </c>
      <c r="Q16">
        <f>DONNEES_SOURCE!AO15</f>
        <v>6</v>
      </c>
      <c r="R16">
        <f>DONNEES_SOURCE!AP15</f>
        <v>3</v>
      </c>
    </row>
    <row r="17" spans="1:18" x14ac:dyDescent="0.25">
      <c r="K17" t="b">
        <f>DONNEES_SOURCE!CA16</f>
        <v>1</v>
      </c>
      <c r="L17">
        <f>DONNEES_SOURCE!CB16</f>
        <v>7</v>
      </c>
      <c r="M17">
        <f>DONNEES_SOURCE!BW16</f>
        <v>6</v>
      </c>
      <c r="N17">
        <f>DONNEES_SOURCE!AU16</f>
        <v>5</v>
      </c>
      <c r="O17">
        <f>DONNEES_SOURCE!AM16</f>
        <v>7</v>
      </c>
      <c r="P17">
        <f>DONNEES_SOURCE!AN16</f>
        <v>7</v>
      </c>
      <c r="Q17">
        <f>DONNEES_SOURCE!AO16</f>
        <v>3</v>
      </c>
      <c r="R17">
        <f>DONNEES_SOURCE!AP16</f>
        <v>7</v>
      </c>
    </row>
    <row r="18" spans="1:18" x14ac:dyDescent="0.25">
      <c r="A18" s="214" t="s">
        <v>667</v>
      </c>
      <c r="B18" s="214" t="s">
        <v>690</v>
      </c>
      <c r="C18" s="214" t="s">
        <v>379</v>
      </c>
      <c r="D18" s="214" t="s">
        <v>485</v>
      </c>
      <c r="E18" s="214" t="s">
        <v>670</v>
      </c>
      <c r="K18" t="b">
        <f>DONNEES_SOURCE!CA17</f>
        <v>1</v>
      </c>
      <c r="L18">
        <f>DONNEES_SOURCE!CB17</f>
        <v>5</v>
      </c>
      <c r="M18">
        <f>DONNEES_SOURCE!BW17</f>
        <v>3.5</v>
      </c>
      <c r="N18">
        <f>DONNEES_SOURCE!AU17</f>
        <v>2</v>
      </c>
      <c r="O18">
        <f>DONNEES_SOURCE!AM17</f>
        <v>5</v>
      </c>
      <c r="P18">
        <f>DONNEES_SOURCE!AN17</f>
        <v>4</v>
      </c>
      <c r="Q18">
        <f>DONNEES_SOURCE!AO17</f>
        <v>3</v>
      </c>
      <c r="R18">
        <f>DONNEES_SOURCE!AP17</f>
        <v>2</v>
      </c>
    </row>
    <row r="19" spans="1:18" x14ac:dyDescent="0.25">
      <c r="A19" t="s">
        <v>793</v>
      </c>
      <c r="B19" t="s">
        <v>140</v>
      </c>
      <c r="C19">
        <f>COUNTIFS(DONNEES_SOURCE!BZ:BZ,"Junior",DONNEES_SOURCE!CA:CA,TRUE,DONNEES_SOURCE!BW:BW,"&lt;&gt;"&amp;"")</f>
        <v>32</v>
      </c>
      <c r="D19" s="190">
        <f>AVERAGEIFS(DONNEES_SOURCE!BW:BW,DONNEES_SOURCE!BZ:BZ,"Junior",DONNEES_SOURCE!CA:CA,TRUE)</f>
        <v>5.3515625</v>
      </c>
      <c r="E19" s="190" cm="1">
        <f t="array" ref="E19">_xlfn.STDEV.S(_xlfn._xlws.FILTER(DONNEES_SOURCE!BW:BW,(DONNEES_SOURCE!BZ:BZ="Junior")*(DONNEES_SOURCE!CA:CA=TRUE)))</f>
        <v>0.93295268135375509</v>
      </c>
      <c r="K19" t="b">
        <f>DONNEES_SOURCE!CA18</f>
        <v>1</v>
      </c>
      <c r="L19">
        <f>DONNEES_SOURCE!CB18</f>
        <v>4</v>
      </c>
      <c r="M19">
        <f>DONNEES_SOURCE!BW18</f>
        <v>5.5</v>
      </c>
      <c r="N19">
        <f>DONNEES_SOURCE!AU18</f>
        <v>6</v>
      </c>
      <c r="O19">
        <f>DONNEES_SOURCE!AM18</f>
        <v>7</v>
      </c>
      <c r="P19">
        <f>DONNEES_SOURCE!AN18</f>
        <v>7</v>
      </c>
      <c r="Q19">
        <f>DONNEES_SOURCE!AO18</f>
        <v>3</v>
      </c>
      <c r="R19">
        <f>DONNEES_SOURCE!AP18</f>
        <v>5</v>
      </c>
    </row>
    <row r="20" spans="1:18" x14ac:dyDescent="0.25">
      <c r="B20" t="s">
        <v>373</v>
      </c>
      <c r="C20">
        <f>COUNTIFS(DONNEES_SOURCE!BZ:BZ,"Senior-Manager",DONNEES_SOURCE!CA:CA,TRUE,DONNEES_SOURCE!BW:BW,"&lt;&gt;"&amp;"")</f>
        <v>17</v>
      </c>
      <c r="D20" s="190">
        <f>AVERAGEIFS(DONNEES_SOURCE!BW:BW,DONNEES_SOURCE!BZ:BZ,"Senior-Manager",DONNEES_SOURCE!CA:CA,TRUE)</f>
        <v>5.5441176470588234</v>
      </c>
      <c r="E20" s="190" cm="1">
        <f t="array" ref="E20">_xlfn.STDEV.S(_xlfn._xlws.FILTER(DONNEES_SOURCE!BW:BW,(DONNEES_SOURCE!BZ:BZ="Senior-Manager")*(DONNEES_SOURCE!CA:CA=TRUE)))</f>
        <v>0.88492272843119812</v>
      </c>
      <c r="K20" t="b">
        <f>DONNEES_SOURCE!CA19</f>
        <v>1</v>
      </c>
      <c r="L20">
        <f>DONNEES_SOURCE!CB19</f>
        <v>5</v>
      </c>
      <c r="M20">
        <f>DONNEES_SOURCE!BW19</f>
        <v>4.5</v>
      </c>
      <c r="N20">
        <f>DONNEES_SOURCE!AU19</f>
        <v>1</v>
      </c>
      <c r="O20">
        <f>DONNEES_SOURCE!AM19</f>
        <v>5</v>
      </c>
      <c r="P20">
        <f>DONNEES_SOURCE!AN19</f>
        <v>6</v>
      </c>
      <c r="Q20">
        <f>DONNEES_SOURCE!AO19</f>
        <v>5</v>
      </c>
      <c r="R20">
        <f>DONNEES_SOURCE!AP19</f>
        <v>2</v>
      </c>
    </row>
    <row r="21" spans="1:18" x14ac:dyDescent="0.25">
      <c r="B21" t="s">
        <v>384</v>
      </c>
      <c r="C21">
        <f>COUNTIFS(DONNEES_SOURCE!BZ:BZ,"Associe",DONNEES_SOURCE!CA:CA,TRUE,DONNEES_SOURCE!BW:BW,"&lt;&gt;"&amp;"")</f>
        <v>18</v>
      </c>
      <c r="D21" s="190">
        <f>AVERAGEIFS(DONNEES_SOURCE!BW:BW,DONNEES_SOURCE!BZ:BZ,"Associe",DONNEES_SOURCE!CA:CA,TRUE)</f>
        <v>5.8611111111111107</v>
      </c>
      <c r="E21" s="190" cm="1">
        <f t="array" ref="E21">_xlfn.STDEV.S(_xlfn._xlws.FILTER(DONNEES_SOURCE!BW:BW,(DONNEES_SOURCE!BZ:BZ="Associe")*(DONNEES_SOURCE!CA:CA=TRUE)))</f>
        <v>0.72366622862858498</v>
      </c>
      <c r="K21" t="b">
        <f>DONNEES_SOURCE!CA20</f>
        <v>1</v>
      </c>
      <c r="L21">
        <f>DONNEES_SOURCE!CB20</f>
        <v>7</v>
      </c>
      <c r="M21">
        <f>DONNEES_SOURCE!BW20</f>
        <v>5.5</v>
      </c>
      <c r="N21">
        <f>DONNEES_SOURCE!AU20</f>
        <v>7</v>
      </c>
      <c r="O21">
        <f>DONNEES_SOURCE!AM20</f>
        <v>7</v>
      </c>
      <c r="P21">
        <f>DONNEES_SOURCE!AN20</f>
        <v>1</v>
      </c>
      <c r="Q21">
        <f>DONNEES_SOURCE!AO20</f>
        <v>7</v>
      </c>
      <c r="R21">
        <f>DONNEES_SOURCE!AP20</f>
        <v>7</v>
      </c>
    </row>
    <row r="22" spans="1:18" x14ac:dyDescent="0.25">
      <c r="D22" s="190"/>
      <c r="E22" s="190"/>
      <c r="K22" t="b">
        <f>DONNEES_SOURCE!CA21</f>
        <v>1</v>
      </c>
      <c r="L22">
        <f>DONNEES_SOURCE!CB21</f>
        <v>3</v>
      </c>
      <c r="M22">
        <f>DONNEES_SOURCE!BW21</f>
        <v>7</v>
      </c>
      <c r="N22">
        <f>DONNEES_SOURCE!AU21</f>
        <v>7</v>
      </c>
      <c r="O22">
        <f>DONNEES_SOURCE!AM21</f>
        <v>7</v>
      </c>
      <c r="P22">
        <f>DONNEES_SOURCE!AN21</f>
        <v>7</v>
      </c>
      <c r="Q22">
        <f>DONNEES_SOURCE!AO21</f>
        <v>7</v>
      </c>
      <c r="R22">
        <f>DONNEES_SOURCE!AP21</f>
        <v>7</v>
      </c>
    </row>
    <row r="23" spans="1:18" x14ac:dyDescent="0.25">
      <c r="A23" t="s">
        <v>781</v>
      </c>
      <c r="B23" t="s">
        <v>140</v>
      </c>
      <c r="C23">
        <f>COUNTIFS(DONNEES_SOURCE!BZ:BZ,"Junior",DONNEES_SOURCE!CA:CA,TRUE,DONNEES_SOURCE!AU:AU,"&lt;&gt;"&amp;"")</f>
        <v>32</v>
      </c>
      <c r="D23" s="190">
        <f>AVERAGEIFS(DONNEES_SOURCE!AU:AU,DONNEES_SOURCE!BZ:BZ,"Junior",DONNEES_SOURCE!CA:CA,TRUE)</f>
        <v>4.40625</v>
      </c>
      <c r="E23" s="190" cm="1">
        <f t="array" ref="E23">_xlfn.STDEV.S(_xlfn._xlws.FILTER(DONNEES_SOURCE!AU:AU,(DONNEES_SOURCE!BZ:BZ="Junior")*(DONNEES_SOURCE!CA:CA=TRUE)))</f>
        <v>1.521022046032249</v>
      </c>
      <c r="K23" t="b">
        <f>DONNEES_SOURCE!CA22</f>
        <v>1</v>
      </c>
      <c r="L23">
        <f>DONNEES_SOURCE!CB22</f>
        <v>2</v>
      </c>
      <c r="M23">
        <f>DONNEES_SOURCE!BW22</f>
        <v>5.5</v>
      </c>
      <c r="N23">
        <f>DONNEES_SOURCE!AU22</f>
        <v>4</v>
      </c>
      <c r="O23">
        <f>DONNEES_SOURCE!AM22</f>
        <v>6</v>
      </c>
      <c r="P23">
        <f>DONNEES_SOURCE!AN22</f>
        <v>6</v>
      </c>
      <c r="Q23">
        <f>DONNEES_SOURCE!AO22</f>
        <v>5</v>
      </c>
      <c r="R23">
        <f>DONNEES_SOURCE!AP22</f>
        <v>5</v>
      </c>
    </row>
    <row r="24" spans="1:18" x14ac:dyDescent="0.25">
      <c r="B24" t="s">
        <v>373</v>
      </c>
      <c r="C24">
        <f>COUNTIFS(DONNEES_SOURCE!BZ:BZ,"Senior-Manager",DONNEES_SOURCE!CA:CA,TRUE,DONNEES_SOURCE!AU:AU,"&lt;&gt;"&amp;"")</f>
        <v>17</v>
      </c>
      <c r="D24" s="190">
        <f>AVERAGEIFS(DONNEES_SOURCE!AU:AU,DONNEES_SOURCE!BZ:BZ,"Senior-Manager",DONNEES_SOURCE!CA:CA,TRUE)</f>
        <v>3.8235294117647061</v>
      </c>
      <c r="E24" s="190" cm="1">
        <f t="array" ref="E24">_xlfn.STDEV.S(_xlfn._xlws.FILTER(DONNEES_SOURCE!AU:AU,(DONNEES_SOURCE!BZ:BZ="Senior-Manager")*(DONNEES_SOURCE!CA:CA=TRUE)))</f>
        <v>1.9116515803633993</v>
      </c>
      <c r="K24" t="b">
        <f>DONNEES_SOURCE!CA23</f>
        <v>1</v>
      </c>
      <c r="L24">
        <f>DONNEES_SOURCE!CB23</f>
        <v>7</v>
      </c>
      <c r="M24">
        <f>DONNEES_SOURCE!BW23</f>
        <v>3.5</v>
      </c>
      <c r="N24">
        <f>DONNEES_SOURCE!AU23</f>
        <v>4</v>
      </c>
      <c r="O24">
        <f>DONNEES_SOURCE!AM23</f>
        <v>2</v>
      </c>
      <c r="P24">
        <f>DONNEES_SOURCE!AN23</f>
        <v>3</v>
      </c>
      <c r="Q24">
        <f>DONNEES_SOURCE!AO23</f>
        <v>3</v>
      </c>
      <c r="R24">
        <f>DONNEES_SOURCE!AP23</f>
        <v>6</v>
      </c>
    </row>
    <row r="25" spans="1:18" x14ac:dyDescent="0.25">
      <c r="B25" t="s">
        <v>384</v>
      </c>
      <c r="C25">
        <f>COUNTIFS(DONNEES_SOURCE!BZ:BZ,"Associe",DONNEES_SOURCE!CA:CA,TRUE,DONNEES_SOURCE!AU:AU,"&lt;&gt;"&amp;"")</f>
        <v>18</v>
      </c>
      <c r="D25" s="190">
        <f>AVERAGEIFS(DONNEES_SOURCE!AU:AU,DONNEES_SOURCE!BZ:BZ,"Associe",DONNEES_SOURCE!CA:CA,TRUE)</f>
        <v>4.4444444444444446</v>
      </c>
      <c r="E25" s="190" cm="1">
        <f t="array" ref="E25">_xlfn.STDEV.S(_xlfn._xlws.FILTER(DONNEES_SOURCE!AU:AU,(DONNEES_SOURCE!BZ:BZ="Associe")*(DONNEES_SOURCE!CA:CA=TRUE)))</f>
        <v>1.8856180831641269</v>
      </c>
      <c r="K25" t="b">
        <f>DONNEES_SOURCE!CA24</f>
        <v>1</v>
      </c>
      <c r="L25">
        <f>DONNEES_SOURCE!CB24</f>
        <v>5</v>
      </c>
      <c r="M25">
        <f>DONNEES_SOURCE!BW24</f>
        <v>5.25</v>
      </c>
      <c r="N25">
        <f>DONNEES_SOURCE!AU24</f>
        <v>6</v>
      </c>
      <c r="O25">
        <f>DONNEES_SOURCE!AM24</f>
        <v>5</v>
      </c>
      <c r="P25">
        <f>DONNEES_SOURCE!AN24</f>
        <v>6</v>
      </c>
      <c r="Q25">
        <f>DONNEES_SOURCE!AO24</f>
        <v>6</v>
      </c>
      <c r="R25">
        <f>DONNEES_SOURCE!AP24</f>
        <v>4</v>
      </c>
    </row>
    <row r="26" spans="1:18" x14ac:dyDescent="0.25">
      <c r="K26" t="b">
        <f>DONNEES_SOURCE!CA25</f>
        <v>1</v>
      </c>
      <c r="L26">
        <f>DONNEES_SOURCE!CB25</f>
        <v>7</v>
      </c>
      <c r="M26">
        <f>DONNEES_SOURCE!BW25</f>
        <v>5.75</v>
      </c>
      <c r="N26">
        <f>DONNEES_SOURCE!AU25</f>
        <v>2</v>
      </c>
      <c r="O26">
        <f>DONNEES_SOURCE!AM25</f>
        <v>7</v>
      </c>
      <c r="P26">
        <f>DONNEES_SOURCE!AN25</f>
        <v>7</v>
      </c>
      <c r="Q26">
        <f>DONNEES_SOURCE!AO25</f>
        <v>2</v>
      </c>
      <c r="R26">
        <f>DONNEES_SOURCE!AP25</f>
        <v>7</v>
      </c>
    </row>
    <row r="27" spans="1:18" x14ac:dyDescent="0.25">
      <c r="K27" t="b">
        <f>DONNEES_SOURCE!CA26</f>
        <v>1</v>
      </c>
      <c r="L27">
        <f>DONNEES_SOURCE!CB26</f>
        <v>5</v>
      </c>
      <c r="M27">
        <f>DONNEES_SOURCE!BW26</f>
        <v>4.5</v>
      </c>
      <c r="N27">
        <f>DONNEES_SOURCE!AU26</f>
        <v>5</v>
      </c>
      <c r="O27">
        <f>DONNEES_SOURCE!AM26</f>
        <v>6</v>
      </c>
      <c r="P27">
        <f>DONNEES_SOURCE!AN26</f>
        <v>3</v>
      </c>
      <c r="Q27">
        <f>DONNEES_SOURCE!AO26</f>
        <v>3</v>
      </c>
      <c r="R27">
        <f>DONNEES_SOURCE!AP26</f>
        <v>6</v>
      </c>
    </row>
    <row r="28" spans="1:18" x14ac:dyDescent="0.25">
      <c r="A28" s="308" t="s">
        <v>794</v>
      </c>
      <c r="B28" s="307"/>
      <c r="C28" s="307"/>
      <c r="D28" s="307"/>
      <c r="E28" s="307"/>
      <c r="F28" s="307"/>
      <c r="G28" s="307"/>
      <c r="H28" s="307"/>
      <c r="I28" s="307"/>
      <c r="J28" s="307"/>
      <c r="K28" t="b">
        <f>DONNEES_SOURCE!CA27</f>
        <v>1</v>
      </c>
      <c r="L28">
        <f>DONNEES_SOURCE!CB27</f>
        <v>2</v>
      </c>
      <c r="M28">
        <f>DONNEES_SOURCE!BW27</f>
        <v>4.5</v>
      </c>
      <c r="N28">
        <f>DONNEES_SOURCE!AU27</f>
        <v>5</v>
      </c>
      <c r="O28">
        <f>DONNEES_SOURCE!AM27</f>
        <v>4</v>
      </c>
      <c r="P28">
        <f>DONNEES_SOURCE!AN27</f>
        <v>5</v>
      </c>
      <c r="Q28">
        <f>DONNEES_SOURCE!AO27</f>
        <v>4</v>
      </c>
      <c r="R28">
        <f>DONNEES_SOURCE!AP27</f>
        <v>5</v>
      </c>
    </row>
    <row r="29" spans="1:18" x14ac:dyDescent="0.25">
      <c r="A29" s="305" t="s">
        <v>795</v>
      </c>
      <c r="B29" s="254"/>
      <c r="C29" s="254"/>
      <c r="D29" s="254"/>
      <c r="E29" s="254"/>
      <c r="F29" s="254"/>
      <c r="G29" s="254"/>
      <c r="H29" s="254"/>
      <c r="I29" s="254"/>
      <c r="J29" s="254"/>
      <c r="K29" t="b">
        <f>DONNEES_SOURCE!CA28</f>
        <v>1</v>
      </c>
      <c r="L29">
        <f>DONNEES_SOURCE!CB28</f>
        <v>2</v>
      </c>
      <c r="M29">
        <f>DONNEES_SOURCE!BW28</f>
        <v>6.5</v>
      </c>
      <c r="N29">
        <f>DONNEES_SOURCE!AU28</f>
        <v>5</v>
      </c>
      <c r="O29">
        <f>DONNEES_SOURCE!AM28</f>
        <v>7</v>
      </c>
      <c r="P29">
        <f>DONNEES_SOURCE!AN28</f>
        <v>7</v>
      </c>
      <c r="Q29">
        <f>DONNEES_SOURCE!AO28</f>
        <v>5</v>
      </c>
      <c r="R29">
        <f>DONNEES_SOURCE!AP28</f>
        <v>7</v>
      </c>
    </row>
    <row r="30" spans="1:18" x14ac:dyDescent="0.25">
      <c r="K30" t="b">
        <f>DONNEES_SOURCE!CA29</f>
        <v>1</v>
      </c>
      <c r="L30">
        <f>DONNEES_SOURCE!CB29</f>
        <v>6</v>
      </c>
      <c r="M30">
        <f>DONNEES_SOURCE!BW29</f>
        <v>4.75</v>
      </c>
      <c r="N30">
        <f>DONNEES_SOURCE!AU29</f>
        <v>3</v>
      </c>
      <c r="O30">
        <f>DONNEES_SOURCE!AM29</f>
        <v>5</v>
      </c>
      <c r="P30">
        <f>DONNEES_SOURCE!AN29</f>
        <v>4</v>
      </c>
      <c r="Q30">
        <f>DONNEES_SOURCE!AO29</f>
        <v>4</v>
      </c>
      <c r="R30">
        <f>DONNEES_SOURCE!AP29</f>
        <v>6</v>
      </c>
    </row>
    <row r="31" spans="1:18" x14ac:dyDescent="0.25">
      <c r="A31" s="217" t="s">
        <v>695</v>
      </c>
      <c r="B31" s="217" t="s">
        <v>379</v>
      </c>
      <c r="C31" s="217" t="s">
        <v>696</v>
      </c>
      <c r="D31" s="217" t="s">
        <v>629</v>
      </c>
      <c r="E31" s="217" t="s">
        <v>697</v>
      </c>
      <c r="F31" s="217" t="s">
        <v>548</v>
      </c>
      <c r="G31" s="217" t="s">
        <v>698</v>
      </c>
      <c r="H31" s="217" t="s">
        <v>796</v>
      </c>
      <c r="K31" t="b">
        <f>DONNEES_SOURCE!CA30</f>
        <v>1</v>
      </c>
      <c r="L31">
        <f>DONNEES_SOURCE!CB30</f>
        <v>7</v>
      </c>
      <c r="M31">
        <f>DONNEES_SOURCE!BW30</f>
        <v>5.25</v>
      </c>
      <c r="N31">
        <f>DONNEES_SOURCE!AU30</f>
        <v>3</v>
      </c>
      <c r="O31">
        <f>DONNEES_SOURCE!AM30</f>
        <v>6</v>
      </c>
      <c r="P31">
        <f>DONNEES_SOURCE!AN30</f>
        <v>7</v>
      </c>
      <c r="Q31">
        <f>DONNEES_SOURCE!AO30</f>
        <v>5</v>
      </c>
      <c r="R31">
        <f>DONNEES_SOURCE!AP30</f>
        <v>3</v>
      </c>
    </row>
    <row r="32" spans="1:18" x14ac:dyDescent="0.25">
      <c r="A32" s="218" t="s">
        <v>797</v>
      </c>
      <c r="B32" s="218">
        <f t="shared" ref="B32:G32" si="0">D46</f>
        <v>67</v>
      </c>
      <c r="C32" s="219">
        <f t="shared" si="0"/>
        <v>0.30950561196222048</v>
      </c>
      <c r="D32" s="219">
        <f t="shared" si="0"/>
        <v>2.6241668673151048</v>
      </c>
      <c r="E32" s="220">
        <f t="shared" si="0"/>
        <v>65</v>
      </c>
      <c r="F32" s="219">
        <f t="shared" si="0"/>
        <v>1.0814038085717938E-2</v>
      </c>
      <c r="G32" s="221" t="str">
        <f t="shared" si="0"/>
        <v>*</v>
      </c>
      <c r="H32" s="218" t="s">
        <v>556</v>
      </c>
      <c r="K32" t="b">
        <f>DONNEES_SOURCE!CA31</f>
        <v>1</v>
      </c>
      <c r="L32">
        <f>DONNEES_SOURCE!CB31</f>
        <v>6</v>
      </c>
      <c r="M32">
        <f>DONNEES_SOURCE!BW31</f>
        <v>4.75</v>
      </c>
      <c r="N32">
        <f>DONNEES_SOURCE!AU31</f>
        <v>6</v>
      </c>
      <c r="O32">
        <f>DONNEES_SOURCE!AM31</f>
        <v>5</v>
      </c>
      <c r="P32">
        <f>DONNEES_SOURCE!AN31</f>
        <v>6</v>
      </c>
      <c r="Q32">
        <f>DONNEES_SOURCE!AO31</f>
        <v>5</v>
      </c>
      <c r="R32">
        <f>DONNEES_SOURCE!AP31</f>
        <v>3</v>
      </c>
    </row>
    <row r="33" spans="1:18" x14ac:dyDescent="0.25">
      <c r="A33" s="218" t="s">
        <v>798</v>
      </c>
      <c r="B33" s="218">
        <f t="shared" ref="B33:G33" si="1">D52</f>
        <v>67</v>
      </c>
      <c r="C33" s="219">
        <f t="shared" si="1"/>
        <v>-0.23098831616581353</v>
      </c>
      <c r="D33" s="219">
        <f t="shared" si="1"/>
        <v>-1.9140499042245305</v>
      </c>
      <c r="E33" s="220">
        <f t="shared" si="1"/>
        <v>65</v>
      </c>
      <c r="F33" s="219">
        <f t="shared" si="1"/>
        <v>6.0018256687192705E-2</v>
      </c>
      <c r="G33" s="221" t="str">
        <f t="shared" si="1"/>
        <v>.</v>
      </c>
      <c r="H33" s="218" t="s">
        <v>559</v>
      </c>
      <c r="K33" t="b">
        <f>DONNEES_SOURCE!CA32</f>
        <v>1</v>
      </c>
      <c r="L33">
        <f>DONNEES_SOURCE!CB32</f>
        <v>4</v>
      </c>
      <c r="M33">
        <f>DONNEES_SOURCE!BW32</f>
        <v>6.25</v>
      </c>
      <c r="N33">
        <f>DONNEES_SOURCE!AU32</f>
        <v>3</v>
      </c>
      <c r="O33">
        <f>DONNEES_SOURCE!AM32</f>
        <v>7</v>
      </c>
      <c r="P33">
        <f>DONNEES_SOURCE!AN32</f>
        <v>7</v>
      </c>
      <c r="Q33">
        <f>DONNEES_SOURCE!AO32</f>
        <v>7</v>
      </c>
      <c r="R33">
        <f>DONNEES_SOURCE!AP32</f>
        <v>4</v>
      </c>
    </row>
    <row r="34" spans="1:18" x14ac:dyDescent="0.25">
      <c r="A34" s="218" t="s">
        <v>799</v>
      </c>
      <c r="B34" s="218">
        <f t="shared" ref="B34:G34" si="2">D58</f>
        <v>67</v>
      </c>
      <c r="C34" s="219">
        <f t="shared" si="2"/>
        <v>0.23339402047841909</v>
      </c>
      <c r="D34" s="219">
        <f t="shared" si="2"/>
        <v>1.9351266015753277</v>
      </c>
      <c r="E34" s="220">
        <f t="shared" si="2"/>
        <v>65</v>
      </c>
      <c r="F34" s="219">
        <f t="shared" si="2"/>
        <v>5.7327845893478085E-2</v>
      </c>
      <c r="G34" s="223" t="str">
        <f t="shared" si="2"/>
        <v>.</v>
      </c>
      <c r="H34" s="218" t="s">
        <v>556</v>
      </c>
      <c r="K34" t="b">
        <f>DONNEES_SOURCE!CA33</f>
        <v>1</v>
      </c>
      <c r="L34">
        <f>DONNEES_SOURCE!CB33</f>
        <v>7</v>
      </c>
      <c r="M34">
        <f>DONNEES_SOURCE!BW33</f>
        <v>3.75</v>
      </c>
      <c r="N34">
        <f>DONNEES_SOURCE!AU33</f>
        <v>2</v>
      </c>
      <c r="O34">
        <f>DONNEES_SOURCE!AM33</f>
        <v>5</v>
      </c>
      <c r="P34">
        <f>DONNEES_SOURCE!AN33</f>
        <v>4</v>
      </c>
      <c r="Q34">
        <f>DONNEES_SOURCE!AO33</f>
        <v>4</v>
      </c>
      <c r="R34">
        <f>DONNEES_SOURCE!AP33</f>
        <v>2</v>
      </c>
    </row>
    <row r="35" spans="1:18" x14ac:dyDescent="0.25">
      <c r="A35" s="218" t="s">
        <v>800</v>
      </c>
      <c r="B35" s="218">
        <f t="shared" ref="B35:G35" si="3">D64</f>
        <v>67</v>
      </c>
      <c r="C35" s="219">
        <f t="shared" si="3"/>
        <v>0.108624251282291</v>
      </c>
      <c r="D35" s="219">
        <f t="shared" si="3"/>
        <v>0.88096951400667733</v>
      </c>
      <c r="E35" s="220">
        <f t="shared" si="3"/>
        <v>65</v>
      </c>
      <c r="F35" s="219">
        <f t="shared" si="3"/>
        <v>0.3815802457317129</v>
      </c>
      <c r="G35" s="222" t="str">
        <f t="shared" si="3"/>
        <v>NS</v>
      </c>
      <c r="H35" s="218" t="s">
        <v>556</v>
      </c>
      <c r="K35" t="b">
        <f>DONNEES_SOURCE!CA34</f>
        <v>1</v>
      </c>
      <c r="L35">
        <f>DONNEES_SOURCE!CB34</f>
        <v>5</v>
      </c>
      <c r="M35">
        <f>DONNEES_SOURCE!BW34</f>
        <v>5.5</v>
      </c>
      <c r="N35">
        <f>DONNEES_SOURCE!AU34</f>
        <v>6</v>
      </c>
      <c r="O35">
        <f>DONNEES_SOURCE!AM34</f>
        <v>7</v>
      </c>
      <c r="P35">
        <f>DONNEES_SOURCE!AN34</f>
        <v>6</v>
      </c>
      <c r="Q35">
        <f>DONNEES_SOURCE!AO34</f>
        <v>5</v>
      </c>
      <c r="R35">
        <f>DONNEES_SOURCE!AP34</f>
        <v>4</v>
      </c>
    </row>
    <row r="36" spans="1:18" x14ac:dyDescent="0.25">
      <c r="A36" s="218" t="s">
        <v>801</v>
      </c>
      <c r="B36" s="218">
        <f t="shared" ref="B36:G36" si="4">D70</f>
        <v>67</v>
      </c>
      <c r="C36" s="219">
        <f t="shared" si="4"/>
        <v>0.23656634157681802</v>
      </c>
      <c r="D36" s="219">
        <f t="shared" si="4"/>
        <v>1.9629772655545648</v>
      </c>
      <c r="E36" s="220">
        <f t="shared" si="4"/>
        <v>65</v>
      </c>
      <c r="F36" s="219">
        <f t="shared" si="4"/>
        <v>5.3930701769330298E-2</v>
      </c>
      <c r="G36" s="223" t="str">
        <f t="shared" si="4"/>
        <v>.</v>
      </c>
      <c r="H36" s="218" t="s">
        <v>556</v>
      </c>
      <c r="K36" t="b">
        <f>DONNEES_SOURCE!CA35</f>
        <v>1</v>
      </c>
      <c r="L36">
        <f>DONNEES_SOURCE!CB35</f>
        <v>5</v>
      </c>
      <c r="M36">
        <f>DONNEES_SOURCE!BW35</f>
        <v>5.5</v>
      </c>
      <c r="N36">
        <f>DONNEES_SOURCE!AU35</f>
        <v>6</v>
      </c>
      <c r="O36">
        <f>DONNEES_SOURCE!AM35</f>
        <v>6</v>
      </c>
      <c r="P36">
        <f>DONNEES_SOURCE!AN35</f>
        <v>7</v>
      </c>
      <c r="Q36">
        <f>DONNEES_SOURCE!AO35</f>
        <v>4</v>
      </c>
      <c r="R36">
        <f>DONNEES_SOURCE!AP35</f>
        <v>5</v>
      </c>
    </row>
    <row r="37" spans="1:18" x14ac:dyDescent="0.25">
      <c r="A37" s="218" t="s">
        <v>802</v>
      </c>
      <c r="B37" s="218">
        <f t="shared" ref="B37:G37" si="5">D76</f>
        <v>67</v>
      </c>
      <c r="C37" s="219">
        <f t="shared" si="5"/>
        <v>0.30449357513131797</v>
      </c>
      <c r="D37" s="219">
        <f t="shared" si="5"/>
        <v>2.5772898675293403</v>
      </c>
      <c r="E37" s="220">
        <f t="shared" si="5"/>
        <v>65</v>
      </c>
      <c r="F37" s="219">
        <f t="shared" si="5"/>
        <v>1.223535658005076E-2</v>
      </c>
      <c r="G37" s="221" t="str">
        <f t="shared" si="5"/>
        <v>*</v>
      </c>
      <c r="H37" s="218" t="s">
        <v>556</v>
      </c>
      <c r="K37" t="b">
        <f>DONNEES_SOURCE!CA36</f>
        <v>1</v>
      </c>
      <c r="L37">
        <f>DONNEES_SOURCE!CB36</f>
        <v>5</v>
      </c>
      <c r="M37">
        <f>DONNEES_SOURCE!BW36</f>
        <v>7</v>
      </c>
      <c r="N37">
        <f>DONNEES_SOURCE!AU36</f>
        <v>6</v>
      </c>
      <c r="O37">
        <f>DONNEES_SOURCE!AM36</f>
        <v>7</v>
      </c>
      <c r="P37">
        <f>DONNEES_SOURCE!AN36</f>
        <v>7</v>
      </c>
      <c r="Q37">
        <f>DONNEES_SOURCE!AO36</f>
        <v>7</v>
      </c>
      <c r="R37">
        <f>DONNEES_SOURCE!AP36</f>
        <v>7</v>
      </c>
    </row>
    <row r="38" spans="1:18" x14ac:dyDescent="0.25">
      <c r="K38" t="b">
        <f>DONNEES_SOURCE!CA37</f>
        <v>1</v>
      </c>
      <c r="L38">
        <f>DONNEES_SOURCE!CB37</f>
        <v>4</v>
      </c>
      <c r="M38">
        <f>DONNEES_SOURCE!BW37</f>
        <v>7</v>
      </c>
      <c r="N38">
        <f>DONNEES_SOURCE!AU37</f>
        <v>5</v>
      </c>
      <c r="O38">
        <f>DONNEES_SOURCE!AM37</f>
        <v>7</v>
      </c>
      <c r="P38">
        <f>DONNEES_SOURCE!AN37</f>
        <v>7</v>
      </c>
      <c r="Q38">
        <f>DONNEES_SOURCE!AO37</f>
        <v>7</v>
      </c>
      <c r="R38">
        <f>DONNEES_SOURCE!AP37</f>
        <v>7</v>
      </c>
    </row>
    <row r="39" spans="1:18" x14ac:dyDescent="0.25">
      <c r="K39" t="b">
        <f>DONNEES_SOURCE!CA38</f>
        <v>1</v>
      </c>
      <c r="L39">
        <f>DONNEES_SOURCE!CB38</f>
        <v>5</v>
      </c>
      <c r="M39">
        <f>DONNEES_SOURCE!BW38</f>
        <v>5.5</v>
      </c>
      <c r="N39">
        <f>DONNEES_SOURCE!AU38</f>
        <v>3</v>
      </c>
      <c r="O39">
        <f>DONNEES_SOURCE!AM38</f>
        <v>6</v>
      </c>
      <c r="P39">
        <f>DONNEES_SOURCE!AN38</f>
        <v>7</v>
      </c>
      <c r="Q39">
        <f>DONNEES_SOURCE!AO38</f>
        <v>5</v>
      </c>
      <c r="R39">
        <f>DONNEES_SOURCE!AP38</f>
        <v>4</v>
      </c>
    </row>
    <row r="40" spans="1:18" x14ac:dyDescent="0.25">
      <c r="A40" s="308" t="s">
        <v>752</v>
      </c>
      <c r="B40" s="307"/>
      <c r="C40" s="307"/>
      <c r="D40" s="307"/>
      <c r="E40" s="307"/>
      <c r="F40" s="307"/>
      <c r="G40" s="307"/>
      <c r="H40" s="307"/>
      <c r="I40" s="307"/>
      <c r="J40" s="307"/>
      <c r="K40" t="b">
        <f>DONNEES_SOURCE!CA39</f>
        <v>1</v>
      </c>
      <c r="L40">
        <f>DONNEES_SOURCE!CB39</f>
        <v>6</v>
      </c>
      <c r="M40">
        <f>DONNEES_SOURCE!BW39</f>
        <v>6.5</v>
      </c>
      <c r="N40">
        <f>DONNEES_SOURCE!AU39</f>
        <v>6</v>
      </c>
      <c r="O40">
        <f>DONNEES_SOURCE!AM39</f>
        <v>7</v>
      </c>
      <c r="P40">
        <f>DONNEES_SOURCE!AN39</f>
        <v>7</v>
      </c>
      <c r="Q40">
        <f>DONNEES_SOURCE!AO39</f>
        <v>7</v>
      </c>
      <c r="R40">
        <f>DONNEES_SOURCE!AP39</f>
        <v>5</v>
      </c>
    </row>
    <row r="41" spans="1:18" x14ac:dyDescent="0.25">
      <c r="A41" s="305" t="s">
        <v>803</v>
      </c>
      <c r="B41" s="254"/>
      <c r="C41" s="254"/>
      <c r="D41" s="254"/>
      <c r="E41" s="254"/>
      <c r="F41" s="254"/>
      <c r="G41" s="254"/>
      <c r="H41" s="254"/>
      <c r="I41" s="254"/>
      <c r="J41" s="254"/>
      <c r="K41" t="b">
        <f>DONNEES_SOURCE!CA40</f>
        <v>1</v>
      </c>
      <c r="L41">
        <f>DONNEES_SOURCE!CB40</f>
        <v>4</v>
      </c>
      <c r="M41">
        <f>DONNEES_SOURCE!BW40</f>
        <v>5.75</v>
      </c>
      <c r="N41">
        <f>DONNEES_SOURCE!AU40</f>
        <v>3</v>
      </c>
      <c r="O41">
        <f>DONNEES_SOURCE!AM40</f>
        <v>6</v>
      </c>
      <c r="P41">
        <f>DONNEES_SOURCE!AN40</f>
        <v>7</v>
      </c>
      <c r="Q41">
        <f>DONNEES_SOURCE!AO40</f>
        <v>5</v>
      </c>
      <c r="R41">
        <f>DONNEES_SOURCE!AP40</f>
        <v>5</v>
      </c>
    </row>
    <row r="42" spans="1:18" x14ac:dyDescent="0.25">
      <c r="K42" t="b">
        <f>DONNEES_SOURCE!CA41</f>
        <v>1</v>
      </c>
      <c r="L42">
        <f>DONNEES_SOURCE!CB41</f>
        <v>5</v>
      </c>
      <c r="M42">
        <f>DONNEES_SOURCE!BW41</f>
        <v>6.25</v>
      </c>
      <c r="N42">
        <f>DONNEES_SOURCE!AU41</f>
        <v>4</v>
      </c>
      <c r="O42">
        <f>DONNEES_SOURCE!AM41</f>
        <v>7</v>
      </c>
      <c r="P42">
        <f>DONNEES_SOURCE!AN41</f>
        <v>7</v>
      </c>
      <c r="Q42">
        <f>DONNEES_SOURCE!AO41</f>
        <v>5</v>
      </c>
      <c r="R42">
        <f>DONNEES_SOURCE!AP41</f>
        <v>6</v>
      </c>
    </row>
    <row r="43" spans="1:18" x14ac:dyDescent="0.25">
      <c r="A43" s="214" t="s">
        <v>695</v>
      </c>
      <c r="B43" s="214" t="s">
        <v>626</v>
      </c>
      <c r="C43" s="214" t="s">
        <v>627</v>
      </c>
      <c r="D43" s="214" t="s">
        <v>628</v>
      </c>
      <c r="E43" s="214" t="s">
        <v>696</v>
      </c>
      <c r="F43" s="214" t="s">
        <v>629</v>
      </c>
      <c r="G43" s="214" t="s">
        <v>697</v>
      </c>
      <c r="H43" s="214" t="s">
        <v>548</v>
      </c>
      <c r="I43" s="214" t="s">
        <v>698</v>
      </c>
      <c r="K43" t="b">
        <f>DONNEES_SOURCE!CA42</f>
        <v>1</v>
      </c>
      <c r="L43">
        <f>DONNEES_SOURCE!CB42</f>
        <v>7</v>
      </c>
      <c r="M43">
        <f>DONNEES_SOURCE!BW42</f>
        <v>4.5</v>
      </c>
      <c r="N43">
        <f>DONNEES_SOURCE!AU42</f>
        <v>1</v>
      </c>
      <c r="O43">
        <f>DONNEES_SOURCE!AM42</f>
        <v>6</v>
      </c>
      <c r="P43">
        <f>DONNEES_SOURCE!AN42</f>
        <v>3</v>
      </c>
      <c r="Q43">
        <f>DONNEES_SOURCE!AO42</f>
        <v>2</v>
      </c>
      <c r="R43">
        <f>DONNEES_SOURCE!AP42</f>
        <v>7</v>
      </c>
    </row>
    <row r="44" spans="1:18" x14ac:dyDescent="0.25">
      <c r="A44" s="205"/>
      <c r="B44" s="205"/>
      <c r="C44" s="205"/>
      <c r="D44" s="205" t="s">
        <v>754</v>
      </c>
      <c r="E44" s="205" t="s">
        <v>755</v>
      </c>
      <c r="F44" s="205" t="s">
        <v>756</v>
      </c>
      <c r="G44" s="205" t="s">
        <v>757</v>
      </c>
      <c r="H44" s="205" t="s">
        <v>758</v>
      </c>
      <c r="I44" s="205" t="s">
        <v>759</v>
      </c>
      <c r="K44" t="b">
        <f>DONNEES_SOURCE!CA43</f>
        <v>1</v>
      </c>
      <c r="L44">
        <f>DONNEES_SOURCE!CB43</f>
        <v>5</v>
      </c>
      <c r="M44">
        <f>DONNEES_SOURCE!BW43</f>
        <v>6.75</v>
      </c>
      <c r="N44">
        <f>DONNEES_SOURCE!AU43</f>
        <v>3</v>
      </c>
      <c r="O44">
        <f>DONNEES_SOURCE!AM43</f>
        <v>7</v>
      </c>
      <c r="P44">
        <f>DONNEES_SOURCE!AN43</f>
        <v>7</v>
      </c>
      <c r="Q44">
        <f>DONNEES_SOURCE!AO43</f>
        <v>6</v>
      </c>
      <c r="R44">
        <f>DONNEES_SOURCE!AP43</f>
        <v>7</v>
      </c>
    </row>
    <row r="45" spans="1:18" x14ac:dyDescent="0.25">
      <c r="A45" s="215" t="s">
        <v>804</v>
      </c>
      <c r="B45" s="213"/>
      <c r="C45" s="213"/>
      <c r="D45" s="213"/>
      <c r="E45" s="213"/>
      <c r="F45" s="213"/>
      <c r="G45" s="213"/>
      <c r="H45" s="213"/>
      <c r="I45" s="213"/>
      <c r="K45" t="b">
        <f>DONNEES_SOURCE!CA44</f>
        <v>1</v>
      </c>
      <c r="L45">
        <f>DONNEES_SOURCE!CB44</f>
        <v>5</v>
      </c>
      <c r="M45">
        <f>DONNEES_SOURCE!BW44</f>
        <v>5.75</v>
      </c>
      <c r="N45">
        <f>DONNEES_SOURCE!AU44</f>
        <v>6</v>
      </c>
      <c r="O45">
        <f>DONNEES_SOURCE!AM44</f>
        <v>6</v>
      </c>
      <c r="P45">
        <f>DONNEES_SOURCE!AN44</f>
        <v>6</v>
      </c>
      <c r="Q45">
        <f>DONNEES_SOURCE!AO44</f>
        <v>5</v>
      </c>
      <c r="R45">
        <f>DONNEES_SOURCE!AP44</f>
        <v>6</v>
      </c>
    </row>
    <row r="46" spans="1:18" x14ac:dyDescent="0.25">
      <c r="A46" t="s">
        <v>805</v>
      </c>
      <c r="B46" t="s">
        <v>297</v>
      </c>
      <c r="C46" t="s">
        <v>531</v>
      </c>
      <c r="D46" s="191" cm="1">
        <f t="array" ref="D46">SUMPRODUCT(($K$3:$K$102=TRUE)*($M$3:$M$102&lt;&gt;"")*($N$3:$N$102&lt;&gt;""))</f>
        <v>67</v>
      </c>
      <c r="E46" s="200" cm="1">
        <f t="array" ref="E46">CORREL(_xlfn._xlws.FILTER(_xlfn.RANK.AVG($M$3:$M$102,$M$3:$M$102,1),($K$3:$K$102=TRUE)*($M$3:$M$102&lt;&gt;"")*($N$3:$N$102&lt;&gt;"")),_xlfn._xlws.FILTER(_xlfn.RANK.AVG($N$3:$N$102,$N$3:$N$102,1),($K$3:$K$102=TRUE)*($M$3:$M$102&lt;&gt;"")*($N$3:$N$102&lt;&gt;"")))</f>
        <v>0.30950561196222048</v>
      </c>
      <c r="F46" s="200">
        <f>E46*SQRT(D46-2)/SQRT(1-E46^2)</f>
        <v>2.6241668673151048</v>
      </c>
      <c r="G46" s="191">
        <f>D46-2</f>
        <v>65</v>
      </c>
      <c r="H46" s="200">
        <f>_xlfn.T.DIST.2T(ABS(F46),G46)</f>
        <v>1.0814038085717938E-2</v>
      </c>
      <c r="I46" t="str">
        <f>IF(H46&lt;0.001,"***",IF(H46&lt;0.01,"**",IF(H46&lt;0.05,"*",IF(H46&lt;0.1,".","NS"))))</f>
        <v>*</v>
      </c>
      <c r="K46" t="b">
        <f>DONNEES_SOURCE!CA45</f>
        <v>1</v>
      </c>
      <c r="L46">
        <f>DONNEES_SOURCE!CB45</f>
        <v>6</v>
      </c>
      <c r="M46">
        <f>DONNEES_SOURCE!BW45</f>
        <v>5.25</v>
      </c>
      <c r="N46">
        <f>DONNEES_SOURCE!AU45</f>
        <v>4</v>
      </c>
      <c r="O46">
        <f>DONNEES_SOURCE!AM45</f>
        <v>6</v>
      </c>
      <c r="P46">
        <f>DONNEES_SOURCE!AN45</f>
        <v>4</v>
      </c>
      <c r="Q46">
        <f>DONNEES_SOURCE!AO45</f>
        <v>6</v>
      </c>
      <c r="R46">
        <f>DONNEES_SOURCE!AP45</f>
        <v>5</v>
      </c>
    </row>
    <row r="47" spans="1:18" x14ac:dyDescent="0.25">
      <c r="K47" t="b">
        <f>DONNEES_SOURCE!CA46</f>
        <v>1</v>
      </c>
      <c r="L47">
        <f>DONNEES_SOURCE!CB46</f>
        <v>6</v>
      </c>
      <c r="M47">
        <f>DONNEES_SOURCE!BW46</f>
        <v>5.5</v>
      </c>
      <c r="N47">
        <f>DONNEES_SOURCE!AU46</f>
        <v>1</v>
      </c>
      <c r="O47">
        <f>DONNEES_SOURCE!AM46</f>
        <v>7</v>
      </c>
      <c r="P47">
        <f>DONNEES_SOURCE!AN46</f>
        <v>7</v>
      </c>
      <c r="Q47">
        <f>DONNEES_SOURCE!AO46</f>
        <v>6</v>
      </c>
      <c r="R47">
        <f>DONNEES_SOURCE!AP46</f>
        <v>2</v>
      </c>
    </row>
    <row r="48" spans="1:18" x14ac:dyDescent="0.25">
      <c r="K48" t="b">
        <f>DONNEES_SOURCE!CA47</f>
        <v>1</v>
      </c>
      <c r="L48">
        <f>DONNEES_SOURCE!CB47</f>
        <v>4</v>
      </c>
      <c r="M48">
        <f>DONNEES_SOURCE!BW47</f>
        <v>5.5</v>
      </c>
      <c r="N48">
        <f>DONNEES_SOURCE!AU47</f>
        <v>2</v>
      </c>
      <c r="O48">
        <f>DONNEES_SOURCE!AM47</f>
        <v>5</v>
      </c>
      <c r="P48">
        <f>DONNEES_SOURCE!AN47</f>
        <v>5</v>
      </c>
      <c r="Q48">
        <f>DONNEES_SOURCE!AO47</f>
        <v>6</v>
      </c>
      <c r="R48">
        <f>DONNEES_SOURCE!AP47</f>
        <v>6</v>
      </c>
    </row>
    <row r="49" spans="1:18" x14ac:dyDescent="0.25">
      <c r="K49" t="b">
        <f>DONNEES_SOURCE!CA48</f>
        <v>1</v>
      </c>
      <c r="L49">
        <f>DONNEES_SOURCE!CB48</f>
        <v>5</v>
      </c>
      <c r="M49">
        <f>DONNEES_SOURCE!BW48</f>
        <v>6</v>
      </c>
      <c r="N49">
        <f>DONNEES_SOURCE!AU48</f>
        <v>3</v>
      </c>
      <c r="O49">
        <f>DONNEES_SOURCE!AM48</f>
        <v>6</v>
      </c>
      <c r="P49">
        <f>DONNEES_SOURCE!AN48</f>
        <v>7</v>
      </c>
      <c r="Q49">
        <f>DONNEES_SOURCE!AO48</f>
        <v>7</v>
      </c>
      <c r="R49">
        <f>DONNEES_SOURCE!AP48</f>
        <v>4</v>
      </c>
    </row>
    <row r="50" spans="1:18" x14ac:dyDescent="0.25">
      <c r="K50" t="b">
        <f>DONNEES_SOURCE!CA49</f>
        <v>1</v>
      </c>
      <c r="L50">
        <f>DONNEES_SOURCE!CB49</f>
        <v>5</v>
      </c>
      <c r="M50">
        <f>DONNEES_SOURCE!BW49</f>
        <v>5.25</v>
      </c>
      <c r="N50">
        <f>DONNEES_SOURCE!AU49</f>
        <v>4</v>
      </c>
      <c r="O50">
        <f>DONNEES_SOURCE!AM49</f>
        <v>7</v>
      </c>
      <c r="P50">
        <f>DONNEES_SOURCE!AN49</f>
        <v>7</v>
      </c>
      <c r="Q50">
        <f>DONNEES_SOURCE!AO49</f>
        <v>4</v>
      </c>
      <c r="R50">
        <f>DONNEES_SOURCE!AP49</f>
        <v>3</v>
      </c>
    </row>
    <row r="51" spans="1:18" x14ac:dyDescent="0.25">
      <c r="A51" s="215" t="s">
        <v>806</v>
      </c>
      <c r="B51" s="213"/>
      <c r="C51" s="213"/>
      <c r="D51" s="213"/>
      <c r="E51" s="213"/>
      <c r="F51" s="213"/>
      <c r="G51" s="213"/>
      <c r="H51" s="213"/>
      <c r="I51" s="213"/>
      <c r="K51" t="b">
        <f>DONNEES_SOURCE!CA50</f>
        <v>1</v>
      </c>
      <c r="L51">
        <f>DONNEES_SOURCE!CB50</f>
        <v>5</v>
      </c>
      <c r="M51">
        <f>DONNEES_SOURCE!BW50</f>
        <v>4.25</v>
      </c>
      <c r="N51">
        <f>DONNEES_SOURCE!AU50</f>
        <v>2</v>
      </c>
      <c r="O51">
        <f>DONNEES_SOURCE!AM50</f>
        <v>7</v>
      </c>
      <c r="P51">
        <f>DONNEES_SOURCE!AN50</f>
        <v>5</v>
      </c>
      <c r="Q51">
        <f>DONNEES_SOURCE!AO50</f>
        <v>3</v>
      </c>
      <c r="R51">
        <f>DONNEES_SOURCE!AP50</f>
        <v>2</v>
      </c>
    </row>
    <row r="52" spans="1:18" x14ac:dyDescent="0.25">
      <c r="A52" t="s">
        <v>807</v>
      </c>
      <c r="B52" t="s">
        <v>297</v>
      </c>
      <c r="C52" t="s">
        <v>498</v>
      </c>
      <c r="D52" s="191" cm="1">
        <f t="array" ref="D52">SUMPRODUCT(($K$3:$K$102=TRUE)*($M$3:$M$102&lt;&gt;"")*($L$3:$L$102&lt;&gt;""))</f>
        <v>67</v>
      </c>
      <c r="E52" s="200" cm="1">
        <f t="array" ref="E52">CORREL(_xlfn._xlws.FILTER(_xlfn.RANK.AVG($M$3:$M$102,$M$3:$M$102,1),($K$3:$K$102=TRUE)*($M$3:$M$102&lt;&gt;"")*($L$3:$L$102&lt;&gt;"")),_xlfn._xlws.FILTER(_xlfn.RANK.AVG($L$3:$L$102,$L$3:$L$102,1),($K$3:$K$102=TRUE)*($M$3:$M$102&lt;&gt;"")*($L$3:$L$102&lt;&gt;"")))</f>
        <v>-0.23098831616581353</v>
      </c>
      <c r="F52" s="200">
        <f>E52*SQRT(D52-2)/SQRT(1-E52^2)</f>
        <v>-1.9140499042245305</v>
      </c>
      <c r="G52" s="191">
        <f>D52-2</f>
        <v>65</v>
      </c>
      <c r="H52" s="200">
        <f>_xlfn.T.DIST.2T(ABS(F52),G52)</f>
        <v>6.0018256687192705E-2</v>
      </c>
      <c r="I52" t="str">
        <f>IF(H52&lt;0.001,"***",IF(H52&lt;0.01,"**",IF(H52&lt;0.05,"*",IF(H52&lt;0.1,".","NS"))))</f>
        <v>.</v>
      </c>
      <c r="K52" t="b">
        <f>DONNEES_SOURCE!CA51</f>
        <v>1</v>
      </c>
      <c r="L52">
        <f>DONNEES_SOURCE!CB51</f>
        <v>5</v>
      </c>
      <c r="M52">
        <f>DONNEES_SOURCE!BW51</f>
        <v>5.5</v>
      </c>
      <c r="N52">
        <f>DONNEES_SOURCE!AU51</f>
        <v>5</v>
      </c>
      <c r="O52">
        <f>DONNEES_SOURCE!AM51</f>
        <v>7</v>
      </c>
      <c r="P52">
        <f>DONNEES_SOURCE!AN51</f>
        <v>6</v>
      </c>
      <c r="Q52">
        <f>DONNEES_SOURCE!AO51</f>
        <v>2</v>
      </c>
      <c r="R52">
        <f>DONNEES_SOURCE!AP51</f>
        <v>7</v>
      </c>
    </row>
    <row r="53" spans="1:18" x14ac:dyDescent="0.25">
      <c r="K53" t="b">
        <f>DONNEES_SOURCE!CA52</f>
        <v>1</v>
      </c>
      <c r="L53">
        <f>DONNEES_SOURCE!CB52</f>
        <v>4</v>
      </c>
      <c r="M53">
        <f>DONNEES_SOURCE!BW52</f>
        <v>6.25</v>
      </c>
      <c r="N53">
        <f>DONNEES_SOURCE!AU52</f>
        <v>4</v>
      </c>
      <c r="O53">
        <f>DONNEES_SOURCE!AM52</f>
        <v>7</v>
      </c>
      <c r="P53">
        <f>DONNEES_SOURCE!AN52</f>
        <v>5</v>
      </c>
      <c r="Q53">
        <f>DONNEES_SOURCE!AO52</f>
        <v>6</v>
      </c>
      <c r="R53">
        <f>DONNEES_SOURCE!AP52</f>
        <v>7</v>
      </c>
    </row>
    <row r="54" spans="1:18" x14ac:dyDescent="0.25">
      <c r="K54" t="b">
        <f>DONNEES_SOURCE!CA53</f>
        <v>1</v>
      </c>
      <c r="L54">
        <f>DONNEES_SOURCE!CB53</f>
        <v>7</v>
      </c>
      <c r="M54">
        <f>DONNEES_SOURCE!BW53</f>
        <v>5.5</v>
      </c>
      <c r="N54">
        <f>DONNEES_SOURCE!AU53</f>
        <v>5</v>
      </c>
      <c r="O54">
        <f>DONNEES_SOURCE!AM53</f>
        <v>7</v>
      </c>
      <c r="P54">
        <f>DONNEES_SOURCE!AN53</f>
        <v>4</v>
      </c>
      <c r="Q54">
        <f>DONNEES_SOURCE!AO53</f>
        <v>5</v>
      </c>
      <c r="R54">
        <f>DONNEES_SOURCE!AP53</f>
        <v>6</v>
      </c>
    </row>
    <row r="55" spans="1:18" x14ac:dyDescent="0.25">
      <c r="K55" t="b">
        <f>DONNEES_SOURCE!CA54</f>
        <v>1</v>
      </c>
      <c r="L55">
        <f>DONNEES_SOURCE!CB54</f>
        <v>7</v>
      </c>
      <c r="M55">
        <f>DONNEES_SOURCE!BW54</f>
        <v>4.75</v>
      </c>
      <c r="N55">
        <f>DONNEES_SOURCE!AU54</f>
        <v>3</v>
      </c>
      <c r="O55">
        <f>DONNEES_SOURCE!AM54</f>
        <v>7</v>
      </c>
      <c r="P55">
        <f>DONNEES_SOURCE!AN54</f>
        <v>2</v>
      </c>
      <c r="Q55">
        <f>DONNEES_SOURCE!AO54</f>
        <v>5</v>
      </c>
      <c r="R55">
        <f>DONNEES_SOURCE!AP54</f>
        <v>5</v>
      </c>
    </row>
    <row r="56" spans="1:18" x14ac:dyDescent="0.25">
      <c r="K56" t="b">
        <f>DONNEES_SOURCE!CA55</f>
        <v>1</v>
      </c>
      <c r="L56">
        <f>DONNEES_SOURCE!CB55</f>
        <v>5</v>
      </c>
      <c r="M56">
        <f>DONNEES_SOURCE!BW55</f>
        <v>4.5</v>
      </c>
      <c r="N56">
        <f>DONNEES_SOURCE!AU55</f>
        <v>1</v>
      </c>
      <c r="O56">
        <f>DONNEES_SOURCE!AM55</f>
        <v>6</v>
      </c>
      <c r="P56">
        <f>DONNEES_SOURCE!AN55</f>
        <v>5</v>
      </c>
      <c r="Q56">
        <f>DONNEES_SOURCE!AO55</f>
        <v>4</v>
      </c>
      <c r="R56">
        <f>DONNEES_SOURCE!AP55</f>
        <v>3</v>
      </c>
    </row>
    <row r="57" spans="1:18" x14ac:dyDescent="0.25">
      <c r="A57" s="215" t="s">
        <v>808</v>
      </c>
      <c r="B57" s="213"/>
      <c r="C57" s="213"/>
      <c r="D57" s="213"/>
      <c r="E57" s="213"/>
      <c r="F57" s="213"/>
      <c r="G57" s="213"/>
      <c r="H57" s="213"/>
      <c r="I57" s="213"/>
      <c r="K57" t="b">
        <f>DONNEES_SOURCE!CA56</f>
        <v>1</v>
      </c>
      <c r="L57">
        <f>DONNEES_SOURCE!CB56</f>
        <v>5</v>
      </c>
      <c r="M57">
        <f>DONNEES_SOURCE!BW56</f>
        <v>4.25</v>
      </c>
      <c r="N57">
        <f>DONNEES_SOURCE!AU56</f>
        <v>5</v>
      </c>
      <c r="O57">
        <f>DONNEES_SOURCE!AM56</f>
        <v>6</v>
      </c>
      <c r="P57">
        <f>DONNEES_SOURCE!AN56</f>
        <v>2</v>
      </c>
      <c r="Q57">
        <f>DONNEES_SOURCE!AO56</f>
        <v>4</v>
      </c>
      <c r="R57">
        <f>DONNEES_SOURCE!AP56</f>
        <v>5</v>
      </c>
    </row>
    <row r="58" spans="1:18" x14ac:dyDescent="0.25">
      <c r="A58" t="s">
        <v>809</v>
      </c>
      <c r="B58" t="s">
        <v>775</v>
      </c>
      <c r="C58" t="s">
        <v>531</v>
      </c>
      <c r="D58" s="191" cm="1">
        <f t="array" ref="D58">SUMPRODUCT(($K$3:$K$102=TRUE)*($O$3:$O$102&lt;&gt;"")*($N$3:$N$102&lt;&gt;""))</f>
        <v>67</v>
      </c>
      <c r="E58" s="200" cm="1">
        <f t="array" ref="E58">CORREL(_xlfn._xlws.FILTER(_xlfn.RANK.AVG($O$3:$O$102,$O$3:$O$102,1),($K$3:$K$102=TRUE)*($O$3:$O$102&lt;&gt;"")*($N$3:$N$102&lt;&gt;"")),_xlfn._xlws.FILTER(_xlfn.RANK.AVG($N$3:$N$102,$N$3:$N$102,1),($K$3:$K$102=TRUE)*($O$3:$O$102&lt;&gt;"")*($N$3:$N$102&lt;&gt;"")))</f>
        <v>0.23339402047841909</v>
      </c>
      <c r="F58" s="200">
        <f>E58*SQRT(D58-2)/SQRT(1-E58^2)</f>
        <v>1.9351266015753277</v>
      </c>
      <c r="G58" s="191">
        <f>D58-2</f>
        <v>65</v>
      </c>
      <c r="H58" s="200">
        <f>_xlfn.T.DIST.2T(ABS(F58),G58)</f>
        <v>5.7327845893478085E-2</v>
      </c>
      <c r="I58" t="str">
        <f>IF(H58&lt;0.001,"***",IF(H58&lt;0.01,"**",IF(H58&lt;0.05,"*",IF(H58&lt;0.1,".","NS"))))</f>
        <v>.</v>
      </c>
      <c r="K58" t="b">
        <f>DONNEES_SOURCE!CA57</f>
        <v>1</v>
      </c>
      <c r="L58">
        <f>DONNEES_SOURCE!CB57</f>
        <v>6</v>
      </c>
      <c r="M58">
        <f>DONNEES_SOURCE!BW57</f>
        <v>5.75</v>
      </c>
      <c r="N58">
        <f>DONNEES_SOURCE!AU57</f>
        <v>3</v>
      </c>
      <c r="O58">
        <f>DONNEES_SOURCE!AM57</f>
        <v>6</v>
      </c>
      <c r="P58">
        <f>DONNEES_SOURCE!AN57</f>
        <v>7</v>
      </c>
      <c r="Q58">
        <f>DONNEES_SOURCE!AO57</f>
        <v>6</v>
      </c>
      <c r="R58">
        <f>DONNEES_SOURCE!AP57</f>
        <v>4</v>
      </c>
    </row>
    <row r="59" spans="1:18" x14ac:dyDescent="0.25">
      <c r="K59" t="b">
        <f>DONNEES_SOURCE!CA58</f>
        <v>1</v>
      </c>
      <c r="L59">
        <f>DONNEES_SOURCE!CB58</f>
        <v>5</v>
      </c>
      <c r="M59">
        <f>DONNEES_SOURCE!BW58</f>
        <v>6.5</v>
      </c>
      <c r="N59">
        <f>DONNEES_SOURCE!AU58</f>
        <v>7</v>
      </c>
      <c r="O59">
        <f>DONNEES_SOURCE!AM58</f>
        <v>7</v>
      </c>
      <c r="P59">
        <f>DONNEES_SOURCE!AN58</f>
        <v>7</v>
      </c>
      <c r="Q59">
        <f>DONNEES_SOURCE!AO58</f>
        <v>5</v>
      </c>
      <c r="R59">
        <f>DONNEES_SOURCE!AP58</f>
        <v>7</v>
      </c>
    </row>
    <row r="60" spans="1:18" x14ac:dyDescent="0.25">
      <c r="K60" t="b">
        <f>DONNEES_SOURCE!CA59</f>
        <v>1</v>
      </c>
      <c r="L60">
        <f>DONNEES_SOURCE!CB59</f>
        <v>4</v>
      </c>
      <c r="M60">
        <f>DONNEES_SOURCE!BW59</f>
        <v>6.5</v>
      </c>
      <c r="N60">
        <f>DONNEES_SOURCE!AU59</f>
        <v>5</v>
      </c>
      <c r="O60">
        <f>DONNEES_SOURCE!AM59</f>
        <v>7</v>
      </c>
      <c r="P60">
        <f>DONNEES_SOURCE!AN59</f>
        <v>7</v>
      </c>
      <c r="Q60">
        <f>DONNEES_SOURCE!AO59</f>
        <v>7</v>
      </c>
      <c r="R60">
        <f>DONNEES_SOURCE!AP59</f>
        <v>5</v>
      </c>
    </row>
    <row r="61" spans="1:18" x14ac:dyDescent="0.25">
      <c r="K61" t="b">
        <f>DONNEES_SOURCE!CA60</f>
        <v>1</v>
      </c>
      <c r="L61">
        <f>DONNEES_SOURCE!CB60</f>
        <v>6</v>
      </c>
      <c r="M61">
        <f>DONNEES_SOURCE!BW60</f>
        <v>4.75</v>
      </c>
      <c r="N61">
        <f>DONNEES_SOURCE!AU60</f>
        <v>1</v>
      </c>
      <c r="O61">
        <f>DONNEES_SOURCE!AM60</f>
        <v>7</v>
      </c>
      <c r="P61">
        <f>DONNEES_SOURCE!AN60</f>
        <v>7</v>
      </c>
      <c r="Q61">
        <f>DONNEES_SOURCE!AO60</f>
        <v>4</v>
      </c>
      <c r="R61">
        <f>DONNEES_SOURCE!AP60</f>
        <v>1</v>
      </c>
    </row>
    <row r="62" spans="1:18" x14ac:dyDescent="0.25">
      <c r="K62" t="b">
        <f>DONNEES_SOURCE!CA61</f>
        <v>1</v>
      </c>
      <c r="L62">
        <f>DONNEES_SOURCE!CB61</f>
        <v>5</v>
      </c>
      <c r="M62">
        <f>DONNEES_SOURCE!BW61</f>
        <v>5.75</v>
      </c>
      <c r="N62">
        <f>DONNEES_SOURCE!AU61</f>
        <v>4</v>
      </c>
      <c r="O62">
        <f>DONNEES_SOURCE!AM61</f>
        <v>4</v>
      </c>
      <c r="P62">
        <f>DONNEES_SOURCE!AN61</f>
        <v>6</v>
      </c>
      <c r="Q62">
        <f>DONNEES_SOURCE!AO61</f>
        <v>6</v>
      </c>
      <c r="R62">
        <f>DONNEES_SOURCE!AP61</f>
        <v>7</v>
      </c>
    </row>
    <row r="63" spans="1:18" x14ac:dyDescent="0.25">
      <c r="A63" s="215" t="s">
        <v>810</v>
      </c>
      <c r="B63" s="213"/>
      <c r="C63" s="213"/>
      <c r="D63" s="213"/>
      <c r="E63" s="213"/>
      <c r="F63" s="213"/>
      <c r="G63" s="213"/>
      <c r="H63" s="213"/>
      <c r="I63" s="213"/>
      <c r="K63" t="b">
        <f>DONNEES_SOURCE!CA62</f>
        <v>1</v>
      </c>
      <c r="L63">
        <f>DONNEES_SOURCE!CB62</f>
        <v>4</v>
      </c>
      <c r="M63">
        <f>DONNEES_SOURCE!BW62</f>
        <v>5.25</v>
      </c>
      <c r="N63">
        <f>DONNEES_SOURCE!AU62</f>
        <v>3</v>
      </c>
      <c r="O63">
        <f>DONNEES_SOURCE!AM62</f>
        <v>6</v>
      </c>
      <c r="P63">
        <f>DONNEES_SOURCE!AN62</f>
        <v>5</v>
      </c>
      <c r="Q63">
        <f>DONNEES_SOURCE!AO62</f>
        <v>5</v>
      </c>
      <c r="R63">
        <f>DONNEES_SOURCE!AP62</f>
        <v>5</v>
      </c>
    </row>
    <row r="64" spans="1:18" x14ac:dyDescent="0.25">
      <c r="A64" t="s">
        <v>811</v>
      </c>
      <c r="B64" t="s">
        <v>776</v>
      </c>
      <c r="C64" t="s">
        <v>531</v>
      </c>
      <c r="D64" s="191" cm="1">
        <f t="array" ref="D64">SUMPRODUCT(($K$3:$K$102=TRUE)*($P$3:$P$102&lt;&gt;"")*($N$3:$N$102&lt;&gt;""))</f>
        <v>67</v>
      </c>
      <c r="E64" s="200" cm="1">
        <f t="array" ref="E64">CORREL(_xlfn._xlws.FILTER(_xlfn.RANK.AVG($P$3:$P$102,$P$3:$P$102,1),($K$3:$K$102=TRUE)*($P$3:$P$102&lt;&gt;"")*($N$3:$N$102&lt;&gt;"")),_xlfn._xlws.FILTER(_xlfn.RANK.AVG($N$3:$N$102,$N$3:$N$102,1),($K$3:$K$102=TRUE)*($P$3:$P$102&lt;&gt;"")*($N$3:$N$102&lt;&gt;"")))</f>
        <v>0.108624251282291</v>
      </c>
      <c r="F64" s="200">
        <f>E64*SQRT(D64-2)/SQRT(1-E64^2)</f>
        <v>0.88096951400667733</v>
      </c>
      <c r="G64" s="191">
        <f>D64-2</f>
        <v>65</v>
      </c>
      <c r="H64" s="200">
        <f>_xlfn.T.DIST.2T(ABS(F64),G64)</f>
        <v>0.3815802457317129</v>
      </c>
      <c r="I64" t="str">
        <f>IF(H64&lt;0.001,"***",IF(H64&lt;0.01,"**",IF(H64&lt;0.05,"*",IF(H64&lt;0.1,".","NS"))))</f>
        <v>NS</v>
      </c>
      <c r="K64" t="b">
        <f>DONNEES_SOURCE!CA63</f>
        <v>1</v>
      </c>
      <c r="L64">
        <f>DONNEES_SOURCE!CB63</f>
        <v>5</v>
      </c>
      <c r="M64">
        <f>DONNEES_SOURCE!BW63</f>
        <v>7</v>
      </c>
      <c r="N64">
        <f>DONNEES_SOURCE!AU63</f>
        <v>7</v>
      </c>
      <c r="O64">
        <f>DONNEES_SOURCE!AM63</f>
        <v>7</v>
      </c>
      <c r="P64">
        <f>DONNEES_SOURCE!AN63</f>
        <v>7</v>
      </c>
      <c r="Q64">
        <f>DONNEES_SOURCE!AO63</f>
        <v>7</v>
      </c>
      <c r="R64">
        <f>DONNEES_SOURCE!AP63</f>
        <v>7</v>
      </c>
    </row>
    <row r="65" spans="1:18" x14ac:dyDescent="0.25">
      <c r="K65" t="b">
        <f>DONNEES_SOURCE!CA64</f>
        <v>1</v>
      </c>
      <c r="L65">
        <f>DONNEES_SOURCE!CB64</f>
        <v>3</v>
      </c>
      <c r="M65">
        <f>DONNEES_SOURCE!BW64</f>
        <v>6.5</v>
      </c>
      <c r="N65">
        <f>DONNEES_SOURCE!AU64</f>
        <v>5</v>
      </c>
      <c r="O65">
        <f>DONNEES_SOURCE!AM64</f>
        <v>7</v>
      </c>
      <c r="P65">
        <f>DONNEES_SOURCE!AN64</f>
        <v>7</v>
      </c>
      <c r="Q65">
        <f>DONNEES_SOURCE!AO64</f>
        <v>7</v>
      </c>
      <c r="R65">
        <f>DONNEES_SOURCE!AP64</f>
        <v>5</v>
      </c>
    </row>
    <row r="66" spans="1:18" x14ac:dyDescent="0.25">
      <c r="K66" t="b">
        <f>DONNEES_SOURCE!CA65</f>
        <v>1</v>
      </c>
      <c r="L66">
        <f>DONNEES_SOURCE!CB65</f>
        <v>5</v>
      </c>
      <c r="M66">
        <f>DONNEES_SOURCE!BW65</f>
        <v>5.25</v>
      </c>
      <c r="N66">
        <f>DONNEES_SOURCE!AU65</f>
        <v>7</v>
      </c>
      <c r="O66">
        <f>DONNEES_SOURCE!AM65</f>
        <v>7</v>
      </c>
      <c r="P66">
        <f>DONNEES_SOURCE!AN65</f>
        <v>7</v>
      </c>
      <c r="Q66">
        <f>DONNEES_SOURCE!AO65</f>
        <v>6</v>
      </c>
      <c r="R66">
        <f>DONNEES_SOURCE!AP65</f>
        <v>1</v>
      </c>
    </row>
    <row r="67" spans="1:18" x14ac:dyDescent="0.25">
      <c r="K67" t="b">
        <f>DONNEES_SOURCE!CA66</f>
        <v>1</v>
      </c>
      <c r="L67">
        <f>DONNEES_SOURCE!CB66</f>
        <v>5</v>
      </c>
      <c r="M67">
        <f>DONNEES_SOURCE!BW66</f>
        <v>6</v>
      </c>
      <c r="N67">
        <f>DONNEES_SOURCE!AU66</f>
        <v>5</v>
      </c>
      <c r="O67">
        <f>DONNEES_SOURCE!AM66</f>
        <v>6</v>
      </c>
      <c r="P67">
        <f>DONNEES_SOURCE!AN66</f>
        <v>6</v>
      </c>
      <c r="Q67">
        <f>DONNEES_SOURCE!AO66</f>
        <v>6</v>
      </c>
      <c r="R67">
        <f>DONNEES_SOURCE!AP66</f>
        <v>6</v>
      </c>
    </row>
    <row r="68" spans="1:18" x14ac:dyDescent="0.25">
      <c r="K68" t="b">
        <f>DONNEES_SOURCE!CA67</f>
        <v>1</v>
      </c>
      <c r="L68">
        <f>DONNEES_SOURCE!CB67</f>
        <v>4</v>
      </c>
      <c r="M68">
        <f>DONNEES_SOURCE!BW67</f>
        <v>5.5</v>
      </c>
      <c r="N68">
        <f>DONNEES_SOURCE!AU67</f>
        <v>5</v>
      </c>
      <c r="O68">
        <f>DONNEES_SOURCE!AM67</f>
        <v>6</v>
      </c>
      <c r="P68">
        <f>DONNEES_SOURCE!AN67</f>
        <v>6</v>
      </c>
      <c r="Q68">
        <f>DONNEES_SOURCE!AO67</f>
        <v>6</v>
      </c>
      <c r="R68">
        <f>DONNEES_SOURCE!AP67</f>
        <v>4</v>
      </c>
    </row>
    <row r="69" spans="1:18" x14ac:dyDescent="0.25">
      <c r="A69" s="215" t="s">
        <v>812</v>
      </c>
      <c r="B69" s="213"/>
      <c r="C69" s="213"/>
      <c r="D69" s="213"/>
      <c r="E69" s="213"/>
      <c r="F69" s="213"/>
      <c r="G69" s="213"/>
      <c r="H69" s="213"/>
      <c r="I69" s="213"/>
      <c r="K69" t="b">
        <f>DONNEES_SOURCE!CA68</f>
        <v>1</v>
      </c>
      <c r="L69">
        <f>DONNEES_SOURCE!CB68</f>
        <v>6</v>
      </c>
      <c r="M69">
        <f>DONNEES_SOURCE!BW68</f>
        <v>6.25</v>
      </c>
      <c r="N69">
        <f>DONNEES_SOURCE!AU68</f>
        <v>7</v>
      </c>
      <c r="O69">
        <f>DONNEES_SOURCE!AM68</f>
        <v>7</v>
      </c>
      <c r="P69">
        <f>DONNEES_SOURCE!AN68</f>
        <v>7</v>
      </c>
      <c r="Q69">
        <f>DONNEES_SOURCE!AO68</f>
        <v>4</v>
      </c>
      <c r="R69">
        <f>DONNEES_SOURCE!AP68</f>
        <v>7</v>
      </c>
    </row>
    <row r="70" spans="1:18" x14ac:dyDescent="0.25">
      <c r="A70" t="s">
        <v>813</v>
      </c>
      <c r="B70" t="s">
        <v>777</v>
      </c>
      <c r="C70" t="s">
        <v>531</v>
      </c>
      <c r="D70" s="191" cm="1">
        <f t="array" ref="D70">SUMPRODUCT(($K$3:$K$102=TRUE)*($Q$3:$Q$102&lt;&gt;"")*($N$3:$N$102&lt;&gt;""))</f>
        <v>67</v>
      </c>
      <c r="E70" s="200" cm="1">
        <f t="array" ref="E70">CORREL(_xlfn._xlws.FILTER(_xlfn.RANK.AVG($Q$3:$Q$102,$Q$3:$Q$102,1),($K$3:$K$102=TRUE)*($Q$3:$Q$102&lt;&gt;"")*($N$3:$N$102&lt;&gt;"")),_xlfn._xlws.FILTER(_xlfn.RANK.AVG($N$3:$N$102,$N$3:$N$102,1),($K$3:$K$102=TRUE)*($Q$3:$Q$102&lt;&gt;"")*($N$3:$N$102&lt;&gt;"")))</f>
        <v>0.23656634157681802</v>
      </c>
      <c r="F70" s="200">
        <f>E70*SQRT(D70-2)/SQRT(1-E70^2)</f>
        <v>1.9629772655545648</v>
      </c>
      <c r="G70" s="191">
        <f>D70-2</f>
        <v>65</v>
      </c>
      <c r="H70" s="200">
        <f>_xlfn.T.DIST.2T(ABS(F70),G70)</f>
        <v>5.3930701769330298E-2</v>
      </c>
      <c r="I70" t="str">
        <f>IF(H70&lt;0.001,"***",IF(H70&lt;0.01,"**",IF(H70&lt;0.05,"*",IF(H70&lt;0.1,".","NS"))))</f>
        <v>.</v>
      </c>
      <c r="K70">
        <f>DONNEES_SOURCE!CA69</f>
        <v>0</v>
      </c>
      <c r="L70">
        <f>DONNEES_SOURCE!CB69</f>
        <v>0</v>
      </c>
      <c r="M70">
        <f>DONNEES_SOURCE!BW69</f>
        <v>0</v>
      </c>
      <c r="N70">
        <f>DONNEES_SOURCE!AU69</f>
        <v>0</v>
      </c>
      <c r="O70">
        <f>DONNEES_SOURCE!AM69</f>
        <v>0</v>
      </c>
      <c r="P70">
        <f>DONNEES_SOURCE!AN69</f>
        <v>0</v>
      </c>
      <c r="Q70">
        <f>DONNEES_SOURCE!AO69</f>
        <v>0</v>
      </c>
      <c r="R70">
        <f>DONNEES_SOURCE!AP69</f>
        <v>0</v>
      </c>
    </row>
    <row r="71" spans="1:18" x14ac:dyDescent="0.25">
      <c r="K71">
        <f>DONNEES_SOURCE!CA70</f>
        <v>0</v>
      </c>
      <c r="L71">
        <f>DONNEES_SOURCE!CB70</f>
        <v>0</v>
      </c>
      <c r="M71">
        <f>DONNEES_SOURCE!BW70</f>
        <v>0</v>
      </c>
      <c r="N71">
        <f>DONNEES_SOURCE!AU70</f>
        <v>0</v>
      </c>
      <c r="O71">
        <f>DONNEES_SOURCE!AM70</f>
        <v>0</v>
      </c>
      <c r="P71">
        <f>DONNEES_SOURCE!AN70</f>
        <v>0</v>
      </c>
      <c r="Q71">
        <f>DONNEES_SOURCE!AO70</f>
        <v>0</v>
      </c>
      <c r="R71">
        <f>DONNEES_SOURCE!AP70</f>
        <v>0</v>
      </c>
    </row>
    <row r="72" spans="1:18" x14ac:dyDescent="0.25">
      <c r="K72">
        <f>DONNEES_SOURCE!CA71</f>
        <v>0</v>
      </c>
      <c r="L72">
        <f>DONNEES_SOURCE!CB71</f>
        <v>0</v>
      </c>
      <c r="M72">
        <f>DONNEES_SOURCE!BW71</f>
        <v>0</v>
      </c>
      <c r="N72">
        <f>DONNEES_SOURCE!AU71</f>
        <v>0</v>
      </c>
      <c r="O72">
        <f>DONNEES_SOURCE!AM71</f>
        <v>0</v>
      </c>
      <c r="P72">
        <f>DONNEES_SOURCE!AN71</f>
        <v>0</v>
      </c>
      <c r="Q72">
        <f>DONNEES_SOURCE!AO71</f>
        <v>0</v>
      </c>
      <c r="R72">
        <f>DONNEES_SOURCE!AP71</f>
        <v>0</v>
      </c>
    </row>
    <row r="73" spans="1:18" x14ac:dyDescent="0.25">
      <c r="K73">
        <f>DONNEES_SOURCE!CA72</f>
        <v>0</v>
      </c>
      <c r="L73">
        <f>DONNEES_SOURCE!CB72</f>
        <v>0</v>
      </c>
      <c r="M73">
        <f>DONNEES_SOURCE!BW72</f>
        <v>0</v>
      </c>
      <c r="N73">
        <f>DONNEES_SOURCE!AU72</f>
        <v>0</v>
      </c>
      <c r="O73">
        <f>DONNEES_SOURCE!AM72</f>
        <v>0</v>
      </c>
      <c r="P73">
        <f>DONNEES_SOURCE!AN72</f>
        <v>0</v>
      </c>
      <c r="Q73">
        <f>DONNEES_SOURCE!AO72</f>
        <v>0</v>
      </c>
      <c r="R73">
        <f>DONNEES_SOURCE!AP72</f>
        <v>0</v>
      </c>
    </row>
    <row r="74" spans="1:18" x14ac:dyDescent="0.25">
      <c r="K74">
        <f>DONNEES_SOURCE!CA73</f>
        <v>0</v>
      </c>
      <c r="L74">
        <f>DONNEES_SOURCE!CB73</f>
        <v>0</v>
      </c>
      <c r="M74">
        <f>DONNEES_SOURCE!BW73</f>
        <v>0</v>
      </c>
      <c r="N74">
        <f>DONNEES_SOURCE!AU73</f>
        <v>0</v>
      </c>
      <c r="O74">
        <f>DONNEES_SOURCE!AM73</f>
        <v>0</v>
      </c>
      <c r="P74">
        <f>DONNEES_SOURCE!AN73</f>
        <v>0</v>
      </c>
      <c r="Q74">
        <f>DONNEES_SOURCE!AO73</f>
        <v>0</v>
      </c>
      <c r="R74">
        <f>DONNEES_SOURCE!AP73</f>
        <v>0</v>
      </c>
    </row>
    <row r="75" spans="1:18" x14ac:dyDescent="0.25">
      <c r="A75" s="215" t="s">
        <v>814</v>
      </c>
      <c r="B75" s="213"/>
      <c r="C75" s="213"/>
      <c r="D75" s="213"/>
      <c r="E75" s="213"/>
      <c r="F75" s="213"/>
      <c r="G75" s="213"/>
      <c r="H75" s="213"/>
      <c r="I75" s="213"/>
      <c r="K75">
        <f>DONNEES_SOURCE!CA74</f>
        <v>0</v>
      </c>
      <c r="L75">
        <f>DONNEES_SOURCE!CB74</f>
        <v>0</v>
      </c>
      <c r="M75">
        <f>DONNEES_SOURCE!BW74</f>
        <v>0</v>
      </c>
      <c r="N75">
        <f>DONNEES_SOURCE!AU74</f>
        <v>0</v>
      </c>
      <c r="O75">
        <f>DONNEES_SOURCE!AM74</f>
        <v>0</v>
      </c>
      <c r="P75">
        <f>DONNEES_SOURCE!AN74</f>
        <v>0</v>
      </c>
      <c r="Q75">
        <f>DONNEES_SOURCE!AO74</f>
        <v>0</v>
      </c>
      <c r="R75">
        <f>DONNEES_SOURCE!AP74</f>
        <v>0</v>
      </c>
    </row>
    <row r="76" spans="1:18" x14ac:dyDescent="0.25">
      <c r="A76" t="s">
        <v>815</v>
      </c>
      <c r="B76" t="s">
        <v>778</v>
      </c>
      <c r="C76" t="s">
        <v>531</v>
      </c>
      <c r="D76" s="191" cm="1">
        <f t="array" ref="D76">SUMPRODUCT(($K$3:$K$102=TRUE)*($R$3:$R$102&lt;&gt;"")*($N$3:$N$102&lt;&gt;""))</f>
        <v>67</v>
      </c>
      <c r="E76" s="200" cm="1">
        <f t="array" ref="E76">CORREL(_xlfn._xlws.FILTER(_xlfn.RANK.AVG($R$3:$R$102,$R$3:$R$102,1),($K$3:$K$102=TRUE)*($R$3:$R$102&lt;&gt;"")*($N$3:$N$102&lt;&gt;"")),_xlfn._xlws.FILTER(_xlfn.RANK.AVG($N$3:$N$102,$N$3:$N$102,1),($K$3:$K$102=TRUE)*($R$3:$R$102&lt;&gt;"")*($N$3:$N$102&lt;&gt;"")))</f>
        <v>0.30449357513131797</v>
      </c>
      <c r="F76" s="200">
        <f>E76*SQRT(D76-2)/SQRT(1-E76^2)</f>
        <v>2.5772898675293403</v>
      </c>
      <c r="G76" s="191">
        <f>D76-2</f>
        <v>65</v>
      </c>
      <c r="H76" s="200">
        <f>_xlfn.T.DIST.2T(ABS(F76),G76)</f>
        <v>1.223535658005076E-2</v>
      </c>
      <c r="I76" t="str">
        <f>IF(H76&lt;0.001,"***",IF(H76&lt;0.01,"**",IF(H76&lt;0.05,"*",IF(H76&lt;0.1,".","NS"))))</f>
        <v>*</v>
      </c>
      <c r="K76">
        <f>DONNEES_SOURCE!CA75</f>
        <v>0</v>
      </c>
      <c r="L76">
        <f>DONNEES_SOURCE!CB75</f>
        <v>0</v>
      </c>
      <c r="M76">
        <f>DONNEES_SOURCE!BW75</f>
        <v>0</v>
      </c>
      <c r="N76">
        <f>DONNEES_SOURCE!AU75</f>
        <v>0</v>
      </c>
      <c r="O76">
        <f>DONNEES_SOURCE!AM75</f>
        <v>0</v>
      </c>
      <c r="P76">
        <f>DONNEES_SOURCE!AN75</f>
        <v>0</v>
      </c>
      <c r="Q76">
        <f>DONNEES_SOURCE!AO75</f>
        <v>0</v>
      </c>
      <c r="R76">
        <f>DONNEES_SOURCE!AP75</f>
        <v>0</v>
      </c>
    </row>
    <row r="77" spans="1:18" x14ac:dyDescent="0.25">
      <c r="K77">
        <f>DONNEES_SOURCE!CA76</f>
        <v>0</v>
      </c>
      <c r="L77">
        <f>DONNEES_SOURCE!CB76</f>
        <v>0</v>
      </c>
      <c r="M77">
        <f>DONNEES_SOURCE!BW76</f>
        <v>0</v>
      </c>
      <c r="N77">
        <f>DONNEES_SOURCE!AU76</f>
        <v>0</v>
      </c>
      <c r="O77">
        <f>DONNEES_SOURCE!AM76</f>
        <v>0</v>
      </c>
      <c r="P77">
        <f>DONNEES_SOURCE!AN76</f>
        <v>0</v>
      </c>
      <c r="Q77">
        <f>DONNEES_SOURCE!AO76</f>
        <v>0</v>
      </c>
      <c r="R77">
        <f>DONNEES_SOURCE!AP76</f>
        <v>0</v>
      </c>
    </row>
    <row r="78" spans="1:18" x14ac:dyDescent="0.25">
      <c r="K78">
        <f>DONNEES_SOURCE!CA77</f>
        <v>0</v>
      </c>
      <c r="L78">
        <f>DONNEES_SOURCE!CB77</f>
        <v>0</v>
      </c>
      <c r="M78">
        <f>DONNEES_SOURCE!BW77</f>
        <v>0</v>
      </c>
      <c r="N78">
        <f>DONNEES_SOURCE!AU77</f>
        <v>0</v>
      </c>
      <c r="O78">
        <f>DONNEES_SOURCE!AM77</f>
        <v>0</v>
      </c>
      <c r="P78">
        <f>DONNEES_SOURCE!AN77</f>
        <v>0</v>
      </c>
      <c r="Q78">
        <f>DONNEES_SOURCE!AO77</f>
        <v>0</v>
      </c>
      <c r="R78">
        <f>DONNEES_SOURCE!AP77</f>
        <v>0</v>
      </c>
    </row>
    <row r="79" spans="1:18" x14ac:dyDescent="0.25">
      <c r="A79" s="308" t="s">
        <v>770</v>
      </c>
      <c r="B79" s="307"/>
      <c r="C79" s="307"/>
      <c r="D79" s="307"/>
      <c r="E79" s="307"/>
      <c r="F79" s="307"/>
      <c r="G79" s="307"/>
      <c r="H79" s="307"/>
      <c r="I79" s="307"/>
      <c r="J79" s="307"/>
      <c r="K79">
        <f>DONNEES_SOURCE!CA78</f>
        <v>0</v>
      </c>
      <c r="L79">
        <f>DONNEES_SOURCE!CB78</f>
        <v>0</v>
      </c>
      <c r="M79">
        <f>DONNEES_SOURCE!BW78</f>
        <v>0</v>
      </c>
      <c r="N79">
        <f>DONNEES_SOURCE!AU78</f>
        <v>0</v>
      </c>
      <c r="O79">
        <f>DONNEES_SOURCE!AM78</f>
        <v>0</v>
      </c>
      <c r="P79">
        <f>DONNEES_SOURCE!AN78</f>
        <v>0</v>
      </c>
      <c r="Q79">
        <f>DONNEES_SOURCE!AO78</f>
        <v>0</v>
      </c>
      <c r="R79">
        <f>DONNEES_SOURCE!AP78</f>
        <v>0</v>
      </c>
    </row>
    <row r="80" spans="1:18" x14ac:dyDescent="0.25">
      <c r="A80" s="305" t="s">
        <v>816</v>
      </c>
      <c r="B80" s="254"/>
      <c r="C80" s="254"/>
      <c r="D80" s="254"/>
      <c r="E80" s="254"/>
      <c r="F80" s="254"/>
      <c r="G80" s="254"/>
      <c r="H80" s="254"/>
      <c r="I80" s="254"/>
      <c r="J80" s="254"/>
      <c r="K80">
        <f>DONNEES_SOURCE!CA79</f>
        <v>0</v>
      </c>
      <c r="L80">
        <f>DONNEES_SOURCE!CB79</f>
        <v>0</v>
      </c>
      <c r="M80">
        <f>DONNEES_SOURCE!BW79</f>
        <v>0</v>
      </c>
      <c r="N80">
        <f>DONNEES_SOURCE!AU79</f>
        <v>0</v>
      </c>
      <c r="O80">
        <f>DONNEES_SOURCE!AM79</f>
        <v>0</v>
      </c>
      <c r="P80">
        <f>DONNEES_SOURCE!AN79</f>
        <v>0</v>
      </c>
      <c r="Q80">
        <f>DONNEES_SOURCE!AO79</f>
        <v>0</v>
      </c>
      <c r="R80">
        <f>DONNEES_SOURCE!AP79</f>
        <v>0</v>
      </c>
    </row>
    <row r="81" spans="1:18" x14ac:dyDescent="0.25">
      <c r="K81">
        <f>DONNEES_SOURCE!CA80</f>
        <v>0</v>
      </c>
      <c r="L81">
        <f>DONNEES_SOURCE!CB80</f>
        <v>0</v>
      </c>
      <c r="M81">
        <f>DONNEES_SOURCE!BW80</f>
        <v>0</v>
      </c>
      <c r="N81">
        <f>DONNEES_SOURCE!AU80</f>
        <v>0</v>
      </c>
      <c r="O81">
        <f>DONNEES_SOURCE!AM80</f>
        <v>0</v>
      </c>
      <c r="P81">
        <f>DONNEES_SOURCE!AN80</f>
        <v>0</v>
      </c>
      <c r="Q81">
        <f>DONNEES_SOURCE!AO80</f>
        <v>0</v>
      </c>
      <c r="R81">
        <f>DONNEES_SOURCE!AP80</f>
        <v>0</v>
      </c>
    </row>
    <row r="82" spans="1:18" x14ac:dyDescent="0.25">
      <c r="A82" s="305" t="s">
        <v>817</v>
      </c>
      <c r="B82" s="254"/>
      <c r="C82" s="254"/>
      <c r="D82" s="254"/>
      <c r="E82" s="254"/>
      <c r="F82" s="254"/>
      <c r="G82" s="254"/>
      <c r="H82" s="254"/>
      <c r="I82" s="254"/>
      <c r="J82" s="254"/>
      <c r="K82">
        <f>DONNEES_SOURCE!CA81</f>
        <v>0</v>
      </c>
      <c r="L82">
        <f>DONNEES_SOURCE!CB81</f>
        <v>0</v>
      </c>
      <c r="M82">
        <f>DONNEES_SOURCE!BW81</f>
        <v>0</v>
      </c>
      <c r="N82">
        <f>DONNEES_SOURCE!AU81</f>
        <v>0</v>
      </c>
      <c r="O82">
        <f>DONNEES_SOURCE!AM81</f>
        <v>0</v>
      </c>
      <c r="P82">
        <f>DONNEES_SOURCE!AN81</f>
        <v>0</v>
      </c>
      <c r="Q82">
        <f>DONNEES_SOURCE!AO81</f>
        <v>0</v>
      </c>
      <c r="R82">
        <f>DONNEES_SOURCE!AP81</f>
        <v>0</v>
      </c>
    </row>
    <row r="83" spans="1:18" x14ac:dyDescent="0.25">
      <c r="K83">
        <f>DONNEES_SOURCE!CA82</f>
        <v>0</v>
      </c>
      <c r="L83">
        <f>DONNEES_SOURCE!CB82</f>
        <v>0</v>
      </c>
      <c r="M83">
        <f>DONNEES_SOURCE!BW82</f>
        <v>0</v>
      </c>
      <c r="N83">
        <f>DONNEES_SOURCE!AU82</f>
        <v>0</v>
      </c>
      <c r="O83">
        <f>DONNEES_SOURCE!AM82</f>
        <v>0</v>
      </c>
      <c r="P83">
        <f>DONNEES_SOURCE!AN82</f>
        <v>0</v>
      </c>
      <c r="Q83">
        <f>DONNEES_SOURCE!AO82</f>
        <v>0</v>
      </c>
      <c r="R83">
        <f>DONNEES_SOURCE!AP82</f>
        <v>0</v>
      </c>
    </row>
    <row r="84" spans="1:18" x14ac:dyDescent="0.25">
      <c r="A84" s="305" t="s">
        <v>818</v>
      </c>
      <c r="B84" s="254"/>
      <c r="C84" s="254"/>
      <c r="D84" s="254"/>
      <c r="E84" s="254"/>
      <c r="F84" s="254"/>
      <c r="G84" s="254"/>
      <c r="H84" s="254"/>
      <c r="I84" s="254"/>
      <c r="J84" s="254"/>
      <c r="K84">
        <f>DONNEES_SOURCE!CA83</f>
        <v>0</v>
      </c>
      <c r="L84">
        <f>DONNEES_SOURCE!CB83</f>
        <v>0</v>
      </c>
      <c r="M84">
        <f>DONNEES_SOURCE!BW83</f>
        <v>0</v>
      </c>
      <c r="N84">
        <f>DONNEES_SOURCE!AU83</f>
        <v>0</v>
      </c>
      <c r="O84">
        <f>DONNEES_SOURCE!AM83</f>
        <v>0</v>
      </c>
      <c r="P84">
        <f>DONNEES_SOURCE!AN83</f>
        <v>0</v>
      </c>
      <c r="Q84">
        <f>DONNEES_SOURCE!AO83</f>
        <v>0</v>
      </c>
      <c r="R84">
        <f>DONNEES_SOURCE!AP83</f>
        <v>0</v>
      </c>
    </row>
    <row r="85" spans="1:18" x14ac:dyDescent="0.25">
      <c r="K85">
        <f>DONNEES_SOURCE!CA84</f>
        <v>0</v>
      </c>
      <c r="L85">
        <f>DONNEES_SOURCE!CB84</f>
        <v>0</v>
      </c>
      <c r="M85">
        <f>DONNEES_SOURCE!BW84</f>
        <v>0</v>
      </c>
      <c r="N85">
        <f>DONNEES_SOURCE!AU84</f>
        <v>0</v>
      </c>
      <c r="O85">
        <f>DONNEES_SOURCE!AM84</f>
        <v>0</v>
      </c>
      <c r="P85">
        <f>DONNEES_SOURCE!AN84</f>
        <v>0</v>
      </c>
      <c r="Q85">
        <f>DONNEES_SOURCE!AO84</f>
        <v>0</v>
      </c>
      <c r="R85">
        <f>DONNEES_SOURCE!AP84</f>
        <v>0</v>
      </c>
    </row>
    <row r="86" spans="1:18" x14ac:dyDescent="0.25">
      <c r="A86" s="305" t="s">
        <v>819</v>
      </c>
      <c r="B86" s="254"/>
      <c r="C86" s="254"/>
      <c r="D86" s="254"/>
      <c r="E86" s="254"/>
      <c r="F86" s="254"/>
      <c r="G86" s="254"/>
      <c r="H86" s="254"/>
      <c r="I86" s="254"/>
      <c r="J86" s="254"/>
      <c r="K86">
        <f>DONNEES_SOURCE!CA85</f>
        <v>0</v>
      </c>
      <c r="L86">
        <f>DONNEES_SOURCE!CB85</f>
        <v>0</v>
      </c>
      <c r="M86">
        <f>DONNEES_SOURCE!BW85</f>
        <v>0</v>
      </c>
      <c r="N86">
        <f>DONNEES_SOURCE!AU85</f>
        <v>0</v>
      </c>
      <c r="O86">
        <f>DONNEES_SOURCE!AM85</f>
        <v>0</v>
      </c>
      <c r="P86">
        <f>DONNEES_SOURCE!AN85</f>
        <v>0</v>
      </c>
      <c r="Q86">
        <f>DONNEES_SOURCE!AO85</f>
        <v>0</v>
      </c>
      <c r="R86">
        <f>DONNEES_SOURCE!AP85</f>
        <v>0</v>
      </c>
    </row>
    <row r="87" spans="1:18" x14ac:dyDescent="0.25">
      <c r="K87">
        <f>DONNEES_SOURCE!CA86</f>
        <v>0</v>
      </c>
      <c r="L87">
        <f>DONNEES_SOURCE!CB86</f>
        <v>0</v>
      </c>
      <c r="M87">
        <f>DONNEES_SOURCE!BW86</f>
        <v>0</v>
      </c>
      <c r="N87">
        <f>DONNEES_SOURCE!AU86</f>
        <v>0</v>
      </c>
      <c r="O87">
        <f>DONNEES_SOURCE!AM86</f>
        <v>0</v>
      </c>
      <c r="P87">
        <f>DONNEES_SOURCE!AN86</f>
        <v>0</v>
      </c>
      <c r="Q87">
        <f>DONNEES_SOURCE!AO86</f>
        <v>0</v>
      </c>
      <c r="R87">
        <f>DONNEES_SOURCE!AP86</f>
        <v>0</v>
      </c>
    </row>
    <row r="88" spans="1:18" x14ac:dyDescent="0.25">
      <c r="K88">
        <f>DONNEES_SOURCE!CA87</f>
        <v>0</v>
      </c>
      <c r="L88">
        <f>DONNEES_SOURCE!CB87</f>
        <v>0</v>
      </c>
      <c r="M88">
        <f>DONNEES_SOURCE!BW87</f>
        <v>0</v>
      </c>
      <c r="N88">
        <f>DONNEES_SOURCE!AU87</f>
        <v>0</v>
      </c>
      <c r="O88">
        <f>DONNEES_SOURCE!AM87</f>
        <v>0</v>
      </c>
      <c r="P88">
        <f>DONNEES_SOURCE!AN87</f>
        <v>0</v>
      </c>
      <c r="Q88">
        <f>DONNEES_SOURCE!AO87</f>
        <v>0</v>
      </c>
      <c r="R88">
        <f>DONNEES_SOURCE!AP87</f>
        <v>0</v>
      </c>
    </row>
    <row r="89" spans="1:18" x14ac:dyDescent="0.25">
      <c r="K89">
        <f>DONNEES_SOURCE!CA88</f>
        <v>0</v>
      </c>
      <c r="L89">
        <f>DONNEES_SOURCE!CB88</f>
        <v>0</v>
      </c>
      <c r="M89">
        <f>DONNEES_SOURCE!BW88</f>
        <v>0</v>
      </c>
      <c r="N89">
        <f>DONNEES_SOURCE!AU88</f>
        <v>0</v>
      </c>
      <c r="O89">
        <f>DONNEES_SOURCE!AM88</f>
        <v>0</v>
      </c>
      <c r="P89">
        <f>DONNEES_SOURCE!AN88</f>
        <v>0</v>
      </c>
      <c r="Q89">
        <f>DONNEES_SOURCE!AO88</f>
        <v>0</v>
      </c>
      <c r="R89">
        <f>DONNEES_SOURCE!AP88</f>
        <v>0</v>
      </c>
    </row>
    <row r="90" spans="1:18" x14ac:dyDescent="0.25">
      <c r="K90">
        <f>DONNEES_SOURCE!CA89</f>
        <v>0</v>
      </c>
      <c r="L90">
        <f>DONNEES_SOURCE!CB89</f>
        <v>0</v>
      </c>
      <c r="M90">
        <f>DONNEES_SOURCE!BW89</f>
        <v>0</v>
      </c>
      <c r="N90">
        <f>DONNEES_SOURCE!AU89</f>
        <v>0</v>
      </c>
      <c r="O90">
        <f>DONNEES_SOURCE!AM89</f>
        <v>0</v>
      </c>
      <c r="P90">
        <f>DONNEES_SOURCE!AN89</f>
        <v>0</v>
      </c>
      <c r="Q90">
        <f>DONNEES_SOURCE!AO89</f>
        <v>0</v>
      </c>
      <c r="R90">
        <f>DONNEES_SOURCE!AP89</f>
        <v>0</v>
      </c>
    </row>
    <row r="91" spans="1:18" x14ac:dyDescent="0.25">
      <c r="K91">
        <f>DONNEES_SOURCE!CA90</f>
        <v>0</v>
      </c>
      <c r="L91">
        <f>DONNEES_SOURCE!CB90</f>
        <v>0</v>
      </c>
      <c r="M91">
        <f>DONNEES_SOURCE!BW90</f>
        <v>0</v>
      </c>
      <c r="N91">
        <f>DONNEES_SOURCE!AU90</f>
        <v>0</v>
      </c>
      <c r="O91">
        <f>DONNEES_SOURCE!AM90</f>
        <v>0</v>
      </c>
      <c r="P91">
        <f>DONNEES_SOURCE!AN90</f>
        <v>0</v>
      </c>
      <c r="Q91">
        <f>DONNEES_SOURCE!AO90</f>
        <v>0</v>
      </c>
      <c r="R91">
        <f>DONNEES_SOURCE!AP90</f>
        <v>0</v>
      </c>
    </row>
    <row r="92" spans="1:18" x14ac:dyDescent="0.25">
      <c r="K92">
        <f>DONNEES_SOURCE!CA91</f>
        <v>0</v>
      </c>
      <c r="L92">
        <f>DONNEES_SOURCE!CB91</f>
        <v>0</v>
      </c>
      <c r="M92">
        <f>DONNEES_SOURCE!BW91</f>
        <v>0</v>
      </c>
      <c r="N92">
        <f>DONNEES_SOURCE!AU91</f>
        <v>0</v>
      </c>
      <c r="O92">
        <f>DONNEES_SOURCE!AM91</f>
        <v>0</v>
      </c>
      <c r="P92">
        <f>DONNEES_SOURCE!AN91</f>
        <v>0</v>
      </c>
      <c r="Q92">
        <f>DONNEES_SOURCE!AO91</f>
        <v>0</v>
      </c>
      <c r="R92">
        <f>DONNEES_SOURCE!AP91</f>
        <v>0</v>
      </c>
    </row>
    <row r="93" spans="1:18" x14ac:dyDescent="0.25">
      <c r="K93">
        <f>DONNEES_SOURCE!CA92</f>
        <v>0</v>
      </c>
      <c r="L93">
        <f>DONNEES_SOURCE!CB92</f>
        <v>0</v>
      </c>
      <c r="M93">
        <f>DONNEES_SOURCE!BW92</f>
        <v>0</v>
      </c>
      <c r="N93">
        <f>DONNEES_SOURCE!AU92</f>
        <v>0</v>
      </c>
      <c r="O93">
        <f>DONNEES_SOURCE!AM92</f>
        <v>0</v>
      </c>
      <c r="P93">
        <f>DONNEES_SOURCE!AN92</f>
        <v>0</v>
      </c>
      <c r="Q93">
        <f>DONNEES_SOURCE!AO92</f>
        <v>0</v>
      </c>
      <c r="R93">
        <f>DONNEES_SOURCE!AP92</f>
        <v>0</v>
      </c>
    </row>
    <row r="94" spans="1:18" x14ac:dyDescent="0.25">
      <c r="K94">
        <f>DONNEES_SOURCE!CA93</f>
        <v>0</v>
      </c>
      <c r="L94">
        <f>DONNEES_SOURCE!CB93</f>
        <v>0</v>
      </c>
      <c r="M94">
        <f>DONNEES_SOURCE!BW93</f>
        <v>0</v>
      </c>
      <c r="N94">
        <f>DONNEES_SOURCE!AU93</f>
        <v>0</v>
      </c>
      <c r="O94">
        <f>DONNEES_SOURCE!AM93</f>
        <v>0</v>
      </c>
      <c r="P94">
        <f>DONNEES_SOURCE!AN93</f>
        <v>0</v>
      </c>
      <c r="Q94">
        <f>DONNEES_SOURCE!AO93</f>
        <v>0</v>
      </c>
      <c r="R94">
        <f>DONNEES_SOURCE!AP93</f>
        <v>0</v>
      </c>
    </row>
    <row r="95" spans="1:18" x14ac:dyDescent="0.25">
      <c r="K95">
        <f>DONNEES_SOURCE!CA94</f>
        <v>0</v>
      </c>
      <c r="L95">
        <f>DONNEES_SOURCE!CB94</f>
        <v>0</v>
      </c>
      <c r="M95">
        <f>DONNEES_SOURCE!BW94</f>
        <v>0</v>
      </c>
      <c r="N95">
        <f>DONNEES_SOURCE!AU94</f>
        <v>0</v>
      </c>
      <c r="O95">
        <f>DONNEES_SOURCE!AM94</f>
        <v>0</v>
      </c>
      <c r="P95">
        <f>DONNEES_SOURCE!AN94</f>
        <v>0</v>
      </c>
      <c r="Q95">
        <f>DONNEES_SOURCE!AO94</f>
        <v>0</v>
      </c>
      <c r="R95">
        <f>DONNEES_SOURCE!AP94</f>
        <v>0</v>
      </c>
    </row>
    <row r="96" spans="1:18" x14ac:dyDescent="0.25">
      <c r="K96">
        <f>DONNEES_SOURCE!CA95</f>
        <v>0</v>
      </c>
      <c r="L96">
        <f>DONNEES_SOURCE!CB95</f>
        <v>0</v>
      </c>
      <c r="M96">
        <f>DONNEES_SOURCE!BW95</f>
        <v>0</v>
      </c>
      <c r="N96">
        <f>DONNEES_SOURCE!AU95</f>
        <v>0</v>
      </c>
      <c r="O96">
        <f>DONNEES_SOURCE!AM95</f>
        <v>0</v>
      </c>
      <c r="P96">
        <f>DONNEES_SOURCE!AN95</f>
        <v>0</v>
      </c>
      <c r="Q96">
        <f>DONNEES_SOURCE!AO95</f>
        <v>0</v>
      </c>
      <c r="R96">
        <f>DONNEES_SOURCE!AP95</f>
        <v>0</v>
      </c>
    </row>
    <row r="97" spans="11:18" x14ac:dyDescent="0.25">
      <c r="K97">
        <f>DONNEES_SOURCE!CA96</f>
        <v>0</v>
      </c>
      <c r="L97">
        <f>DONNEES_SOURCE!CB96</f>
        <v>0</v>
      </c>
      <c r="M97">
        <f>DONNEES_SOURCE!BW96</f>
        <v>0</v>
      </c>
      <c r="N97">
        <f>DONNEES_SOURCE!AU96</f>
        <v>0</v>
      </c>
      <c r="O97">
        <f>DONNEES_SOURCE!AM96</f>
        <v>0</v>
      </c>
      <c r="P97">
        <f>DONNEES_SOURCE!AN96</f>
        <v>0</v>
      </c>
      <c r="Q97">
        <f>DONNEES_SOURCE!AO96</f>
        <v>0</v>
      </c>
      <c r="R97">
        <f>DONNEES_SOURCE!AP96</f>
        <v>0</v>
      </c>
    </row>
    <row r="98" spans="11:18" x14ac:dyDescent="0.25">
      <c r="K98">
        <f>DONNEES_SOURCE!CA97</f>
        <v>0</v>
      </c>
      <c r="L98">
        <f>DONNEES_SOURCE!CB97</f>
        <v>0</v>
      </c>
      <c r="M98">
        <f>DONNEES_SOURCE!BW97</f>
        <v>0</v>
      </c>
      <c r="N98">
        <f>DONNEES_SOURCE!AU97</f>
        <v>0</v>
      </c>
      <c r="O98">
        <f>DONNEES_SOURCE!AM97</f>
        <v>0</v>
      </c>
      <c r="P98">
        <f>DONNEES_SOURCE!AN97</f>
        <v>0</v>
      </c>
      <c r="Q98">
        <f>DONNEES_SOURCE!AO97</f>
        <v>0</v>
      </c>
      <c r="R98">
        <f>DONNEES_SOURCE!AP97</f>
        <v>0</v>
      </c>
    </row>
    <row r="99" spans="11:18" x14ac:dyDescent="0.25">
      <c r="K99">
        <f>DONNEES_SOURCE!CA98</f>
        <v>0</v>
      </c>
      <c r="L99">
        <f>DONNEES_SOURCE!CB98</f>
        <v>0</v>
      </c>
      <c r="M99">
        <f>DONNEES_SOURCE!BW98</f>
        <v>0</v>
      </c>
      <c r="N99">
        <f>DONNEES_SOURCE!AU98</f>
        <v>0</v>
      </c>
      <c r="O99">
        <f>DONNEES_SOURCE!AM98</f>
        <v>0</v>
      </c>
      <c r="P99">
        <f>DONNEES_SOURCE!AN98</f>
        <v>0</v>
      </c>
      <c r="Q99">
        <f>DONNEES_SOURCE!AO98</f>
        <v>0</v>
      </c>
      <c r="R99">
        <f>DONNEES_SOURCE!AP98</f>
        <v>0</v>
      </c>
    </row>
    <row r="100" spans="11:18" x14ac:dyDescent="0.25">
      <c r="K100">
        <f>DONNEES_SOURCE!CA99</f>
        <v>0</v>
      </c>
      <c r="L100">
        <f>DONNEES_SOURCE!CB99</f>
        <v>0</v>
      </c>
      <c r="M100">
        <f>DONNEES_SOURCE!BW99</f>
        <v>0</v>
      </c>
      <c r="N100">
        <f>DONNEES_SOURCE!AU99</f>
        <v>0</v>
      </c>
      <c r="O100">
        <f>DONNEES_SOURCE!AM99</f>
        <v>0</v>
      </c>
      <c r="P100">
        <f>DONNEES_SOURCE!AN99</f>
        <v>0</v>
      </c>
      <c r="Q100">
        <f>DONNEES_SOURCE!AO99</f>
        <v>0</v>
      </c>
      <c r="R100">
        <f>DONNEES_SOURCE!AP99</f>
        <v>0</v>
      </c>
    </row>
    <row r="101" spans="11:18" x14ac:dyDescent="0.25">
      <c r="K101">
        <f>DONNEES_SOURCE!CA100</f>
        <v>0</v>
      </c>
      <c r="L101">
        <f>DONNEES_SOURCE!CB100</f>
        <v>0</v>
      </c>
      <c r="M101">
        <f>DONNEES_SOURCE!BW100</f>
        <v>0</v>
      </c>
      <c r="N101">
        <f>DONNEES_SOURCE!AU100</f>
        <v>0</v>
      </c>
      <c r="O101">
        <f>DONNEES_SOURCE!AM100</f>
        <v>0</v>
      </c>
      <c r="P101">
        <f>DONNEES_SOURCE!AN100</f>
        <v>0</v>
      </c>
      <c r="Q101">
        <f>DONNEES_SOURCE!AO100</f>
        <v>0</v>
      </c>
      <c r="R101">
        <f>DONNEES_SOURCE!AP100</f>
        <v>0</v>
      </c>
    </row>
    <row r="102" spans="11:18" x14ac:dyDescent="0.25">
      <c r="K102">
        <f>DONNEES_SOURCE!CA101</f>
        <v>0</v>
      </c>
      <c r="L102">
        <f>DONNEES_SOURCE!CB101</f>
        <v>0</v>
      </c>
      <c r="M102">
        <f>DONNEES_SOURCE!BW101</f>
        <v>0</v>
      </c>
      <c r="N102">
        <f>DONNEES_SOURCE!AU101</f>
        <v>0</v>
      </c>
      <c r="O102">
        <f>DONNEES_SOURCE!AM101</f>
        <v>0</v>
      </c>
      <c r="P102">
        <f>DONNEES_SOURCE!AN101</f>
        <v>0</v>
      </c>
      <c r="Q102">
        <f>DONNEES_SOURCE!AO101</f>
        <v>0</v>
      </c>
      <c r="R102">
        <f>DONNEES_SOURCE!AP101</f>
        <v>0</v>
      </c>
    </row>
  </sheetData>
  <mergeCells count="15">
    <mergeCell ref="A82:J82"/>
    <mergeCell ref="A84:J84"/>
    <mergeCell ref="A86:J86"/>
    <mergeCell ref="A28:J28"/>
    <mergeCell ref="A29:J29"/>
    <mergeCell ref="A40:J40"/>
    <mergeCell ref="A41:J41"/>
    <mergeCell ref="A79:J79"/>
    <mergeCell ref="A80:J80"/>
    <mergeCell ref="A16:J16"/>
    <mergeCell ref="A1:J1"/>
    <mergeCell ref="K1:R1"/>
    <mergeCell ref="A3:J3"/>
    <mergeCell ref="A4:J4"/>
    <mergeCell ref="A15:J15"/>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07A32-9DA8-4964-8FA7-AD5C55D682E2}">
  <dimension ref="A1:S102"/>
  <sheetViews>
    <sheetView topLeftCell="A34" zoomScaleNormal="100" workbookViewId="0">
      <selection activeCell="F35" sqref="F35"/>
    </sheetView>
  </sheetViews>
  <sheetFormatPr baseColWidth="10" defaultRowHeight="15" x14ac:dyDescent="0.25"/>
  <cols>
    <col min="1" max="1" width="30.28515625" bestFit="1" customWidth="1"/>
    <col min="4" max="4" width="18" bestFit="1" customWidth="1"/>
    <col min="7" max="7" width="7.7109375" bestFit="1" customWidth="1"/>
  </cols>
  <sheetData>
    <row r="1" spans="1:19" ht="18.75" x14ac:dyDescent="0.3">
      <c r="A1" s="310" t="s">
        <v>836</v>
      </c>
      <c r="B1" s="254"/>
      <c r="C1" s="254"/>
      <c r="D1" s="254"/>
      <c r="E1" s="254"/>
      <c r="F1" s="254"/>
      <c r="G1" s="254"/>
      <c r="H1" s="254"/>
      <c r="I1" s="254"/>
      <c r="J1" s="254"/>
      <c r="L1" s="311" t="s">
        <v>837</v>
      </c>
      <c r="M1" s="254"/>
      <c r="N1" s="254"/>
      <c r="O1" s="254"/>
      <c r="P1" s="254"/>
      <c r="Q1" s="254"/>
    </row>
    <row r="2" spans="1:19" x14ac:dyDescent="0.25">
      <c r="L2" t="s">
        <v>711</v>
      </c>
      <c r="M2" t="s">
        <v>712</v>
      </c>
      <c r="N2" t="s">
        <v>297</v>
      </c>
      <c r="O2" t="s">
        <v>298</v>
      </c>
      <c r="P2" t="s">
        <v>838</v>
      </c>
      <c r="Q2" t="s">
        <v>439</v>
      </c>
      <c r="R2" t="s">
        <v>869</v>
      </c>
      <c r="S2" t="s">
        <v>870</v>
      </c>
    </row>
    <row r="3" spans="1:19" x14ac:dyDescent="0.25">
      <c r="A3" s="294" t="s">
        <v>839</v>
      </c>
      <c r="B3" s="254"/>
      <c r="C3" s="254"/>
      <c r="D3" s="254"/>
      <c r="E3" s="254"/>
      <c r="F3" s="254"/>
      <c r="G3" s="254"/>
      <c r="H3" s="254"/>
      <c r="I3" s="254"/>
      <c r="J3" s="254"/>
      <c r="L3" t="b">
        <f>DONNEES_SOURCE!$CA2</f>
        <v>1</v>
      </c>
      <c r="M3">
        <f>IF(L3=TRUE,DONNEES_SOURCE!$CB2,"")</f>
        <v>3</v>
      </c>
      <c r="N3">
        <f>IF(L3=TRUE,DONNEES_SOURCE!$BW2,"")</f>
        <v>6.25</v>
      </c>
      <c r="O3">
        <f>IF(L3=TRUE,DONNEES_SOURCE!$BX2,"")</f>
        <v>6</v>
      </c>
      <c r="P3" t="str">
        <f>IF(L3&lt;&gt;TRUE,"",IF(O3&lt;$B$7,"Bas",IF(O3&lt;=$B$8,"Moyen","Élevé")))</f>
        <v>Élevé</v>
      </c>
      <c r="Q3">
        <v>1</v>
      </c>
      <c r="R3">
        <f>IF(L3=TRUE,DONNEES_SOURCE!$AX2,"")</f>
        <v>7</v>
      </c>
      <c r="S3">
        <f>IF(L3=TRUE,DONNEES_SOURCE!$AY2,"")</f>
        <v>7</v>
      </c>
    </row>
    <row r="4" spans="1:19" x14ac:dyDescent="0.25">
      <c r="A4" s="295" t="s">
        <v>840</v>
      </c>
      <c r="B4" s="254"/>
      <c r="C4" s="254"/>
      <c r="D4" s="254"/>
      <c r="E4" s="254"/>
      <c r="F4" s="254"/>
      <c r="G4" s="254"/>
      <c r="H4" s="254"/>
      <c r="I4" s="254"/>
      <c r="J4" s="254"/>
      <c r="L4" t="b">
        <f>DONNEES_SOURCE!$CA3</f>
        <v>1</v>
      </c>
      <c r="M4">
        <f>IF(L4=TRUE,DONNEES_SOURCE!$CB3,"")</f>
        <v>5</v>
      </c>
      <c r="N4">
        <f>IF(L4=TRUE,DONNEES_SOURCE!$BW3,"")</f>
        <v>6.25</v>
      </c>
      <c r="O4">
        <f>IF(L4=TRUE,DONNEES_SOURCE!$BX3,"")</f>
        <v>4.3333000000000004</v>
      </c>
      <c r="P4" t="str">
        <f t="shared" ref="P4:P67" si="0">IF(L4&lt;&gt;TRUE,"",IF(O4&lt;$B$7,"Bas",IF(O4&lt;=$B$8,"Moyen","Élevé")))</f>
        <v>Bas</v>
      </c>
      <c r="Q4">
        <v>2</v>
      </c>
      <c r="R4">
        <f>IF(L4=TRUE,DONNEES_SOURCE!$AX3,"")</f>
        <v>5</v>
      </c>
      <c r="S4">
        <f>IF(L4=TRUE,DONNEES_SOURCE!$AY3,"")</f>
        <v>5</v>
      </c>
    </row>
    <row r="5" spans="1:19" x14ac:dyDescent="0.25">
      <c r="L5" t="b">
        <f>DONNEES_SOURCE!$CA4</f>
        <v>1</v>
      </c>
      <c r="M5">
        <f>IF(L5=TRUE,DONNEES_SOURCE!$CB4,"")</f>
        <v>5</v>
      </c>
      <c r="N5">
        <f>IF(L5=TRUE,DONNEES_SOURCE!$BW4,"")</f>
        <v>3.75</v>
      </c>
      <c r="O5">
        <f>IF(L5=TRUE,DONNEES_SOURCE!$BX4,"")</f>
        <v>5.3333000000000004</v>
      </c>
      <c r="P5" t="str">
        <f t="shared" si="0"/>
        <v>Élevé</v>
      </c>
      <c r="Q5">
        <v>3</v>
      </c>
      <c r="R5">
        <f>IF(L5=TRUE,DONNEES_SOURCE!$AX4,"")</f>
        <v>6</v>
      </c>
      <c r="S5">
        <f>IF(L5=TRUE,DONNEES_SOURCE!$AY4,"")</f>
        <v>5</v>
      </c>
    </row>
    <row r="6" spans="1:19" x14ac:dyDescent="0.25">
      <c r="A6" s="224" t="s">
        <v>841</v>
      </c>
      <c r="B6" s="224" t="s">
        <v>306</v>
      </c>
      <c r="C6" s="224" t="s">
        <v>842</v>
      </c>
      <c r="D6" s="224" t="s">
        <v>307</v>
      </c>
      <c r="L6" t="b">
        <f>DONNEES_SOURCE!$CA5</f>
        <v>1</v>
      </c>
      <c r="M6">
        <f>IF(L6=TRUE,DONNEES_SOURCE!$CB5,"")</f>
        <v>7</v>
      </c>
      <c r="N6">
        <f>IF(L6=TRUE,DONNEES_SOURCE!$BW5,"")</f>
        <v>5.5</v>
      </c>
      <c r="O6">
        <f>IF(L6=TRUE,DONNEES_SOURCE!$BX5,"")</f>
        <v>4</v>
      </c>
      <c r="P6" t="str">
        <f t="shared" si="0"/>
        <v>Bas</v>
      </c>
      <c r="Q6">
        <v>4</v>
      </c>
      <c r="R6">
        <f>IF(L6=TRUE,DONNEES_SOURCE!$AX5,"")</f>
        <v>5</v>
      </c>
      <c r="S6">
        <f>IF(L6=TRUE,DONNEES_SOURCE!$AY5,"")</f>
        <v>4</v>
      </c>
    </row>
    <row r="7" spans="1:19" x14ac:dyDescent="0.25">
      <c r="A7" t="s">
        <v>843</v>
      </c>
      <c r="B7" cm="1">
        <f t="array" ref="B7">_xlfn.PERCENTILE.INC(_xlfn._xlws.FILTER($O$3:$O$102,$L$3:$L$102=TRUE),0.3333)</f>
        <v>4.6666999999999996</v>
      </c>
      <c r="C7" t="s">
        <v>844</v>
      </c>
      <c r="D7" t="s">
        <v>845</v>
      </c>
      <c r="L7" t="b">
        <f>DONNEES_SOURCE!$CA6</f>
        <v>1</v>
      </c>
      <c r="M7">
        <f>IF(L7=TRUE,DONNEES_SOURCE!$CB6,"")</f>
        <v>5</v>
      </c>
      <c r="N7">
        <f>IF(L7=TRUE,DONNEES_SOURCE!$BW6,"")</f>
        <v>5.5</v>
      </c>
      <c r="O7">
        <f>IF(L7=TRUE,DONNEES_SOURCE!$BX6,"")</f>
        <v>4</v>
      </c>
      <c r="P7" t="str">
        <f t="shared" si="0"/>
        <v>Bas</v>
      </c>
      <c r="Q7">
        <v>5</v>
      </c>
      <c r="R7">
        <f>IF(L7=TRUE,DONNEES_SOURCE!$AX6,"")</f>
        <v>5</v>
      </c>
      <c r="S7">
        <f>IF(L7=TRUE,DONNEES_SOURCE!$AY6,"")</f>
        <v>6</v>
      </c>
    </row>
    <row r="8" spans="1:19" x14ac:dyDescent="0.25">
      <c r="A8" t="s">
        <v>846</v>
      </c>
      <c r="B8" cm="1">
        <f t="array" ref="B8">_xlfn.PERCENTILE.INC(_xlfn._xlws.FILTER($O$3:$O$102,$L$3:$L$102=TRUE),0.6667)</f>
        <v>5.0007332599999978</v>
      </c>
      <c r="C8" t="s">
        <v>847</v>
      </c>
      <c r="D8" t="s">
        <v>848</v>
      </c>
      <c r="L8" t="b">
        <f>DONNEES_SOURCE!$CA7</f>
        <v>1</v>
      </c>
      <c r="M8">
        <f>IF(L8=TRUE,DONNEES_SOURCE!$CB7,"")</f>
        <v>5</v>
      </c>
      <c r="N8">
        <f>IF(L8=TRUE,DONNEES_SOURCE!$BW7,"")</f>
        <v>4</v>
      </c>
      <c r="O8">
        <f>IF(L8=TRUE,DONNEES_SOURCE!$BX7,"")</f>
        <v>5.3333000000000004</v>
      </c>
      <c r="P8" t="str">
        <f t="shared" si="0"/>
        <v>Élevé</v>
      </c>
      <c r="Q8">
        <v>6</v>
      </c>
      <c r="R8">
        <f>IF(L8=TRUE,DONNEES_SOURCE!$AX7,"")</f>
        <v>6</v>
      </c>
      <c r="S8">
        <f>IF(L8=TRUE,DONNEES_SOURCE!$AY7,"")</f>
        <v>6</v>
      </c>
    </row>
    <row r="9" spans="1:19" x14ac:dyDescent="0.25">
      <c r="A9" t="s">
        <v>849</v>
      </c>
      <c r="B9" cm="1">
        <f t="array" ref="B9">MIN(_xlfn._xlws.FILTER($O$3:$O$102,$L$3:$L$102=TRUE))</f>
        <v>2.3332999999999999</v>
      </c>
      <c r="L9" t="b">
        <f>DONNEES_SOURCE!$CA8</f>
        <v>1</v>
      </c>
      <c r="M9">
        <f>IF(L9=TRUE,DONNEES_SOURCE!$CB8,"")</f>
        <v>3</v>
      </c>
      <c r="N9">
        <f>IF(L9=TRUE,DONNEES_SOURCE!$BW8,"")</f>
        <v>5.25</v>
      </c>
      <c r="O9">
        <f>IF(L9=TRUE,DONNEES_SOURCE!$BX8,"")</f>
        <v>4</v>
      </c>
      <c r="P9" t="str">
        <f t="shared" si="0"/>
        <v>Bas</v>
      </c>
      <c r="Q9">
        <v>7</v>
      </c>
      <c r="R9">
        <f>IF(L9=TRUE,DONNEES_SOURCE!$AX8,"")</f>
        <v>4</v>
      </c>
      <c r="S9">
        <f>IF(L9=TRUE,DONNEES_SOURCE!$AY8,"")</f>
        <v>4</v>
      </c>
    </row>
    <row r="10" spans="1:19" x14ac:dyDescent="0.25">
      <c r="A10" t="s">
        <v>850</v>
      </c>
      <c r="B10" cm="1">
        <f t="array" ref="B10">MAX(_xlfn._xlws.FILTER($O$3:$O$102,$L$3:$L$102=TRUE))</f>
        <v>7</v>
      </c>
      <c r="L10" t="b">
        <f>DONNEES_SOURCE!$CA9</f>
        <v>1</v>
      </c>
      <c r="M10">
        <f>IF(L10=TRUE,DONNEES_SOURCE!$CB9,"")</f>
        <v>3</v>
      </c>
      <c r="N10">
        <f>IF(L10=TRUE,DONNEES_SOURCE!$BW9,"")</f>
        <v>6</v>
      </c>
      <c r="O10">
        <f>IF(L10=TRUE,DONNEES_SOURCE!$BX9,"")</f>
        <v>4.3333000000000004</v>
      </c>
      <c r="P10" t="str">
        <f t="shared" si="0"/>
        <v>Bas</v>
      </c>
      <c r="Q10">
        <v>8</v>
      </c>
      <c r="R10">
        <f>IF(L10=TRUE,DONNEES_SOURCE!$AX9,"")</f>
        <v>5</v>
      </c>
      <c r="S10">
        <f>IF(L10=TRUE,DONNEES_SOURCE!$AY9,"")</f>
        <v>5</v>
      </c>
    </row>
    <row r="11" spans="1:19" x14ac:dyDescent="0.25">
      <c r="A11" t="s">
        <v>851</v>
      </c>
      <c r="B11" cm="1">
        <f t="array" ref="B11">MEDIAN(_xlfn._xlws.FILTER($O$3:$O$102,$L$3:$L$102=TRUE))</f>
        <v>4.6666999999999996</v>
      </c>
      <c r="L11" t="b">
        <f>DONNEES_SOURCE!$CA10</f>
        <v>1</v>
      </c>
      <c r="M11">
        <f>IF(L11=TRUE,DONNEES_SOURCE!$CB10,"")</f>
        <v>4</v>
      </c>
      <c r="N11">
        <f>IF(L11=TRUE,DONNEES_SOURCE!$BW10,"")</f>
        <v>6.5</v>
      </c>
      <c r="O11">
        <f>IF(L11=TRUE,DONNEES_SOURCE!$BX10,"")</f>
        <v>4.6666999999999996</v>
      </c>
      <c r="P11" t="str">
        <f t="shared" si="0"/>
        <v>Moyen</v>
      </c>
      <c r="Q11">
        <v>9</v>
      </c>
      <c r="R11">
        <f>IF(L11=TRUE,DONNEES_SOURCE!$AX10,"")</f>
        <v>4</v>
      </c>
      <c r="S11">
        <f>IF(L11=TRUE,DONNEES_SOURCE!$AY10,"")</f>
        <v>4</v>
      </c>
    </row>
    <row r="12" spans="1:19" x14ac:dyDescent="0.25">
      <c r="L12" t="b">
        <f>DONNEES_SOURCE!$CA11</f>
        <v>1</v>
      </c>
      <c r="M12">
        <f>IF(L12=TRUE,DONNEES_SOURCE!$CB11,"")</f>
        <v>4</v>
      </c>
      <c r="N12">
        <f>IF(L12=TRUE,DONNEES_SOURCE!$BW11,"")</f>
        <v>5.5</v>
      </c>
      <c r="O12">
        <f>IF(L12=TRUE,DONNEES_SOURCE!$BX11,"")</f>
        <v>4.6666999999999996</v>
      </c>
      <c r="P12" t="str">
        <f t="shared" si="0"/>
        <v>Moyen</v>
      </c>
      <c r="Q12">
        <v>10</v>
      </c>
      <c r="R12">
        <f>IF(L12=TRUE,DONNEES_SOURCE!$AX11,"")</f>
        <v>5</v>
      </c>
      <c r="S12">
        <f>IF(L12=TRUE,DONNEES_SOURCE!$AY11,"")</f>
        <v>6</v>
      </c>
    </row>
    <row r="13" spans="1:19" x14ac:dyDescent="0.25">
      <c r="A13" s="294" t="s">
        <v>852</v>
      </c>
      <c r="B13" s="254"/>
      <c r="C13" s="254"/>
      <c r="D13" s="254"/>
      <c r="E13" s="254"/>
      <c r="F13" s="254"/>
      <c r="G13" s="254"/>
      <c r="H13" s="254"/>
      <c r="I13" s="254"/>
      <c r="J13" s="254"/>
      <c r="L13" t="b">
        <f>DONNEES_SOURCE!$CA12</f>
        <v>1</v>
      </c>
      <c r="M13">
        <f>IF(L13=TRUE,DONNEES_SOURCE!$CB12,"")</f>
        <v>7</v>
      </c>
      <c r="N13">
        <f>IF(L13=TRUE,DONNEES_SOURCE!$BW12,"")</f>
        <v>7</v>
      </c>
      <c r="O13">
        <f>IF(L13=TRUE,DONNEES_SOURCE!$BX12,"")</f>
        <v>5</v>
      </c>
      <c r="P13" t="str">
        <f t="shared" si="0"/>
        <v>Moyen</v>
      </c>
      <c r="Q13">
        <v>11</v>
      </c>
      <c r="R13">
        <f>IF(L13=TRUE,DONNEES_SOURCE!$AX12,"")</f>
        <v>6</v>
      </c>
      <c r="S13">
        <f>IF(L13=TRUE,DONNEES_SOURCE!$AY12,"")</f>
        <v>6</v>
      </c>
    </row>
    <row r="14" spans="1:19" x14ac:dyDescent="0.25">
      <c r="L14" t="b">
        <f>DONNEES_SOURCE!$CA13</f>
        <v>1</v>
      </c>
      <c r="M14">
        <f>IF(L14=TRUE,DONNEES_SOURCE!$CB13,"")</f>
        <v>7</v>
      </c>
      <c r="N14">
        <f>IF(L14=TRUE,DONNEES_SOURCE!$BW13,"")</f>
        <v>6.25</v>
      </c>
      <c r="O14">
        <f>IF(L14=TRUE,DONNEES_SOURCE!$BX13,"")</f>
        <v>6.6666999999999996</v>
      </c>
      <c r="P14" t="str">
        <f t="shared" si="0"/>
        <v>Élevé</v>
      </c>
      <c r="Q14">
        <v>12</v>
      </c>
      <c r="R14">
        <f>IF(L14=TRUE,DONNEES_SOURCE!$AX13,"")</f>
        <v>7</v>
      </c>
      <c r="S14">
        <f>IF(L14=TRUE,DONNEES_SOURCE!$AY13,"")</f>
        <v>7</v>
      </c>
    </row>
    <row r="15" spans="1:19" x14ac:dyDescent="0.25">
      <c r="A15" s="224" t="s">
        <v>853</v>
      </c>
      <c r="B15" s="224" t="s">
        <v>379</v>
      </c>
      <c r="C15" s="224" t="s">
        <v>854</v>
      </c>
      <c r="D15" s="224" t="s">
        <v>538</v>
      </c>
      <c r="E15" s="224" t="s">
        <v>539</v>
      </c>
      <c r="F15" s="224" t="s">
        <v>307</v>
      </c>
      <c r="L15" t="b">
        <f>DONNEES_SOURCE!$CA14</f>
        <v>1</v>
      </c>
      <c r="M15">
        <f>IF(L15=TRUE,DONNEES_SOURCE!$CB14,"")</f>
        <v>6</v>
      </c>
      <c r="N15">
        <f>IF(L15=TRUE,DONNEES_SOURCE!$BW14,"")</f>
        <v>6</v>
      </c>
      <c r="O15">
        <f>IF(L15=TRUE,DONNEES_SOURCE!$BX14,"")</f>
        <v>4.6666999999999996</v>
      </c>
      <c r="P15" t="str">
        <f t="shared" si="0"/>
        <v>Moyen</v>
      </c>
      <c r="Q15">
        <v>13</v>
      </c>
      <c r="R15">
        <f>IF(L15=TRUE,DONNEES_SOURCE!$AX14,"")</f>
        <v>5</v>
      </c>
      <c r="S15">
        <f>IF(L15=TRUE,DONNEES_SOURCE!$AY14,"")</f>
        <v>3</v>
      </c>
    </row>
    <row r="16" spans="1:19" x14ac:dyDescent="0.25">
      <c r="A16" t="s">
        <v>855</v>
      </c>
      <c r="B16">
        <f>COUNTIF($P$3:$P$102,"Bas")</f>
        <v>21</v>
      </c>
      <c r="C16">
        <f>AVERAGEIF($P$3:$P$102,"Bas",$O$3:$O$102)</f>
        <v>3.8412571428571427</v>
      </c>
      <c r="D16">
        <f>AVERAGEIF($P$3:$P$102,"Bas",$N$3:$N$102)</f>
        <v>5.6309523809523814</v>
      </c>
      <c r="E16">
        <f>AVERAGEIF($P$3:$P$102,"Bas",$M$3:$M$102)</f>
        <v>4.7142857142857144</v>
      </c>
      <c r="F16" t="s">
        <v>856</v>
      </c>
      <c r="L16" t="b">
        <f>DONNEES_SOURCE!$CA15</f>
        <v>1</v>
      </c>
      <c r="M16">
        <f>IF(L16=TRUE,DONNEES_SOURCE!$CB15,"")</f>
        <v>3</v>
      </c>
      <c r="N16">
        <f>IF(L16=TRUE,DONNEES_SOURCE!$BW15,"")</f>
        <v>5.5</v>
      </c>
      <c r="O16">
        <f>IF(L16=TRUE,DONNEES_SOURCE!$BX15,"")</f>
        <v>5.6666999999999996</v>
      </c>
      <c r="P16" t="str">
        <f t="shared" si="0"/>
        <v>Élevé</v>
      </c>
      <c r="Q16">
        <v>14</v>
      </c>
      <c r="R16">
        <f>IF(L16=TRUE,DONNEES_SOURCE!$AX15,"")</f>
        <v>6</v>
      </c>
      <c r="S16">
        <f>IF(L16=TRUE,DONNEES_SOURCE!$AY15,"")</f>
        <v>6</v>
      </c>
    </row>
    <row r="17" spans="1:19" x14ac:dyDescent="0.25">
      <c r="A17" t="s">
        <v>857</v>
      </c>
      <c r="B17">
        <f>COUNTIF($P$3:$P$102,"Moyen")</f>
        <v>24</v>
      </c>
      <c r="C17">
        <f>AVERAGEIF($P$3:$P$102,"Moyen",$O$3:$O$102)</f>
        <v>4.7222500000000016</v>
      </c>
      <c r="D17">
        <f>AVERAGEIF($P$3:$P$102,"Moyen",$N$3:$N$102)</f>
        <v>5.625</v>
      </c>
      <c r="E17">
        <f>AVERAGEIF($P$3:$P$102,"Moyen",$M$3:$M$102)</f>
        <v>4.875</v>
      </c>
      <c r="F17" t="s">
        <v>858</v>
      </c>
      <c r="L17" t="b">
        <f>DONNEES_SOURCE!$CA16</f>
        <v>1</v>
      </c>
      <c r="M17">
        <f>IF(L17=TRUE,DONNEES_SOURCE!$CB16,"")</f>
        <v>7</v>
      </c>
      <c r="N17">
        <f>IF(L17=TRUE,DONNEES_SOURCE!$BW16,"")</f>
        <v>6</v>
      </c>
      <c r="O17">
        <f>IF(L17=TRUE,DONNEES_SOURCE!$BX16,"")</f>
        <v>5.3333000000000004</v>
      </c>
      <c r="P17" t="str">
        <f t="shared" si="0"/>
        <v>Élevé</v>
      </c>
      <c r="Q17">
        <v>15</v>
      </c>
      <c r="R17">
        <f>IF(L17=TRUE,DONNEES_SOURCE!$AX16,"")</f>
        <v>6</v>
      </c>
      <c r="S17">
        <f>IF(L17=TRUE,DONNEES_SOURCE!$AY16,"")</f>
        <v>6</v>
      </c>
    </row>
    <row r="18" spans="1:19" x14ac:dyDescent="0.25">
      <c r="A18" t="s">
        <v>859</v>
      </c>
      <c r="B18">
        <f>COUNTIF($P$3:$P$102,"Élevé")</f>
        <v>22</v>
      </c>
      <c r="C18">
        <f>AVERAGEIF($P$3:$P$102,"Élevé",$O$3:$O$102)</f>
        <v>5.7424090909090895</v>
      </c>
      <c r="D18">
        <f>AVERAGEIF($P$3:$P$102,"Élevé",$N$3:$N$102)</f>
        <v>5.3522727272727275</v>
      </c>
      <c r="E18">
        <f>AVERAGEIF($P$3:$P$102,"Élevé",$M$3:$M$102)</f>
        <v>5.4545454545454541</v>
      </c>
      <c r="F18" t="s">
        <v>860</v>
      </c>
      <c r="L18" t="b">
        <f>DONNEES_SOURCE!$CA17</f>
        <v>1</v>
      </c>
      <c r="M18">
        <f>IF(L18=TRUE,DONNEES_SOURCE!$CB17,"")</f>
        <v>5</v>
      </c>
      <c r="N18">
        <f>IF(L18=TRUE,DONNEES_SOURCE!$BW17,"")</f>
        <v>3.5</v>
      </c>
      <c r="O18">
        <f>IF(L18=TRUE,DONNEES_SOURCE!$BX17,"")</f>
        <v>4.6666999999999996</v>
      </c>
      <c r="P18" t="str">
        <f t="shared" si="0"/>
        <v>Moyen</v>
      </c>
      <c r="Q18">
        <v>16</v>
      </c>
      <c r="R18">
        <f>IF(L18=TRUE,DONNEES_SOURCE!$AX17,"")</f>
        <v>5</v>
      </c>
      <c r="S18">
        <f>IF(L18=TRUE,DONNEES_SOURCE!$AY17,"")</f>
        <v>5</v>
      </c>
    </row>
    <row r="19" spans="1:19" x14ac:dyDescent="0.25">
      <c r="L19" t="b">
        <f>DONNEES_SOURCE!$CA18</f>
        <v>1</v>
      </c>
      <c r="M19">
        <f>IF(L19=TRUE,DONNEES_SOURCE!$CB18,"")</f>
        <v>4</v>
      </c>
      <c r="N19">
        <f>IF(L19=TRUE,DONNEES_SOURCE!$BW18,"")</f>
        <v>5.5</v>
      </c>
      <c r="O19">
        <f>IF(L19=TRUE,DONNEES_SOURCE!$BX18,"")</f>
        <v>5.3333000000000004</v>
      </c>
      <c r="P19" t="str">
        <f t="shared" si="0"/>
        <v>Élevé</v>
      </c>
      <c r="Q19">
        <v>17</v>
      </c>
      <c r="R19">
        <f>IF(L19=TRUE,DONNEES_SOURCE!$AX18,"")</f>
        <v>5</v>
      </c>
      <c r="S19">
        <f>IF(L19=TRUE,DONNEES_SOURCE!$AY18,"")</f>
        <v>5</v>
      </c>
    </row>
    <row r="20" spans="1:19" x14ac:dyDescent="0.25">
      <c r="L20" t="b">
        <f>DONNEES_SOURCE!$CA19</f>
        <v>1</v>
      </c>
      <c r="M20">
        <f>IF(L20=TRUE,DONNEES_SOURCE!$CB19,"")</f>
        <v>5</v>
      </c>
      <c r="N20">
        <f>IF(L20=TRUE,DONNEES_SOURCE!$BW19,"")</f>
        <v>4.5</v>
      </c>
      <c r="O20">
        <f>IF(L20=TRUE,DONNEES_SOURCE!$BX19,"")</f>
        <v>5</v>
      </c>
      <c r="P20" t="str">
        <f t="shared" si="0"/>
        <v>Moyen</v>
      </c>
      <c r="Q20">
        <v>18</v>
      </c>
      <c r="R20">
        <f>IF(L20=TRUE,DONNEES_SOURCE!$AX19,"")</f>
        <v>5</v>
      </c>
      <c r="S20">
        <f>IF(L20=TRUE,DONNEES_SOURCE!$AY19,"")</f>
        <v>4</v>
      </c>
    </row>
    <row r="21" spans="1:19" x14ac:dyDescent="0.25">
      <c r="A21" s="294" t="s">
        <v>861</v>
      </c>
      <c r="B21" s="254"/>
      <c r="C21" s="254"/>
      <c r="D21" s="254"/>
      <c r="E21" s="254"/>
      <c r="F21" s="254"/>
      <c r="G21" s="254"/>
      <c r="H21" s="254"/>
      <c r="I21" s="254"/>
      <c r="J21" s="254"/>
      <c r="L21" t="b">
        <f>DONNEES_SOURCE!$CA20</f>
        <v>1</v>
      </c>
      <c r="M21">
        <f>IF(L21=TRUE,DONNEES_SOURCE!$CB20,"")</f>
        <v>7</v>
      </c>
      <c r="N21">
        <f>IF(L21=TRUE,DONNEES_SOURCE!$BW20,"")</f>
        <v>5.5</v>
      </c>
      <c r="O21">
        <f>IF(L21=TRUE,DONNEES_SOURCE!$BX20,"")</f>
        <v>6</v>
      </c>
      <c r="P21" t="str">
        <f t="shared" si="0"/>
        <v>Élevé</v>
      </c>
      <c r="Q21">
        <v>19</v>
      </c>
      <c r="R21">
        <f>IF(L21=TRUE,DONNEES_SOURCE!$AX20,"")</f>
        <v>7</v>
      </c>
      <c r="S21">
        <f>IF(L21=TRUE,DONNEES_SOURCE!$AY20,"")</f>
        <v>7</v>
      </c>
    </row>
    <row r="22" spans="1:19" x14ac:dyDescent="0.25">
      <c r="A22" s="295" t="s">
        <v>862</v>
      </c>
      <c r="B22" s="254"/>
      <c r="C22" s="254"/>
      <c r="D22" s="254"/>
      <c r="E22" s="254"/>
      <c r="F22" s="254"/>
      <c r="G22" s="254"/>
      <c r="H22" s="254"/>
      <c r="I22" s="254"/>
      <c r="J22" s="254"/>
      <c r="L22" t="b">
        <f>DONNEES_SOURCE!$CA21</f>
        <v>1</v>
      </c>
      <c r="M22">
        <f>IF(L22=TRUE,DONNEES_SOURCE!$CB21,"")</f>
        <v>3</v>
      </c>
      <c r="N22">
        <f>IF(L22=TRUE,DONNEES_SOURCE!$BW21,"")</f>
        <v>7</v>
      </c>
      <c r="O22">
        <f>IF(L22=TRUE,DONNEES_SOURCE!$BX21,"")</f>
        <v>4.6666999999999996</v>
      </c>
      <c r="P22" t="str">
        <f t="shared" si="0"/>
        <v>Moyen</v>
      </c>
      <c r="Q22">
        <v>20</v>
      </c>
      <c r="R22">
        <f>IF(L22=TRUE,DONNEES_SOURCE!$AX21,"")</f>
        <v>5</v>
      </c>
      <c r="S22">
        <f>IF(L22=TRUE,DONNEES_SOURCE!$AY21,"")</f>
        <v>7</v>
      </c>
    </row>
    <row r="23" spans="1:19" x14ac:dyDescent="0.25">
      <c r="L23" t="b">
        <f>DONNEES_SOURCE!$CA22</f>
        <v>1</v>
      </c>
      <c r="M23">
        <f>IF(L23=TRUE,DONNEES_SOURCE!$CB22,"")</f>
        <v>2</v>
      </c>
      <c r="N23">
        <f>IF(L23=TRUE,DONNEES_SOURCE!$BW22,"")</f>
        <v>5.5</v>
      </c>
      <c r="O23">
        <f>IF(L23=TRUE,DONNEES_SOURCE!$BX22,"")</f>
        <v>3.3332999999999999</v>
      </c>
      <c r="P23" t="str">
        <f t="shared" si="0"/>
        <v>Bas</v>
      </c>
      <c r="Q23">
        <v>21</v>
      </c>
      <c r="R23">
        <f>IF(L23=TRUE,DONNEES_SOURCE!$AX22,"")</f>
        <v>4</v>
      </c>
      <c r="S23">
        <f>IF(L23=TRUE,DONNEES_SOURCE!$AY22,"")</f>
        <v>4</v>
      </c>
    </row>
    <row r="24" spans="1:19" x14ac:dyDescent="0.25">
      <c r="A24" s="224" t="s">
        <v>853</v>
      </c>
      <c r="B24" s="224" t="s">
        <v>695</v>
      </c>
      <c r="C24" s="224" t="s">
        <v>379</v>
      </c>
      <c r="D24" s="224" t="s">
        <v>696</v>
      </c>
      <c r="E24" s="224" t="s">
        <v>629</v>
      </c>
      <c r="F24" s="224" t="s">
        <v>697</v>
      </c>
      <c r="G24" s="224" t="s">
        <v>548</v>
      </c>
      <c r="H24" s="224" t="s">
        <v>698</v>
      </c>
      <c r="I24" s="224" t="s">
        <v>863</v>
      </c>
      <c r="L24" t="b">
        <f>DONNEES_SOURCE!$CA23</f>
        <v>1</v>
      </c>
      <c r="M24">
        <f>IF(L24=TRUE,DONNEES_SOURCE!$CB23,"")</f>
        <v>7</v>
      </c>
      <c r="N24">
        <f>IF(L24=TRUE,DONNEES_SOURCE!$BW23,"")</f>
        <v>3.5</v>
      </c>
      <c r="O24">
        <f>IF(L24=TRUE,DONNEES_SOURCE!$BX23,"")</f>
        <v>4.3333000000000004</v>
      </c>
      <c r="P24" t="str">
        <f t="shared" si="0"/>
        <v>Bas</v>
      </c>
      <c r="Q24">
        <v>22</v>
      </c>
      <c r="R24">
        <f>IF(L24=TRUE,DONNEES_SOURCE!$AX23,"")</f>
        <v>6</v>
      </c>
      <c r="S24">
        <f>IF(L24=TRUE,DONNEES_SOURCE!$AY23,"")</f>
        <v>5</v>
      </c>
    </row>
    <row r="25" spans="1:19" x14ac:dyDescent="0.25">
      <c r="A25" t="s">
        <v>864</v>
      </c>
      <c r="B25" t="s">
        <v>807</v>
      </c>
      <c r="C25" cm="1">
        <f t="array" ref="C25">SUMPRODUCT(($P$3:$P$102="Bas")*($N$3:$N$102&lt;&gt;"")*($M$3:$M$102&lt;&gt;""))</f>
        <v>21</v>
      </c>
      <c r="D25" s="190" cm="1">
        <f t="array" ref="D25">CORREL(
  IF($P$3:$P$102="Bas", _xlfn.RANK.AVG($N$3:$N$102, $N$3:$N$102)),
  IF($P$3:$P$102="Bas", _xlfn.RANK.AVG($M$3:$M$102, $M$3:$M$102))
)</f>
        <v>-0.41561294300239771</v>
      </c>
      <c r="E25" s="190">
        <f>IF(C25&gt;2,D25*SQRT(C25-2)/SQRT(1-D25^2),0)</f>
        <v>-1.9917888995333775</v>
      </c>
      <c r="F25" s="190">
        <f>C25-2</f>
        <v>19</v>
      </c>
      <c r="G25" s="190">
        <f>IF(F25&gt;0,_xlfn.T.DIST.2T(ABS(E25),F25),1)</f>
        <v>6.0965841252800579E-2</v>
      </c>
      <c r="H25" s="190" t="str">
        <f>IF(G25&lt;0.001,"***",IF(G25&lt;0.01,"**",IF(G25&lt;0.05,"*",IF(G25&lt;0.1,".","NS"))))</f>
        <v>.</v>
      </c>
      <c r="I25" s="190" t="s">
        <v>865</v>
      </c>
      <c r="L25" t="b">
        <f>DONNEES_SOURCE!$CA24</f>
        <v>1</v>
      </c>
      <c r="M25">
        <f>IF(L25=TRUE,DONNEES_SOURCE!$CB24,"")</f>
        <v>5</v>
      </c>
      <c r="N25">
        <f>IF(L25=TRUE,DONNEES_SOURCE!$BW24,"")</f>
        <v>5.25</v>
      </c>
      <c r="O25">
        <f>IF(L25=TRUE,DONNEES_SOURCE!$BX24,"")</f>
        <v>3.6667000000000001</v>
      </c>
      <c r="P25" t="str">
        <f t="shared" si="0"/>
        <v>Bas</v>
      </c>
      <c r="Q25">
        <v>23</v>
      </c>
      <c r="R25">
        <f>IF(L25=TRUE,DONNEES_SOURCE!$AX24,"")</f>
        <v>6</v>
      </c>
      <c r="S25">
        <f>IF(L25=TRUE,DONNEES_SOURCE!$AY24,"")</f>
        <v>3</v>
      </c>
    </row>
    <row r="26" spans="1:19" x14ac:dyDescent="0.25">
      <c r="A26" t="s">
        <v>866</v>
      </c>
      <c r="B26" t="s">
        <v>807</v>
      </c>
      <c r="C26" cm="1">
        <f t="array" ref="C26">SUMPRODUCT(($P$3:$P$102="Moyen")*($N$3:$N$102&lt;&gt;"")*($M$3:$M$102&lt;&gt;""))</f>
        <v>24</v>
      </c>
      <c r="D26" s="190" cm="1">
        <f t="array" ref="D26">IFERROR(CORREL(_xlfn._xlws.FILTER(_xlfn.RANK.AVG($N$3:$N$102,$N$3:$N$102,1),($P$3:$P$102="Moyen")*($N$3:$N$102&lt;&gt;"")*($M$3:$M$102&lt;&gt;"")),_xlfn._xlws.FILTER(_xlfn.RANK.AVG($M$3:$M$102,$M$3:$M$102,1),($P$3:$P$102="Moyen")*($N$3:$N$102&lt;&gt;"")*($M$3:$M$102&lt;&gt;""))),0)</f>
        <v>-0.27407502882115659</v>
      </c>
      <c r="E26" s="190">
        <f>IF(C26&gt;2,D26*SQRT(C26-2)/SQRT(1-D26^2),0)</f>
        <v>-1.3367107444924866</v>
      </c>
      <c r="F26" s="190">
        <f>C26-2</f>
        <v>22</v>
      </c>
      <c r="G26" s="190">
        <f>IF(F26&gt;0,_xlfn.T.DIST.2T(ABS(E26),F26),1)</f>
        <v>0.19497723747050349</v>
      </c>
      <c r="H26" s="190" t="str">
        <f>IF(G26&lt;0.001,"***",IF(G26&lt;0.01,"**",IF(G26&lt;0.05,"*",IF(G26&lt;0.1,".","NS"))))</f>
        <v>NS</v>
      </c>
      <c r="I26" s="190" t="s">
        <v>867</v>
      </c>
      <c r="L26" t="b">
        <f>DONNEES_SOURCE!$CA25</f>
        <v>1</v>
      </c>
      <c r="M26">
        <f>IF(L26=TRUE,DONNEES_SOURCE!$CB25,"")</f>
        <v>7</v>
      </c>
      <c r="N26">
        <f>IF(L26=TRUE,DONNEES_SOURCE!$BW25,"")</f>
        <v>5.75</v>
      </c>
      <c r="O26">
        <f>IF(L26=TRUE,DONNEES_SOURCE!$BX25,"")</f>
        <v>5.6666999999999996</v>
      </c>
      <c r="P26" t="str">
        <f t="shared" si="0"/>
        <v>Élevé</v>
      </c>
      <c r="Q26">
        <v>24</v>
      </c>
      <c r="R26">
        <f>IF(L26=TRUE,DONNEES_SOURCE!$AX25,"")</f>
        <v>6</v>
      </c>
      <c r="S26">
        <f>IF(L26=TRUE,DONNEES_SOURCE!$AY25,"")</f>
        <v>6</v>
      </c>
    </row>
    <row r="27" spans="1:19" x14ac:dyDescent="0.25">
      <c r="A27" t="s">
        <v>868</v>
      </c>
      <c r="B27" t="s">
        <v>807</v>
      </c>
      <c r="C27" cm="1">
        <f t="array" ref="C27">SUMPRODUCT(($P$3:$P$102="Élevé")*($N$3:$N$102&lt;&gt;"")*($M$3:$M$102&lt;&gt;""))</f>
        <v>22</v>
      </c>
      <c r="D27" s="190" cm="1">
        <f t="array" ref="D27">IFERROR(CORREL(_xlfn._xlws.FILTER(_xlfn.RANK.AVG($N$3:$N$102,$N$3:$N$102,1),($P$3:$P$102="Élevé")*($N$3:$N$102&lt;&gt;"")*($M$3:$M$102&lt;&gt;"")),_xlfn._xlws.FILTER(_xlfn.RANK.AVG($M$3:$M$102,$M$3:$M$102,1),($P$3:$P$102="Élevé")*($N$3:$N$102&lt;&gt;"")*($M$3:$M$102&lt;&gt;""))),0)</f>
        <v>3.0447407905009619E-2</v>
      </c>
      <c r="E27" s="190">
        <f>IF(C27&gt;2,D27*SQRT(C27-2)/SQRT(1-D27^2),0)</f>
        <v>0.13622810703860205</v>
      </c>
      <c r="F27" s="190">
        <f>C27-2</f>
        <v>20</v>
      </c>
      <c r="G27" s="190">
        <f>IF(F27&gt;0,_xlfn.T.DIST.2T(ABS(E27),F27),1)</f>
        <v>0.89300286823578801</v>
      </c>
      <c r="H27" s="190" t="str">
        <f>IF(G27&lt;0.001,"***",IF(G27&lt;0.01,"**",IF(G27&lt;0.05,"*",IF(G27&lt;0.1,".","NS"))))</f>
        <v>NS</v>
      </c>
      <c r="I27" s="190" t="s">
        <v>1444</v>
      </c>
      <c r="L27" t="b">
        <f>DONNEES_SOURCE!$CA26</f>
        <v>1</v>
      </c>
      <c r="M27">
        <f>IF(L27=TRUE,DONNEES_SOURCE!$CB26,"")</f>
        <v>5</v>
      </c>
      <c r="N27">
        <f>IF(L27=TRUE,DONNEES_SOURCE!$BW26,"")</f>
        <v>4.5</v>
      </c>
      <c r="O27">
        <f>IF(L27=TRUE,DONNEES_SOURCE!$BX26,"")</f>
        <v>5.3333000000000004</v>
      </c>
      <c r="P27" t="str">
        <f t="shared" si="0"/>
        <v>Élevé</v>
      </c>
      <c r="Q27">
        <v>25</v>
      </c>
      <c r="R27">
        <f>IF(L27=TRUE,DONNEES_SOURCE!$AX26,"")</f>
        <v>5</v>
      </c>
      <c r="S27">
        <f>IF(L27=TRUE,DONNEES_SOURCE!$AY26,"")</f>
        <v>5</v>
      </c>
    </row>
    <row r="28" spans="1:19" x14ac:dyDescent="0.25">
      <c r="L28" t="b">
        <f>DONNEES_SOURCE!$CA27</f>
        <v>1</v>
      </c>
      <c r="M28">
        <f>IF(L28=TRUE,DONNEES_SOURCE!$CB27,"")</f>
        <v>2</v>
      </c>
      <c r="N28">
        <f>IF(L28=TRUE,DONNEES_SOURCE!$BW27,"")</f>
        <v>4.5</v>
      </c>
      <c r="O28">
        <f>IF(L28=TRUE,DONNEES_SOURCE!$BX27,"")</f>
        <v>4.6666999999999996</v>
      </c>
      <c r="P28" t="str">
        <f t="shared" si="0"/>
        <v>Moyen</v>
      </c>
      <c r="Q28">
        <v>26</v>
      </c>
      <c r="R28">
        <f>IF(L28=TRUE,DONNEES_SOURCE!$AX27,"")</f>
        <v>5</v>
      </c>
      <c r="S28">
        <f>IF(L28=TRUE,DONNEES_SOURCE!$AY27,"")</f>
        <v>4</v>
      </c>
    </row>
    <row r="29" spans="1:19" x14ac:dyDescent="0.25">
      <c r="L29" t="b">
        <f>DONNEES_SOURCE!$CA28</f>
        <v>1</v>
      </c>
      <c r="M29">
        <f>IF(L29=TRUE,DONNEES_SOURCE!$CB28,"")</f>
        <v>2</v>
      </c>
      <c r="N29">
        <f>IF(L29=TRUE,DONNEES_SOURCE!$BW28,"")</f>
        <v>6.5</v>
      </c>
      <c r="O29">
        <f>IF(L29=TRUE,DONNEES_SOURCE!$BX28,"")</f>
        <v>4.6666999999999996</v>
      </c>
      <c r="P29" t="str">
        <f t="shared" si="0"/>
        <v>Moyen</v>
      </c>
      <c r="Q29">
        <v>27</v>
      </c>
      <c r="R29">
        <f>IF(L29=TRUE,DONNEES_SOURCE!$AX28,"")</f>
        <v>6</v>
      </c>
      <c r="S29">
        <f>IF(L29=TRUE,DONNEES_SOURCE!$AY28,"")</f>
        <v>5</v>
      </c>
    </row>
    <row r="30" spans="1:19" x14ac:dyDescent="0.25">
      <c r="A30" s="294" t="s">
        <v>871</v>
      </c>
      <c r="B30" s="254"/>
      <c r="C30" s="254"/>
      <c r="D30" s="254"/>
      <c r="E30" s="254"/>
      <c r="F30" s="254"/>
      <c r="G30" s="254"/>
      <c r="H30" s="254"/>
      <c r="I30" s="254"/>
      <c r="J30" s="254"/>
      <c r="L30" t="b">
        <f>DONNEES_SOURCE!$CA29</f>
        <v>1</v>
      </c>
      <c r="M30">
        <f>IF(L30=TRUE,DONNEES_SOURCE!$CB29,"")</f>
        <v>6</v>
      </c>
      <c r="N30">
        <f>IF(L30=TRUE,DONNEES_SOURCE!$BW29,"")</f>
        <v>4.75</v>
      </c>
      <c r="O30">
        <f>IF(L30=TRUE,DONNEES_SOURCE!$BX29,"")</f>
        <v>4.6666999999999996</v>
      </c>
      <c r="P30" t="str">
        <f t="shared" si="0"/>
        <v>Moyen</v>
      </c>
      <c r="Q30">
        <v>28</v>
      </c>
      <c r="R30">
        <f>IF(L30=TRUE,DONNEES_SOURCE!$AX29,"")</f>
        <v>5</v>
      </c>
      <c r="S30">
        <f>IF(L30=TRUE,DONNEES_SOURCE!$AY29,"")</f>
        <v>5</v>
      </c>
    </row>
    <row r="31" spans="1:19" x14ac:dyDescent="0.25">
      <c r="A31" s="295" t="s">
        <v>872</v>
      </c>
      <c r="B31" s="254"/>
      <c r="C31" s="254"/>
      <c r="D31" s="254"/>
      <c r="E31" s="254"/>
      <c r="F31" s="254"/>
      <c r="G31" s="254"/>
      <c r="H31" s="254"/>
      <c r="I31" s="254"/>
      <c r="J31" s="254"/>
      <c r="L31" t="b">
        <f>DONNEES_SOURCE!$CA30</f>
        <v>1</v>
      </c>
      <c r="M31">
        <f>IF(L31=TRUE,DONNEES_SOURCE!$CB30,"")</f>
        <v>7</v>
      </c>
      <c r="N31">
        <f>IF(L31=TRUE,DONNEES_SOURCE!$BW30,"")</f>
        <v>5.25</v>
      </c>
      <c r="O31">
        <f>IF(L31=TRUE,DONNEES_SOURCE!$BX30,"")</f>
        <v>4.6666999999999996</v>
      </c>
      <c r="P31" t="str">
        <f t="shared" si="0"/>
        <v>Moyen</v>
      </c>
      <c r="Q31">
        <v>29</v>
      </c>
      <c r="R31">
        <f>IF(L31=TRUE,DONNEES_SOURCE!$AX30,"")</f>
        <v>6</v>
      </c>
      <c r="S31">
        <f>IF(L31=TRUE,DONNEES_SOURCE!$AY30,"")</f>
        <v>6</v>
      </c>
    </row>
    <row r="32" spans="1:19" x14ac:dyDescent="0.25">
      <c r="L32" t="b">
        <f>DONNEES_SOURCE!$CA31</f>
        <v>1</v>
      </c>
      <c r="M32">
        <f>IF(L32=TRUE,DONNEES_SOURCE!$CB31,"")</f>
        <v>6</v>
      </c>
      <c r="N32">
        <f>IF(L32=TRUE,DONNEES_SOURCE!$BW31,"")</f>
        <v>4.75</v>
      </c>
      <c r="O32">
        <f>IF(L32=TRUE,DONNEES_SOURCE!$BX31,"")</f>
        <v>3.3332999999999999</v>
      </c>
      <c r="P32" t="str">
        <f t="shared" si="0"/>
        <v>Bas</v>
      </c>
      <c r="Q32">
        <v>30</v>
      </c>
      <c r="R32">
        <f>IF(L32=TRUE,DONNEES_SOURCE!$AX31,"")</f>
        <v>3</v>
      </c>
      <c r="S32">
        <f>IF(L32=TRUE,DONNEES_SOURCE!$AY31,"")</f>
        <v>6</v>
      </c>
    </row>
    <row r="33" spans="1:19" x14ac:dyDescent="0.25">
      <c r="A33" s="241" t="s">
        <v>695</v>
      </c>
      <c r="B33" s="241" t="s">
        <v>626</v>
      </c>
      <c r="C33" s="241" t="s">
        <v>627</v>
      </c>
      <c r="D33" s="241" t="s">
        <v>379</v>
      </c>
      <c r="E33" s="241" t="s">
        <v>696</v>
      </c>
      <c r="F33" s="241" t="s">
        <v>629</v>
      </c>
      <c r="G33" s="241" t="s">
        <v>697</v>
      </c>
      <c r="H33" s="241" t="s">
        <v>548</v>
      </c>
      <c r="I33" s="241" t="s">
        <v>698</v>
      </c>
      <c r="L33" t="b">
        <f>DONNEES_SOURCE!$CA32</f>
        <v>1</v>
      </c>
      <c r="M33">
        <f>IF(L33=TRUE,DONNEES_SOURCE!$CB32,"")</f>
        <v>4</v>
      </c>
      <c r="N33">
        <f>IF(L33=TRUE,DONNEES_SOURCE!$BW32,"")</f>
        <v>6.25</v>
      </c>
      <c r="O33">
        <f>IF(L33=TRUE,DONNEES_SOURCE!$BX32,"")</f>
        <v>2.6667000000000001</v>
      </c>
      <c r="P33" t="str">
        <f t="shared" si="0"/>
        <v>Bas</v>
      </c>
      <c r="Q33">
        <v>31</v>
      </c>
      <c r="R33">
        <f>IF(L33=TRUE,DONNEES_SOURCE!$AX32,"")</f>
        <v>1</v>
      </c>
      <c r="S33">
        <f>IF(L33=TRUE,DONNEES_SOURCE!$AY32,"")</f>
        <v>5</v>
      </c>
    </row>
    <row r="34" spans="1:19" x14ac:dyDescent="0.25">
      <c r="A34" s="193" t="s">
        <v>873</v>
      </c>
      <c r="B34" s="193" t="s">
        <v>869</v>
      </c>
      <c r="C34" s="193" t="s">
        <v>498</v>
      </c>
      <c r="D34" s="193" cm="1">
        <f t="array" ref="D34">SUMPRODUCT(($L$3:$L$102=TRUE)*($R$3:$R$102&lt;&gt;"")*($M$3:$M$102&lt;&gt;""))</f>
        <v>67</v>
      </c>
      <c r="E34" s="242" cm="1">
        <f t="array" ref="E34">IFERROR(CORREL(_xlfn._xlws.FILTER(_xlfn.RANK.AVG($R$3:$R$102,$R$3:$R$102,1),($L$3:$L$102=TRUE)*($R$3:$R$102&lt;&gt;"")*($M$3:$M$102&lt;&gt;"")),_xlfn._xlws.FILTER(_xlfn.RANK.AVG($M$3:$M$102,$M$3:$M$102,1),($L$3:$L$102=TRUE)*($R$3:$R$102&lt;&gt;"")*($M$3:$M$102&lt;&gt;""))),0)</f>
        <v>0.3785462982610463</v>
      </c>
      <c r="F34" s="242">
        <f>IF(D34&gt;2,E34*SQRT(D34-2)/SQRT(1-E34^2),0)</f>
        <v>3.2973163352812285</v>
      </c>
      <c r="G34" s="242">
        <f>D34-2</f>
        <v>65</v>
      </c>
      <c r="H34" s="242">
        <f>IF(G34&gt;0,_xlfn.T.DIST.2T(ABS(F34),G34),1)</f>
        <v>1.5849523517458026E-3</v>
      </c>
      <c r="I34" s="242" t="str">
        <f>IF(H34&lt;0.001,"***",IF(H34&lt;0.01,"**",IF(H34&lt;0.05,"*",IF(H34&lt;0.1,".","NS"))))</f>
        <v>**</v>
      </c>
      <c r="L34" t="b">
        <f>DONNEES_SOURCE!$CA33</f>
        <v>1</v>
      </c>
      <c r="M34">
        <f>IF(L34=TRUE,DONNEES_SOURCE!$CB33,"")</f>
        <v>7</v>
      </c>
      <c r="N34">
        <f>IF(L34=TRUE,DONNEES_SOURCE!$BW33,"")</f>
        <v>3.75</v>
      </c>
      <c r="O34">
        <f>IF(L34=TRUE,DONNEES_SOURCE!$BX33,"")</f>
        <v>5.3333000000000004</v>
      </c>
      <c r="P34" t="str">
        <f t="shared" si="0"/>
        <v>Élevé</v>
      </c>
      <c r="Q34">
        <v>32</v>
      </c>
      <c r="R34">
        <f>IF(L34=TRUE,DONNEES_SOURCE!$AX33,"")</f>
        <v>6</v>
      </c>
      <c r="S34">
        <f>IF(L34=TRUE,DONNEES_SOURCE!$AY33,"")</f>
        <v>6</v>
      </c>
    </row>
    <row r="35" spans="1:19" x14ac:dyDescent="0.25">
      <c r="A35" s="193" t="s">
        <v>874</v>
      </c>
      <c r="B35" s="193" t="s">
        <v>870</v>
      </c>
      <c r="C35" s="193" t="s">
        <v>498</v>
      </c>
      <c r="D35" s="193" cm="1">
        <f t="array" ref="D35">SUMPRODUCT(($L$3:$L$102=TRUE)*($S$3:$S$102&lt;&gt;"")*($M$3:$M$102&lt;&gt;""))</f>
        <v>67</v>
      </c>
      <c r="E35" s="242" cm="1">
        <f t="array" ref="E35">IFERROR(CORREL(_xlfn._xlws.FILTER(_xlfn.RANK.AVG($S$3:$S$102,$S$3:$S$102,1),($L$3:$L$102=TRUE)*($S$3:$S$102&lt;&gt;"")*($M$3:$M$102&lt;&gt;"")),_xlfn._xlws.FILTER(_xlfn.RANK.AVG($M$3:$M$102,$M$3:$M$102,1),($L$3:$L$102=TRUE)*($S$3:$S$102&lt;&gt;"")*($M$3:$M$102&lt;&gt;""))),0)</f>
        <v>0.24221211444726268</v>
      </c>
      <c r="F35" s="242">
        <f>IF(D35&gt;2,E35*SQRT(D35-2)/SQRT(1-E35^2),0)</f>
        <v>2.0127082654083512</v>
      </c>
      <c r="G35" s="242">
        <f>D35-2</f>
        <v>65</v>
      </c>
      <c r="H35" s="242">
        <f>IF(G35&gt;0,_xlfn.T.DIST.2T(ABS(F35),G35),1)</f>
        <v>4.8291531959082055E-2</v>
      </c>
      <c r="I35" s="242" t="str">
        <f>IF(H35&lt;0.001,"***",IF(H35&lt;0.01,"**",IF(H35&lt;0.05,"*",IF(H35&lt;0.1,".","NS"))))</f>
        <v>*</v>
      </c>
      <c r="L35" t="b">
        <f>DONNEES_SOURCE!$CA34</f>
        <v>1</v>
      </c>
      <c r="M35">
        <f>IF(L35=TRUE,DONNEES_SOURCE!$CB34,"")</f>
        <v>5</v>
      </c>
      <c r="N35">
        <f>IF(L35=TRUE,DONNEES_SOURCE!$BW34,"")</f>
        <v>5.5</v>
      </c>
      <c r="O35">
        <f>IF(L35=TRUE,DONNEES_SOURCE!$BX34,"")</f>
        <v>4</v>
      </c>
      <c r="P35" t="str">
        <f t="shared" si="0"/>
        <v>Bas</v>
      </c>
      <c r="Q35">
        <v>33</v>
      </c>
      <c r="R35">
        <f>IF(L35=TRUE,DONNEES_SOURCE!$AX34,"")</f>
        <v>5</v>
      </c>
      <c r="S35">
        <f>IF(L35=TRUE,DONNEES_SOURCE!$AY34,"")</f>
        <v>5</v>
      </c>
    </row>
    <row r="36" spans="1:19" x14ac:dyDescent="0.25">
      <c r="A36" s="193" t="s">
        <v>875</v>
      </c>
      <c r="B36" s="193" t="s">
        <v>298</v>
      </c>
      <c r="C36" s="193" t="s">
        <v>498</v>
      </c>
      <c r="D36" s="193" cm="1">
        <f t="array" ref="D36">SUMPRODUCT(($L$3:$L$102=TRUE)*($O$3:$O$102&lt;&gt;"")*($M$3:$M$102&lt;&gt;""))</f>
        <v>67</v>
      </c>
      <c r="E36" s="242" cm="1">
        <f t="array" ref="E36">IFERROR(CORREL(_xlfn._xlws.FILTER(_xlfn.RANK.AVG($O$3:$O$102,$O$3:$O$102,1),($L$3:$L$102=TRUE)*($O$3:$O$102&lt;&gt;"")*($M$3:$M$102&lt;&gt;"")),_xlfn._xlws.FILTER(_xlfn.RANK.AVG($M$3:$M$102,$M$3:$M$102,1),($L$3:$L$102=TRUE)*($O$3:$O$102&lt;&gt;"")*($M$3:$M$102&lt;&gt;""))),0)</f>
        <v>0.27251226931168537</v>
      </c>
      <c r="F36" s="242">
        <f>IF(D36&gt;2,E36*SQRT(D36-2)/SQRT(1-E36^2),0)</f>
        <v>2.2834889417665587</v>
      </c>
      <c r="G36" s="242">
        <f>D36-2</f>
        <v>65</v>
      </c>
      <c r="H36" s="242">
        <f>IF(G36&gt;0,_xlfn.T.DIST.2T(ABS(F36),G36),1)</f>
        <v>2.5678438413131381E-2</v>
      </c>
      <c r="I36" s="242" t="str">
        <f>IF(H36&lt;0.001,"***",IF(H36&lt;0.01,"**",IF(H36&lt;0.05,"*",IF(H36&lt;0.1,".","NS"))))</f>
        <v>*</v>
      </c>
      <c r="L36" t="b">
        <f>DONNEES_SOURCE!$CA35</f>
        <v>1</v>
      </c>
      <c r="M36">
        <f>IF(L36=TRUE,DONNEES_SOURCE!$CB35,"")</f>
        <v>5</v>
      </c>
      <c r="N36">
        <f>IF(L36=TRUE,DONNEES_SOURCE!$BW35,"")</f>
        <v>5.5</v>
      </c>
      <c r="O36">
        <f>IF(L36=TRUE,DONNEES_SOURCE!$BX35,"")</f>
        <v>4.6666999999999996</v>
      </c>
      <c r="P36" t="str">
        <f t="shared" si="0"/>
        <v>Moyen</v>
      </c>
      <c r="Q36">
        <v>34</v>
      </c>
      <c r="R36">
        <f>IF(L36=TRUE,DONNEES_SOURCE!$AX35,"")</f>
        <v>5</v>
      </c>
      <c r="S36">
        <f>IF(L36=TRUE,DONNEES_SOURCE!$AY35,"")</f>
        <v>5</v>
      </c>
    </row>
    <row r="37" spans="1:19" x14ac:dyDescent="0.25">
      <c r="L37" t="b">
        <f>DONNEES_SOURCE!$CA36</f>
        <v>1</v>
      </c>
      <c r="M37">
        <f>IF(L37=TRUE,DONNEES_SOURCE!$CB36,"")</f>
        <v>5</v>
      </c>
      <c r="N37">
        <f>IF(L37=TRUE,DONNEES_SOURCE!$BW36,"")</f>
        <v>7</v>
      </c>
      <c r="O37">
        <f>IF(L37=TRUE,DONNEES_SOURCE!$BX36,"")</f>
        <v>4.6666999999999996</v>
      </c>
      <c r="P37" t="str">
        <f t="shared" si="0"/>
        <v>Moyen</v>
      </c>
      <c r="Q37">
        <v>35</v>
      </c>
      <c r="R37">
        <f>IF(L37=TRUE,DONNEES_SOURCE!$AX36,"")</f>
        <v>6</v>
      </c>
      <c r="S37">
        <f>IF(L37=TRUE,DONNEES_SOURCE!$AY36,"")</f>
        <v>2</v>
      </c>
    </row>
    <row r="38" spans="1:19" x14ac:dyDescent="0.25">
      <c r="L38" t="b">
        <f>DONNEES_SOURCE!$CA37</f>
        <v>1</v>
      </c>
      <c r="M38">
        <f>IF(L38=TRUE,DONNEES_SOURCE!$CB37,"")</f>
        <v>4</v>
      </c>
      <c r="N38">
        <f>IF(L38=TRUE,DONNEES_SOURCE!$BW37,"")</f>
        <v>7</v>
      </c>
      <c r="O38">
        <f>IF(L38=TRUE,DONNEES_SOURCE!$BX37,"")</f>
        <v>4.6666999999999996</v>
      </c>
      <c r="P38" t="str">
        <f t="shared" si="0"/>
        <v>Moyen</v>
      </c>
      <c r="Q38">
        <v>36</v>
      </c>
      <c r="R38">
        <f>IF(L38=TRUE,DONNEES_SOURCE!$AX37,"")</f>
        <v>5</v>
      </c>
      <c r="S38">
        <f>IF(L38=TRUE,DONNEES_SOURCE!$AY37,"")</f>
        <v>6</v>
      </c>
    </row>
    <row r="39" spans="1:19" x14ac:dyDescent="0.25">
      <c r="A39" s="294" t="s">
        <v>876</v>
      </c>
      <c r="B39" s="254"/>
      <c r="C39" s="254"/>
      <c r="D39" s="254"/>
      <c r="E39" s="254"/>
      <c r="F39" s="254"/>
      <c r="G39" s="254"/>
      <c r="H39" s="254"/>
      <c r="I39" s="254"/>
      <c r="J39" s="254"/>
      <c r="L39" t="b">
        <f>DONNEES_SOURCE!$CA38</f>
        <v>1</v>
      </c>
      <c r="M39">
        <f>IF(L39=TRUE,DONNEES_SOURCE!$CB38,"")</f>
        <v>5</v>
      </c>
      <c r="N39">
        <f>IF(L39=TRUE,DONNEES_SOURCE!$BW38,"")</f>
        <v>5.5</v>
      </c>
      <c r="O39">
        <f>IF(L39=TRUE,DONNEES_SOURCE!$BX38,"")</f>
        <v>5.3333000000000004</v>
      </c>
      <c r="P39" t="str">
        <f t="shared" si="0"/>
        <v>Élevé</v>
      </c>
      <c r="Q39">
        <v>37</v>
      </c>
      <c r="R39">
        <f>IF(L39=TRUE,DONNEES_SOURCE!$AX38,"")</f>
        <v>5</v>
      </c>
      <c r="S39">
        <f>IF(L39=TRUE,DONNEES_SOURCE!$AY38,"")</f>
        <v>6</v>
      </c>
    </row>
    <row r="40" spans="1:19" x14ac:dyDescent="0.25">
      <c r="L40" t="b">
        <f>DONNEES_SOURCE!$CA39</f>
        <v>1</v>
      </c>
      <c r="M40">
        <f>IF(L40=TRUE,DONNEES_SOURCE!$CB39,"")</f>
        <v>6</v>
      </c>
      <c r="N40">
        <f>IF(L40=TRUE,DONNEES_SOURCE!$BW39,"")</f>
        <v>6.5</v>
      </c>
      <c r="O40">
        <f>IF(L40=TRUE,DONNEES_SOURCE!$BX39,"")</f>
        <v>6.3333000000000004</v>
      </c>
      <c r="P40" t="str">
        <f t="shared" si="0"/>
        <v>Élevé</v>
      </c>
      <c r="Q40">
        <v>38</v>
      </c>
      <c r="R40">
        <f>IF(L40=TRUE,DONNEES_SOURCE!$AX39,"")</f>
        <v>6</v>
      </c>
      <c r="S40">
        <f>IF(L40=TRUE,DONNEES_SOURCE!$AY39,"")</f>
        <v>6</v>
      </c>
    </row>
    <row r="41" spans="1:19" x14ac:dyDescent="0.25">
      <c r="A41" s="71" t="s">
        <v>877</v>
      </c>
      <c r="B41" t="str">
        <f>IF(AND(D25&lt;0,D27&gt;D25+0.2),"CONFIRMÉE (gradient observé)","À ANALYSER")</f>
        <v>CONFIRMÉE (gradient observé)</v>
      </c>
      <c r="L41" t="b">
        <f>DONNEES_SOURCE!$CA40</f>
        <v>1</v>
      </c>
      <c r="M41">
        <f>IF(L41=TRUE,DONNEES_SOURCE!$CB40,"")</f>
        <v>4</v>
      </c>
      <c r="N41">
        <f>IF(L41=TRUE,DONNEES_SOURCE!$BW40,"")</f>
        <v>5.75</v>
      </c>
      <c r="O41">
        <f>IF(L41=TRUE,DONNEES_SOURCE!$BX40,"")</f>
        <v>4.6666999999999996</v>
      </c>
      <c r="P41" t="str">
        <f t="shared" si="0"/>
        <v>Moyen</v>
      </c>
      <c r="Q41">
        <v>39</v>
      </c>
      <c r="R41">
        <f>IF(L41=TRUE,DONNEES_SOURCE!$AX40,"")</f>
        <v>4</v>
      </c>
      <c r="S41">
        <f>IF(L41=TRUE,DONNEES_SOURCE!$AY40,"")</f>
        <v>5</v>
      </c>
    </row>
    <row r="42" spans="1:19" x14ac:dyDescent="0.25">
      <c r="L42" t="b">
        <f>DONNEES_SOURCE!$CA41</f>
        <v>1</v>
      </c>
      <c r="M42">
        <f>IF(L42=TRUE,DONNEES_SOURCE!$CB41,"")</f>
        <v>5</v>
      </c>
      <c r="N42">
        <f>IF(L42=TRUE,DONNEES_SOURCE!$BW41,"")</f>
        <v>6.25</v>
      </c>
      <c r="O42">
        <f>IF(L42=TRUE,DONNEES_SOURCE!$BX41,"")</f>
        <v>5.3333000000000004</v>
      </c>
      <c r="P42" t="str">
        <f t="shared" si="0"/>
        <v>Élevé</v>
      </c>
      <c r="Q42">
        <v>40</v>
      </c>
      <c r="R42">
        <f>IF(L42=TRUE,DONNEES_SOURCE!$AX41,"")</f>
        <v>5</v>
      </c>
      <c r="S42">
        <f>IF(L42=TRUE,DONNEES_SOURCE!$AY41,"")</f>
        <v>5</v>
      </c>
    </row>
    <row r="43" spans="1:19" x14ac:dyDescent="0.25">
      <c r="A43" s="71" t="s">
        <v>878</v>
      </c>
      <c r="L43" t="b">
        <f>DONNEES_SOURCE!$CA42</f>
        <v>1</v>
      </c>
      <c r="M43">
        <f>IF(L43=TRUE,DONNEES_SOURCE!$CB42,"")</f>
        <v>7</v>
      </c>
      <c r="N43">
        <f>IF(L43=TRUE,DONNEES_SOURCE!$BW42,"")</f>
        <v>4.5</v>
      </c>
      <c r="O43">
        <f>IF(L43=TRUE,DONNEES_SOURCE!$BX42,"")</f>
        <v>6</v>
      </c>
      <c r="P43" t="str">
        <f t="shared" si="0"/>
        <v>Élevé</v>
      </c>
      <c r="Q43">
        <v>41</v>
      </c>
      <c r="R43">
        <f>IF(L43=TRUE,DONNEES_SOURCE!$AX42,"")</f>
        <v>6</v>
      </c>
      <c r="S43">
        <f>IF(L43=TRUE,DONNEES_SOURCE!$AY42,"")</f>
        <v>7</v>
      </c>
    </row>
    <row r="44" spans="1:19" x14ac:dyDescent="0.25">
      <c r="A44" t="str">
        <f>"• Tercile Bas: ρ = "&amp;TEXT(D25,"0,000")&amp;" ("&amp;H25&amp;")"</f>
        <v>• Tercile Bas: ρ = -0,416 (.)</v>
      </c>
      <c r="L44" t="b">
        <f>DONNEES_SOURCE!$CA43</f>
        <v>1</v>
      </c>
      <c r="M44">
        <f>IF(L44=TRUE,DONNEES_SOURCE!$CB43,"")</f>
        <v>5</v>
      </c>
      <c r="N44">
        <f>IF(L44=TRUE,DONNEES_SOURCE!$BW43,"")</f>
        <v>6.75</v>
      </c>
      <c r="O44">
        <f>IF(L44=TRUE,DONNEES_SOURCE!$BX43,"")</f>
        <v>6</v>
      </c>
      <c r="P44" t="str">
        <f t="shared" si="0"/>
        <v>Élevé</v>
      </c>
      <c r="Q44">
        <v>42</v>
      </c>
      <c r="R44">
        <f>IF(L44=TRUE,DONNEES_SOURCE!$AX43,"")</f>
        <v>7</v>
      </c>
      <c r="S44">
        <f>IF(L44=TRUE,DONNEES_SOURCE!$AY43,"")</f>
        <v>7</v>
      </c>
    </row>
    <row r="45" spans="1:19" x14ac:dyDescent="0.25">
      <c r="A45" t="str">
        <f>"• Tercile Moyen: ρ = "&amp;TEXT(D26,"0,000")&amp;" ("&amp;H26&amp;")"</f>
        <v>• Tercile Moyen: ρ = -0,274 (NS)</v>
      </c>
      <c r="L45" t="b">
        <f>DONNEES_SOURCE!$CA44</f>
        <v>1</v>
      </c>
      <c r="M45">
        <f>IF(L45=TRUE,DONNEES_SOURCE!$CB44,"")</f>
        <v>5</v>
      </c>
      <c r="N45">
        <f>IF(L45=TRUE,DONNEES_SOURCE!$BW44,"")</f>
        <v>5.75</v>
      </c>
      <c r="O45">
        <f>IF(L45=TRUE,DONNEES_SOURCE!$BX44,"")</f>
        <v>4.3333000000000004</v>
      </c>
      <c r="P45" t="str">
        <f t="shared" si="0"/>
        <v>Bas</v>
      </c>
      <c r="Q45">
        <v>43</v>
      </c>
      <c r="R45">
        <f>IF(L45=TRUE,DONNEES_SOURCE!$AX44,"")</f>
        <v>4</v>
      </c>
      <c r="S45">
        <f>IF(L45=TRUE,DONNEES_SOURCE!$AY44,"")</f>
        <v>5</v>
      </c>
    </row>
    <row r="46" spans="1:19" x14ac:dyDescent="0.25">
      <c r="A46" t="str">
        <f>"• Tercile Élevé: ρ = "&amp;TEXT(D27,"0,000")&amp;" ("&amp;H27&amp;")"</f>
        <v>• Tercile Élevé: ρ = 0,030 (NS)</v>
      </c>
      <c r="L46" t="b">
        <f>DONNEES_SOURCE!$CA45</f>
        <v>1</v>
      </c>
      <c r="M46">
        <f>IF(L46=TRUE,DONNEES_SOURCE!$CB45,"")</f>
        <v>6</v>
      </c>
      <c r="N46">
        <f>IF(L46=TRUE,DONNEES_SOURCE!$BW45,"")</f>
        <v>5.25</v>
      </c>
      <c r="O46">
        <f>IF(L46=TRUE,DONNEES_SOURCE!$BX45,"")</f>
        <v>4</v>
      </c>
      <c r="P46" t="str">
        <f t="shared" si="0"/>
        <v>Bas</v>
      </c>
      <c r="Q46">
        <v>44</v>
      </c>
      <c r="R46">
        <f>IF(L46=TRUE,DONNEES_SOURCE!$AX45,"")</f>
        <v>5</v>
      </c>
      <c r="S46">
        <f>IF(L46=TRUE,DONNEES_SOURCE!$AY45,"")</f>
        <v>5</v>
      </c>
    </row>
    <row r="47" spans="1:19" x14ac:dyDescent="0.25">
      <c r="L47" t="b">
        <f>DONNEES_SOURCE!$CA46</f>
        <v>1</v>
      </c>
      <c r="M47">
        <f>IF(L47=TRUE,DONNEES_SOURCE!$CB46,"")</f>
        <v>6</v>
      </c>
      <c r="N47">
        <f>IF(L47=TRUE,DONNEES_SOURCE!$BW46,"")</f>
        <v>5.5</v>
      </c>
      <c r="O47">
        <f>IF(L47=TRUE,DONNEES_SOURCE!$BX46,"")</f>
        <v>6.3333000000000004</v>
      </c>
      <c r="P47" t="str">
        <f t="shared" si="0"/>
        <v>Élevé</v>
      </c>
      <c r="Q47">
        <v>45</v>
      </c>
      <c r="R47">
        <f>IF(L47=TRUE,DONNEES_SOURCE!$AX46,"")</f>
        <v>7</v>
      </c>
      <c r="S47">
        <f>IF(L47=TRUE,DONNEES_SOURCE!$AY46,"")</f>
        <v>7</v>
      </c>
    </row>
    <row r="48" spans="1:19" x14ac:dyDescent="0.25">
      <c r="A48" s="71" t="s">
        <v>728</v>
      </c>
      <c r="L48" t="b">
        <f>DONNEES_SOURCE!$CA47</f>
        <v>1</v>
      </c>
      <c r="M48">
        <f>IF(L48=TRUE,DONNEES_SOURCE!$CB47,"")</f>
        <v>4</v>
      </c>
      <c r="N48">
        <f>IF(L48=TRUE,DONNEES_SOURCE!$BW47,"")</f>
        <v>5.5</v>
      </c>
      <c r="O48">
        <f>IF(L48=TRUE,DONNEES_SOURCE!$BX47,"")</f>
        <v>4.3333000000000004</v>
      </c>
      <c r="P48" t="str">
        <f t="shared" si="0"/>
        <v>Bas</v>
      </c>
      <c r="Q48">
        <v>46</v>
      </c>
      <c r="R48">
        <f>IF(L48=TRUE,DONNEES_SOURCE!$AX47,"")</f>
        <v>6</v>
      </c>
      <c r="S48">
        <f>IF(L48=TRUE,DONNEES_SOURCE!$AY47,"")</f>
        <v>5</v>
      </c>
    </row>
    <row r="49" spans="1:19" x14ac:dyDescent="0.25">
      <c r="A49" s="254" t="s">
        <v>879</v>
      </c>
      <c r="B49" s="254"/>
      <c r="C49" s="254"/>
      <c r="D49" s="254"/>
      <c r="E49" s="254"/>
      <c r="F49" s="254"/>
      <c r="G49" s="254"/>
      <c r="H49" s="254"/>
      <c r="I49" s="254"/>
      <c r="J49" s="254"/>
      <c r="L49" t="b">
        <f>DONNEES_SOURCE!$CA48</f>
        <v>1</v>
      </c>
      <c r="M49">
        <f>IF(L49=TRUE,DONNEES_SOURCE!$CB48,"")</f>
        <v>5</v>
      </c>
      <c r="N49">
        <f>IF(L49=TRUE,DONNEES_SOURCE!$BW48,"")</f>
        <v>6</v>
      </c>
      <c r="O49">
        <f>IF(L49=TRUE,DONNEES_SOURCE!$BX48,"")</f>
        <v>3.3332999999999999</v>
      </c>
      <c r="P49" t="str">
        <f t="shared" si="0"/>
        <v>Bas</v>
      </c>
      <c r="Q49">
        <v>47</v>
      </c>
      <c r="R49">
        <f>IF(L49=TRUE,DONNEES_SOURCE!$AX48,"")</f>
        <v>5</v>
      </c>
      <c r="S49">
        <f>IF(L49=TRUE,DONNEES_SOURCE!$AY48,"")</f>
        <v>4</v>
      </c>
    </row>
    <row r="50" spans="1:19" x14ac:dyDescent="0.25">
      <c r="L50" t="b">
        <f>DONNEES_SOURCE!$CA49</f>
        <v>1</v>
      </c>
      <c r="M50">
        <f>IF(L50=TRUE,DONNEES_SOURCE!$CB49,"")</f>
        <v>5</v>
      </c>
      <c r="N50">
        <f>IF(L50=TRUE,DONNEES_SOURCE!$BW49,"")</f>
        <v>5.25</v>
      </c>
      <c r="O50">
        <f>IF(L50=TRUE,DONNEES_SOURCE!$BX49,"")</f>
        <v>5.3333000000000004</v>
      </c>
      <c r="P50" t="str">
        <f t="shared" si="0"/>
        <v>Élevé</v>
      </c>
      <c r="Q50">
        <v>48</v>
      </c>
      <c r="R50">
        <f>IF(L50=TRUE,DONNEES_SOURCE!$AX49,"")</f>
        <v>6</v>
      </c>
      <c r="S50">
        <f>IF(L50=TRUE,DONNEES_SOURCE!$AY49,"")</f>
        <v>6</v>
      </c>
    </row>
    <row r="51" spans="1:19" x14ac:dyDescent="0.25">
      <c r="A51" s="309" t="s">
        <v>880</v>
      </c>
      <c r="B51" s="254"/>
      <c r="C51" s="254"/>
      <c r="D51" s="254"/>
      <c r="E51" s="254"/>
      <c r="F51" s="254"/>
      <c r="G51" s="254"/>
      <c r="H51" s="254"/>
      <c r="I51" s="254"/>
      <c r="J51" s="254"/>
      <c r="L51" t="b">
        <f>DONNEES_SOURCE!$CA50</f>
        <v>1</v>
      </c>
      <c r="M51">
        <f>IF(L51=TRUE,DONNEES_SOURCE!$CB50,"")</f>
        <v>5</v>
      </c>
      <c r="N51">
        <f>IF(L51=TRUE,DONNEES_SOURCE!$BW50,"")</f>
        <v>4.25</v>
      </c>
      <c r="O51">
        <f>IF(L51=TRUE,DONNEES_SOURCE!$BX50,"")</f>
        <v>5</v>
      </c>
      <c r="P51" t="str">
        <f t="shared" si="0"/>
        <v>Moyen</v>
      </c>
      <c r="Q51">
        <v>49</v>
      </c>
      <c r="R51">
        <f>IF(L51=TRUE,DONNEES_SOURCE!$AX50,"")</f>
        <v>5</v>
      </c>
      <c r="S51">
        <f>IF(L51=TRUE,DONNEES_SOURCE!$AY50,"")</f>
        <v>5</v>
      </c>
    </row>
    <row r="52" spans="1:19" x14ac:dyDescent="0.25">
      <c r="L52" t="b">
        <f>DONNEES_SOURCE!$CA51</f>
        <v>1</v>
      </c>
      <c r="M52">
        <f>IF(L52=TRUE,DONNEES_SOURCE!$CB51,"")</f>
        <v>5</v>
      </c>
      <c r="N52">
        <f>IF(L52=TRUE,DONNEES_SOURCE!$BW51,"")</f>
        <v>5.5</v>
      </c>
      <c r="O52">
        <f>IF(L52=TRUE,DONNEES_SOURCE!$BX51,"")</f>
        <v>4.6666999999999996</v>
      </c>
      <c r="P52" t="str">
        <f t="shared" si="0"/>
        <v>Moyen</v>
      </c>
      <c r="Q52">
        <v>50</v>
      </c>
      <c r="R52">
        <f>IF(L52=TRUE,DONNEES_SOURCE!$AX51,"")</f>
        <v>5</v>
      </c>
      <c r="S52">
        <f>IF(L52=TRUE,DONNEES_SOURCE!$AY51,"")</f>
        <v>5</v>
      </c>
    </row>
    <row r="53" spans="1:19" x14ac:dyDescent="0.25">
      <c r="L53" t="b">
        <f>DONNEES_SOURCE!$CA52</f>
        <v>1</v>
      </c>
      <c r="M53">
        <f>IF(L53=TRUE,DONNEES_SOURCE!$CB52,"")</f>
        <v>4</v>
      </c>
      <c r="N53">
        <f>IF(L53=TRUE,DONNEES_SOURCE!$BW52,"")</f>
        <v>6.25</v>
      </c>
      <c r="O53">
        <f>IF(L53=TRUE,DONNEES_SOURCE!$BX52,"")</f>
        <v>4.3333000000000004</v>
      </c>
      <c r="P53" t="str">
        <f t="shared" si="0"/>
        <v>Bas</v>
      </c>
      <c r="Q53">
        <v>51</v>
      </c>
      <c r="R53">
        <f>IF(L53=TRUE,DONNEES_SOURCE!$AX52,"")</f>
        <v>5</v>
      </c>
      <c r="S53">
        <f>IF(L53=TRUE,DONNEES_SOURCE!$AY52,"")</f>
        <v>5</v>
      </c>
    </row>
    <row r="54" spans="1:19" x14ac:dyDescent="0.25">
      <c r="L54" t="b">
        <f>DONNEES_SOURCE!$CA53</f>
        <v>1</v>
      </c>
      <c r="M54">
        <f>IF(L54=TRUE,DONNEES_SOURCE!$CB53,"")</f>
        <v>7</v>
      </c>
      <c r="N54">
        <f>IF(L54=TRUE,DONNEES_SOURCE!$BW53,"")</f>
        <v>5.5</v>
      </c>
      <c r="O54">
        <f>IF(L54=TRUE,DONNEES_SOURCE!$BX53,"")</f>
        <v>4.6666999999999996</v>
      </c>
      <c r="P54" t="str">
        <f t="shared" si="0"/>
        <v>Moyen</v>
      </c>
      <c r="Q54">
        <v>52</v>
      </c>
      <c r="R54">
        <f>IF(L54=TRUE,DONNEES_SOURCE!$AX53,"")</f>
        <v>6</v>
      </c>
      <c r="S54">
        <f>IF(L54=TRUE,DONNEES_SOURCE!$AY53,"")</f>
        <v>5</v>
      </c>
    </row>
    <row r="55" spans="1:19" x14ac:dyDescent="0.25">
      <c r="L55" t="b">
        <f>DONNEES_SOURCE!$CA54</f>
        <v>1</v>
      </c>
      <c r="M55">
        <f>IF(L55=TRUE,DONNEES_SOURCE!$CB54,"")</f>
        <v>7</v>
      </c>
      <c r="N55">
        <f>IF(L55=TRUE,DONNEES_SOURCE!$BW54,"")</f>
        <v>4.75</v>
      </c>
      <c r="O55">
        <f>IF(L55=TRUE,DONNEES_SOURCE!$BX54,"")</f>
        <v>4.6666999999999996</v>
      </c>
      <c r="P55" t="str">
        <f t="shared" si="0"/>
        <v>Moyen</v>
      </c>
      <c r="Q55">
        <v>53</v>
      </c>
      <c r="R55">
        <f>IF(L55=TRUE,DONNEES_SOURCE!$AX54,"")</f>
        <v>5</v>
      </c>
      <c r="S55">
        <f>IF(L55=TRUE,DONNEES_SOURCE!$AY54,"")</f>
        <v>5</v>
      </c>
    </row>
    <row r="56" spans="1:19" x14ac:dyDescent="0.25">
      <c r="L56" t="b">
        <f>DONNEES_SOURCE!$CA55</f>
        <v>1</v>
      </c>
      <c r="M56">
        <f>IF(L56=TRUE,DONNEES_SOURCE!$CB55,"")</f>
        <v>5</v>
      </c>
      <c r="N56">
        <f>IF(L56=TRUE,DONNEES_SOURCE!$BW55,"")</f>
        <v>4.5</v>
      </c>
      <c r="O56">
        <f>IF(L56=TRUE,DONNEES_SOURCE!$BX55,"")</f>
        <v>6</v>
      </c>
      <c r="P56" t="str">
        <f t="shared" si="0"/>
        <v>Élevé</v>
      </c>
      <c r="Q56">
        <v>54</v>
      </c>
      <c r="R56">
        <f>IF(L56=TRUE,DONNEES_SOURCE!$AX55,"")</f>
        <v>7</v>
      </c>
      <c r="S56">
        <f>IF(L56=TRUE,DONNEES_SOURCE!$AY55,"")</f>
        <v>6</v>
      </c>
    </row>
    <row r="57" spans="1:19" x14ac:dyDescent="0.25">
      <c r="L57" t="b">
        <f>DONNEES_SOURCE!$CA56</f>
        <v>1</v>
      </c>
      <c r="M57">
        <f>IF(L57=TRUE,DONNEES_SOURCE!$CB56,"")</f>
        <v>5</v>
      </c>
      <c r="N57">
        <f>IF(L57=TRUE,DONNEES_SOURCE!$BW56,"")</f>
        <v>4.25</v>
      </c>
      <c r="O57">
        <f>IF(L57=TRUE,DONNEES_SOURCE!$BX56,"")</f>
        <v>5</v>
      </c>
      <c r="P57" t="str">
        <f t="shared" si="0"/>
        <v>Moyen</v>
      </c>
      <c r="Q57">
        <v>55</v>
      </c>
      <c r="R57">
        <f>IF(L57=TRUE,DONNEES_SOURCE!$AX56,"")</f>
        <v>5</v>
      </c>
      <c r="S57">
        <f>IF(L57=TRUE,DONNEES_SOURCE!$AY56,"")</f>
        <v>5</v>
      </c>
    </row>
    <row r="58" spans="1:19" x14ac:dyDescent="0.25">
      <c r="L58" t="b">
        <f>DONNEES_SOURCE!$CA57</f>
        <v>1</v>
      </c>
      <c r="M58">
        <f>IF(L58=TRUE,DONNEES_SOURCE!$CB57,"")</f>
        <v>6</v>
      </c>
      <c r="N58">
        <f>IF(L58=TRUE,DONNEES_SOURCE!$BW57,"")</f>
        <v>5.75</v>
      </c>
      <c r="O58">
        <f>IF(L58=TRUE,DONNEES_SOURCE!$BX57,"")</f>
        <v>4.6666999999999996</v>
      </c>
      <c r="P58" t="str">
        <f t="shared" si="0"/>
        <v>Moyen</v>
      </c>
      <c r="Q58">
        <v>56</v>
      </c>
      <c r="R58">
        <f>IF(L58=TRUE,DONNEES_SOURCE!$AX57,"")</f>
        <v>5</v>
      </c>
      <c r="S58">
        <f>IF(L58=TRUE,DONNEES_SOURCE!$AY57,"")</f>
        <v>5</v>
      </c>
    </row>
    <row r="59" spans="1:19" x14ac:dyDescent="0.25">
      <c r="L59" t="b">
        <f>DONNEES_SOURCE!$CA58</f>
        <v>1</v>
      </c>
      <c r="M59">
        <f>IF(L59=TRUE,DONNEES_SOURCE!$CB58,"")</f>
        <v>5</v>
      </c>
      <c r="N59">
        <f>IF(L59=TRUE,DONNEES_SOURCE!$BW58,"")</f>
        <v>6.5</v>
      </c>
      <c r="O59">
        <f>IF(L59=TRUE,DONNEES_SOURCE!$BX58,"")</f>
        <v>4.6666999999999996</v>
      </c>
      <c r="P59" t="str">
        <f t="shared" si="0"/>
        <v>Moyen</v>
      </c>
      <c r="Q59">
        <v>57</v>
      </c>
      <c r="R59">
        <f>IF(L59=TRUE,DONNEES_SOURCE!$AX58,"")</f>
        <v>6</v>
      </c>
      <c r="S59">
        <f>IF(L59=TRUE,DONNEES_SOURCE!$AY58,"")</f>
        <v>5</v>
      </c>
    </row>
    <row r="60" spans="1:19" x14ac:dyDescent="0.25">
      <c r="L60" t="b">
        <f>DONNEES_SOURCE!$CA59</f>
        <v>1</v>
      </c>
      <c r="M60">
        <f>IF(L60=TRUE,DONNEES_SOURCE!$CB59,"")</f>
        <v>4</v>
      </c>
      <c r="N60">
        <f>IF(L60=TRUE,DONNEES_SOURCE!$BW59,"")</f>
        <v>6.5</v>
      </c>
      <c r="O60">
        <f>IF(L60=TRUE,DONNEES_SOURCE!$BX59,"")</f>
        <v>4</v>
      </c>
      <c r="P60" t="str">
        <f t="shared" si="0"/>
        <v>Bas</v>
      </c>
      <c r="Q60">
        <v>58</v>
      </c>
      <c r="R60">
        <f>IF(L60=TRUE,DONNEES_SOURCE!$AX59,"")</f>
        <v>5</v>
      </c>
      <c r="S60">
        <f>IF(L60=TRUE,DONNEES_SOURCE!$AY59,"")</f>
        <v>5</v>
      </c>
    </row>
    <row r="61" spans="1:19" x14ac:dyDescent="0.25">
      <c r="L61" t="b">
        <f>DONNEES_SOURCE!$CA60</f>
        <v>1</v>
      </c>
      <c r="M61">
        <f>IF(L61=TRUE,DONNEES_SOURCE!$CB60,"")</f>
        <v>6</v>
      </c>
      <c r="N61">
        <f>IF(L61=TRUE,DONNEES_SOURCE!$BW60,"")</f>
        <v>4.75</v>
      </c>
      <c r="O61">
        <f>IF(L61=TRUE,DONNEES_SOURCE!$BX60,"")</f>
        <v>7</v>
      </c>
      <c r="P61" t="str">
        <f t="shared" si="0"/>
        <v>Élevé</v>
      </c>
      <c r="Q61">
        <v>59</v>
      </c>
      <c r="R61">
        <f>IF(L61=TRUE,DONNEES_SOURCE!$AX60,"")</f>
        <v>7</v>
      </c>
      <c r="S61">
        <f>IF(L61=TRUE,DONNEES_SOURCE!$AY60,"")</f>
        <v>7</v>
      </c>
    </row>
    <row r="62" spans="1:19" x14ac:dyDescent="0.25">
      <c r="L62" t="b">
        <f>DONNEES_SOURCE!$CA61</f>
        <v>1</v>
      </c>
      <c r="M62">
        <f>IF(L62=TRUE,DONNEES_SOURCE!$CB61,"")</f>
        <v>5</v>
      </c>
      <c r="N62">
        <f>IF(L62=TRUE,DONNEES_SOURCE!$BW61,"")</f>
        <v>5.75</v>
      </c>
      <c r="O62">
        <f>IF(L62=TRUE,DONNEES_SOURCE!$BX61,"")</f>
        <v>4.6666999999999996</v>
      </c>
      <c r="P62" t="str">
        <f t="shared" si="0"/>
        <v>Moyen</v>
      </c>
      <c r="Q62">
        <v>60</v>
      </c>
      <c r="R62">
        <f>IF(L62=TRUE,DONNEES_SOURCE!$AX61,"")</f>
        <v>6</v>
      </c>
      <c r="S62">
        <f>IF(L62=TRUE,DONNEES_SOURCE!$AY61,"")</f>
        <v>5</v>
      </c>
    </row>
    <row r="63" spans="1:19" x14ac:dyDescent="0.25">
      <c r="L63" t="b">
        <f>DONNEES_SOURCE!$CA62</f>
        <v>1</v>
      </c>
      <c r="M63">
        <f>IF(L63=TRUE,DONNEES_SOURCE!$CB62,"")</f>
        <v>4</v>
      </c>
      <c r="N63">
        <f>IF(L63=TRUE,DONNEES_SOURCE!$BW62,"")</f>
        <v>5.25</v>
      </c>
      <c r="O63">
        <f>IF(L63=TRUE,DONNEES_SOURCE!$BX62,"")</f>
        <v>5.3333000000000004</v>
      </c>
      <c r="P63" t="str">
        <f t="shared" si="0"/>
        <v>Élevé</v>
      </c>
      <c r="Q63">
        <v>61</v>
      </c>
      <c r="R63">
        <f>IF(L63=TRUE,DONNEES_SOURCE!$AX62,"")</f>
        <v>6</v>
      </c>
      <c r="S63">
        <f>IF(L63=TRUE,DONNEES_SOURCE!$AY62,"")</f>
        <v>6</v>
      </c>
    </row>
    <row r="64" spans="1:19" x14ac:dyDescent="0.25">
      <c r="L64" t="b">
        <f>DONNEES_SOURCE!$CA63</f>
        <v>1</v>
      </c>
      <c r="M64">
        <f>IF(L64=TRUE,DONNEES_SOURCE!$CB63,"")</f>
        <v>5</v>
      </c>
      <c r="N64">
        <f>IF(L64=TRUE,DONNEES_SOURCE!$BW63,"")</f>
        <v>7</v>
      </c>
      <c r="O64">
        <f>IF(L64=TRUE,DONNEES_SOURCE!$BX63,"")</f>
        <v>2.3332999999999999</v>
      </c>
      <c r="P64" t="str">
        <f t="shared" si="0"/>
        <v>Bas</v>
      </c>
      <c r="Q64">
        <v>62</v>
      </c>
      <c r="R64">
        <f>IF(L64=TRUE,DONNEES_SOURCE!$AX63,"")</f>
        <v>2</v>
      </c>
      <c r="S64">
        <f>IF(L64=TRUE,DONNEES_SOURCE!$AY63,"")</f>
        <v>2</v>
      </c>
    </row>
    <row r="65" spans="12:19" x14ac:dyDescent="0.25">
      <c r="L65" t="b">
        <f>DONNEES_SOURCE!$CA64</f>
        <v>1</v>
      </c>
      <c r="M65">
        <f>IF(L65=TRUE,DONNEES_SOURCE!$CB64,"")</f>
        <v>3</v>
      </c>
      <c r="N65">
        <f>IF(L65=TRUE,DONNEES_SOURCE!$BW64,"")</f>
        <v>6.5</v>
      </c>
      <c r="O65">
        <f>IF(L65=TRUE,DONNEES_SOURCE!$BX64,"")</f>
        <v>4.6666999999999996</v>
      </c>
      <c r="P65" t="str">
        <f t="shared" si="0"/>
        <v>Moyen</v>
      </c>
      <c r="Q65">
        <v>63</v>
      </c>
      <c r="R65">
        <f>IF(L65=TRUE,DONNEES_SOURCE!$AX64,"")</f>
        <v>4</v>
      </c>
      <c r="S65">
        <f>IF(L65=TRUE,DONNEES_SOURCE!$AY64,"")</f>
        <v>6</v>
      </c>
    </row>
    <row r="66" spans="12:19" x14ac:dyDescent="0.25">
      <c r="L66" t="b">
        <f>DONNEES_SOURCE!$CA65</f>
        <v>1</v>
      </c>
      <c r="M66">
        <f>IF(L66=TRUE,DONNEES_SOURCE!$CB65,"")</f>
        <v>5</v>
      </c>
      <c r="N66">
        <f>IF(L66=TRUE,DONNEES_SOURCE!$BW65,"")</f>
        <v>5.25</v>
      </c>
      <c r="O66">
        <f>IF(L66=TRUE,DONNEES_SOURCE!$BX65,"")</f>
        <v>4.3333000000000004</v>
      </c>
      <c r="P66" t="str">
        <f t="shared" si="0"/>
        <v>Bas</v>
      </c>
      <c r="Q66">
        <v>64</v>
      </c>
      <c r="R66">
        <f>IF(L66=TRUE,DONNEES_SOURCE!$AX65,"")</f>
        <v>6</v>
      </c>
      <c r="S66">
        <f>IF(L66=TRUE,DONNEES_SOURCE!$AY65,"")</f>
        <v>6</v>
      </c>
    </row>
    <row r="67" spans="12:19" x14ac:dyDescent="0.25">
      <c r="L67" t="b">
        <f>DONNEES_SOURCE!$CA66</f>
        <v>1</v>
      </c>
      <c r="M67">
        <f>IF(L67=TRUE,DONNEES_SOURCE!$CB66,"")</f>
        <v>5</v>
      </c>
      <c r="N67">
        <f>IF(L67=TRUE,DONNEES_SOURCE!$BW66,"")</f>
        <v>6</v>
      </c>
      <c r="O67">
        <f>IF(L67=TRUE,DONNEES_SOURCE!$BX66,"")</f>
        <v>4</v>
      </c>
      <c r="P67" t="str">
        <f t="shared" si="0"/>
        <v>Bas</v>
      </c>
      <c r="Q67">
        <v>65</v>
      </c>
      <c r="R67">
        <f>IF(L67=TRUE,DONNEES_SOURCE!$AX66,"")</f>
        <v>4</v>
      </c>
      <c r="S67">
        <f>IF(L67=TRUE,DONNEES_SOURCE!$AY66,"")</f>
        <v>4</v>
      </c>
    </row>
    <row r="68" spans="12:19" x14ac:dyDescent="0.25">
      <c r="L68" t="b">
        <f>DONNEES_SOURCE!$CA67</f>
        <v>1</v>
      </c>
      <c r="M68">
        <f>IF(L68=TRUE,DONNEES_SOURCE!$CB67,"")</f>
        <v>4</v>
      </c>
      <c r="N68">
        <f>IF(L68=TRUE,DONNEES_SOURCE!$BW67,"")</f>
        <v>5.5</v>
      </c>
      <c r="O68">
        <f>IF(L68=TRUE,DONNEES_SOURCE!$BX67,"")</f>
        <v>3.6667000000000001</v>
      </c>
      <c r="P68" t="str">
        <f t="shared" ref="P68:P102" si="1">IF(L68&lt;&gt;TRUE,"",IF(O68&lt;$B$7,"Bas",IF(O68&lt;=$B$8,"Moyen","Élevé")))</f>
        <v>Bas</v>
      </c>
      <c r="Q68">
        <v>66</v>
      </c>
      <c r="R68">
        <f>IF(L68=TRUE,DONNEES_SOURCE!$AX67,"")</f>
        <v>5</v>
      </c>
      <c r="S68">
        <f>IF(L68=TRUE,DONNEES_SOURCE!$AY67,"")</f>
        <v>4</v>
      </c>
    </row>
    <row r="69" spans="12:19" x14ac:dyDescent="0.25">
      <c r="L69" t="b">
        <f>DONNEES_SOURCE!$CA68</f>
        <v>1</v>
      </c>
      <c r="M69">
        <f>IF(L69=TRUE,DONNEES_SOURCE!$CB68,"")</f>
        <v>6</v>
      </c>
      <c r="N69">
        <f>IF(L69=TRUE,DONNEES_SOURCE!$BW68,"")</f>
        <v>6.25</v>
      </c>
      <c r="O69">
        <f>IF(L69=TRUE,DONNEES_SOURCE!$BX68,"")</f>
        <v>5.3333000000000004</v>
      </c>
      <c r="P69" t="str">
        <f t="shared" si="1"/>
        <v>Élevé</v>
      </c>
      <c r="Q69">
        <v>67</v>
      </c>
      <c r="R69">
        <f>IF(L69=TRUE,DONNEES_SOURCE!$AX68,"")</f>
        <v>7</v>
      </c>
      <c r="S69">
        <f>IF(L69=TRUE,DONNEES_SOURCE!$AY68,"")</f>
        <v>7</v>
      </c>
    </row>
    <row r="70" spans="12:19" x14ac:dyDescent="0.25">
      <c r="L70">
        <f>DONNEES_SOURCE!$CA69</f>
        <v>0</v>
      </c>
      <c r="M70" t="str">
        <f>IF(L70=TRUE,DONNEES_SOURCE!$CB69,"")</f>
        <v/>
      </c>
      <c r="N70" t="str">
        <f>IF(L70=TRUE,DONNEES_SOURCE!$BW69,"")</f>
        <v/>
      </c>
      <c r="O70" t="str">
        <f>IF(L70=TRUE,DONNEES_SOURCE!$BX69,"")</f>
        <v/>
      </c>
      <c r="P70" t="str">
        <f t="shared" si="1"/>
        <v/>
      </c>
      <c r="Q70">
        <v>68</v>
      </c>
      <c r="R70" t="str">
        <f>IF(L70=TRUE,DONNEES_SOURCE!$AX69,"")</f>
        <v/>
      </c>
      <c r="S70" t="str">
        <f>IF(L70=TRUE,DONNEES_SOURCE!$AY69,"")</f>
        <v/>
      </c>
    </row>
    <row r="71" spans="12:19" x14ac:dyDescent="0.25">
      <c r="L71">
        <f>DONNEES_SOURCE!$CA70</f>
        <v>0</v>
      </c>
      <c r="M71" t="str">
        <f>IF(L71=TRUE,DONNEES_SOURCE!$CB70,"")</f>
        <v/>
      </c>
      <c r="N71" t="str">
        <f>IF(L71=TRUE,DONNEES_SOURCE!$BW70,"")</f>
        <v/>
      </c>
      <c r="O71" t="str">
        <f>IF(L71=TRUE,DONNEES_SOURCE!$BX70,"")</f>
        <v/>
      </c>
      <c r="P71" t="str">
        <f t="shared" si="1"/>
        <v/>
      </c>
      <c r="Q71">
        <v>69</v>
      </c>
      <c r="R71" t="str">
        <f>IF(L71=TRUE,DONNEES_SOURCE!$AX70,"")</f>
        <v/>
      </c>
      <c r="S71" t="str">
        <f>IF(L71=TRUE,DONNEES_SOURCE!$AY70,"")</f>
        <v/>
      </c>
    </row>
    <row r="72" spans="12:19" x14ac:dyDescent="0.25">
      <c r="L72">
        <f>DONNEES_SOURCE!$CA71</f>
        <v>0</v>
      </c>
      <c r="M72" t="str">
        <f>IF(L72=TRUE,DONNEES_SOURCE!$CB71,"")</f>
        <v/>
      </c>
      <c r="N72" t="str">
        <f>IF(L72=TRUE,DONNEES_SOURCE!$BW71,"")</f>
        <v/>
      </c>
      <c r="O72" t="str">
        <f>IF(L72=TRUE,DONNEES_SOURCE!$BX71,"")</f>
        <v/>
      </c>
      <c r="P72" t="str">
        <f t="shared" si="1"/>
        <v/>
      </c>
      <c r="Q72">
        <v>70</v>
      </c>
      <c r="R72" t="str">
        <f>IF(L72=TRUE,DONNEES_SOURCE!$AX71,"")</f>
        <v/>
      </c>
      <c r="S72" t="str">
        <f>IF(L72=TRUE,DONNEES_SOURCE!$AY71,"")</f>
        <v/>
      </c>
    </row>
    <row r="73" spans="12:19" x14ac:dyDescent="0.25">
      <c r="L73">
        <f>DONNEES_SOURCE!$CA72</f>
        <v>0</v>
      </c>
      <c r="M73" t="str">
        <f>IF(L73=TRUE,DONNEES_SOURCE!$CB72,"")</f>
        <v/>
      </c>
      <c r="N73" t="str">
        <f>IF(L73=TRUE,DONNEES_SOURCE!$BW72,"")</f>
        <v/>
      </c>
      <c r="O73" t="str">
        <f>IF(L73=TRUE,DONNEES_SOURCE!$BX72,"")</f>
        <v/>
      </c>
      <c r="P73" t="str">
        <f t="shared" si="1"/>
        <v/>
      </c>
      <c r="Q73">
        <v>71</v>
      </c>
      <c r="R73" t="str">
        <f>IF(L73=TRUE,DONNEES_SOURCE!$AX72,"")</f>
        <v/>
      </c>
      <c r="S73" t="str">
        <f>IF(L73=TRUE,DONNEES_SOURCE!$AY72,"")</f>
        <v/>
      </c>
    </row>
    <row r="74" spans="12:19" x14ac:dyDescent="0.25">
      <c r="L74">
        <f>DONNEES_SOURCE!$CA73</f>
        <v>0</v>
      </c>
      <c r="M74" t="str">
        <f>IF(L74=TRUE,DONNEES_SOURCE!$CB73,"")</f>
        <v/>
      </c>
      <c r="N74" t="str">
        <f>IF(L74=TRUE,DONNEES_SOURCE!$BW73,"")</f>
        <v/>
      </c>
      <c r="O74" t="str">
        <f>IF(L74=TRUE,DONNEES_SOURCE!$BX73,"")</f>
        <v/>
      </c>
      <c r="P74" t="str">
        <f t="shared" si="1"/>
        <v/>
      </c>
      <c r="Q74">
        <v>72</v>
      </c>
      <c r="R74" t="str">
        <f>IF(L74=TRUE,DONNEES_SOURCE!$AX73,"")</f>
        <v/>
      </c>
      <c r="S74" t="str">
        <f>IF(L74=TRUE,DONNEES_SOURCE!$AY73,"")</f>
        <v/>
      </c>
    </row>
    <row r="75" spans="12:19" x14ac:dyDescent="0.25">
      <c r="L75">
        <f>DONNEES_SOURCE!$CA74</f>
        <v>0</v>
      </c>
      <c r="M75" t="str">
        <f>IF(L75=TRUE,DONNEES_SOURCE!$CB74,"")</f>
        <v/>
      </c>
      <c r="N75" t="str">
        <f>IF(L75=TRUE,DONNEES_SOURCE!$BW74,"")</f>
        <v/>
      </c>
      <c r="O75" t="str">
        <f>IF(L75=TRUE,DONNEES_SOURCE!$BX74,"")</f>
        <v/>
      </c>
      <c r="P75" t="str">
        <f t="shared" si="1"/>
        <v/>
      </c>
      <c r="Q75">
        <v>73</v>
      </c>
      <c r="R75" t="str">
        <f>IF(L75=TRUE,DONNEES_SOURCE!$AX74,"")</f>
        <v/>
      </c>
      <c r="S75" t="str">
        <f>IF(L75=TRUE,DONNEES_SOURCE!$AY74,"")</f>
        <v/>
      </c>
    </row>
    <row r="76" spans="12:19" x14ac:dyDescent="0.25">
      <c r="L76">
        <f>DONNEES_SOURCE!$CA75</f>
        <v>0</v>
      </c>
      <c r="M76" t="str">
        <f>IF(L76=TRUE,DONNEES_SOURCE!$CB75,"")</f>
        <v/>
      </c>
      <c r="N76" t="str">
        <f>IF(L76=TRUE,DONNEES_SOURCE!$BW75,"")</f>
        <v/>
      </c>
      <c r="O76" t="str">
        <f>IF(L76=TRUE,DONNEES_SOURCE!$BX75,"")</f>
        <v/>
      </c>
      <c r="P76" t="str">
        <f t="shared" si="1"/>
        <v/>
      </c>
      <c r="Q76">
        <v>74</v>
      </c>
      <c r="R76" t="str">
        <f>IF(L76=TRUE,DONNEES_SOURCE!$AX75,"")</f>
        <v/>
      </c>
      <c r="S76" t="str">
        <f>IF(L76=TRUE,DONNEES_SOURCE!$AY75,"")</f>
        <v/>
      </c>
    </row>
    <row r="77" spans="12:19" x14ac:dyDescent="0.25">
      <c r="L77">
        <f>DONNEES_SOURCE!$CA76</f>
        <v>0</v>
      </c>
      <c r="M77" t="str">
        <f>IF(L77=TRUE,DONNEES_SOURCE!$CB76,"")</f>
        <v/>
      </c>
      <c r="N77" t="str">
        <f>IF(L77=TRUE,DONNEES_SOURCE!$BW76,"")</f>
        <v/>
      </c>
      <c r="O77" t="str">
        <f>IF(L77=TRUE,DONNEES_SOURCE!$BX76,"")</f>
        <v/>
      </c>
      <c r="P77" t="str">
        <f t="shared" si="1"/>
        <v/>
      </c>
      <c r="Q77">
        <v>75</v>
      </c>
      <c r="R77" t="str">
        <f>IF(L77=TRUE,DONNEES_SOURCE!$AX76,"")</f>
        <v/>
      </c>
      <c r="S77" t="str">
        <f>IF(L77=TRUE,DONNEES_SOURCE!$AY76,"")</f>
        <v/>
      </c>
    </row>
    <row r="78" spans="12:19" x14ac:dyDescent="0.25">
      <c r="L78">
        <f>DONNEES_SOURCE!$CA77</f>
        <v>0</v>
      </c>
      <c r="M78" t="str">
        <f>IF(L78=TRUE,DONNEES_SOURCE!$CB77,"")</f>
        <v/>
      </c>
      <c r="N78" t="str">
        <f>IF(L78=TRUE,DONNEES_SOURCE!$BW77,"")</f>
        <v/>
      </c>
      <c r="O78" t="str">
        <f>IF(L78=TRUE,DONNEES_SOURCE!$BX77,"")</f>
        <v/>
      </c>
      <c r="P78" t="str">
        <f t="shared" si="1"/>
        <v/>
      </c>
      <c r="Q78">
        <v>76</v>
      </c>
      <c r="R78" t="str">
        <f>IF(L78=TRUE,DONNEES_SOURCE!$AX77,"")</f>
        <v/>
      </c>
      <c r="S78" t="str">
        <f>IF(L78=TRUE,DONNEES_SOURCE!$AY77,"")</f>
        <v/>
      </c>
    </row>
    <row r="79" spans="12:19" x14ac:dyDescent="0.25">
      <c r="L79">
        <f>DONNEES_SOURCE!$CA78</f>
        <v>0</v>
      </c>
      <c r="M79" t="str">
        <f>IF(L79=TRUE,DONNEES_SOURCE!$CB78,"")</f>
        <v/>
      </c>
      <c r="N79" t="str">
        <f>IF(L79=TRUE,DONNEES_SOURCE!$BW78,"")</f>
        <v/>
      </c>
      <c r="O79" t="str">
        <f>IF(L79=TRUE,DONNEES_SOURCE!$BX78,"")</f>
        <v/>
      </c>
      <c r="P79" t="str">
        <f t="shared" si="1"/>
        <v/>
      </c>
      <c r="Q79">
        <v>77</v>
      </c>
      <c r="R79" t="str">
        <f>IF(L79=TRUE,DONNEES_SOURCE!$AX78,"")</f>
        <v/>
      </c>
      <c r="S79" t="str">
        <f>IF(L79=TRUE,DONNEES_SOURCE!$AY78,"")</f>
        <v/>
      </c>
    </row>
    <row r="80" spans="12:19" x14ac:dyDescent="0.25">
      <c r="L80">
        <f>DONNEES_SOURCE!$CA79</f>
        <v>0</v>
      </c>
      <c r="M80" t="str">
        <f>IF(L80=TRUE,DONNEES_SOURCE!$CB79,"")</f>
        <v/>
      </c>
      <c r="N80" t="str">
        <f>IF(L80=TRUE,DONNEES_SOURCE!$BW79,"")</f>
        <v/>
      </c>
      <c r="O80" t="str">
        <f>IF(L80=TRUE,DONNEES_SOURCE!$BX79,"")</f>
        <v/>
      </c>
      <c r="P80" t="str">
        <f t="shared" si="1"/>
        <v/>
      </c>
      <c r="Q80">
        <v>78</v>
      </c>
      <c r="R80" t="str">
        <f>IF(L80=TRUE,DONNEES_SOURCE!$AX79,"")</f>
        <v/>
      </c>
      <c r="S80" t="str">
        <f>IF(L80=TRUE,DONNEES_SOURCE!$AY79,"")</f>
        <v/>
      </c>
    </row>
    <row r="81" spans="12:19" x14ac:dyDescent="0.25">
      <c r="L81">
        <f>DONNEES_SOURCE!$CA80</f>
        <v>0</v>
      </c>
      <c r="M81" t="str">
        <f>IF(L81=TRUE,DONNEES_SOURCE!$CB80,"")</f>
        <v/>
      </c>
      <c r="N81" t="str">
        <f>IF(L81=TRUE,DONNEES_SOURCE!$BW80,"")</f>
        <v/>
      </c>
      <c r="O81" t="str">
        <f>IF(L81=TRUE,DONNEES_SOURCE!$BX80,"")</f>
        <v/>
      </c>
      <c r="P81" t="str">
        <f t="shared" si="1"/>
        <v/>
      </c>
      <c r="Q81">
        <v>79</v>
      </c>
      <c r="R81" t="str">
        <f>IF(L81=TRUE,DONNEES_SOURCE!$AX80,"")</f>
        <v/>
      </c>
      <c r="S81" t="str">
        <f>IF(L81=TRUE,DONNEES_SOURCE!$AY80,"")</f>
        <v/>
      </c>
    </row>
    <row r="82" spans="12:19" x14ac:dyDescent="0.25">
      <c r="L82">
        <f>DONNEES_SOURCE!$CA81</f>
        <v>0</v>
      </c>
      <c r="M82" t="str">
        <f>IF(L82=TRUE,DONNEES_SOURCE!$CB81,"")</f>
        <v/>
      </c>
      <c r="N82" t="str">
        <f>IF(L82=TRUE,DONNEES_SOURCE!$BW81,"")</f>
        <v/>
      </c>
      <c r="O82" t="str">
        <f>IF(L82=TRUE,DONNEES_SOURCE!$BX81,"")</f>
        <v/>
      </c>
      <c r="P82" t="str">
        <f t="shared" si="1"/>
        <v/>
      </c>
      <c r="Q82">
        <v>80</v>
      </c>
      <c r="R82" t="str">
        <f>IF(L82=TRUE,DONNEES_SOURCE!$AX81,"")</f>
        <v/>
      </c>
      <c r="S82" t="str">
        <f>IF(L82=TRUE,DONNEES_SOURCE!$AY81,"")</f>
        <v/>
      </c>
    </row>
    <row r="83" spans="12:19" x14ac:dyDescent="0.25">
      <c r="L83">
        <f>DONNEES_SOURCE!$CA82</f>
        <v>0</v>
      </c>
      <c r="M83" t="str">
        <f>IF(L83=TRUE,DONNEES_SOURCE!$CB82,"")</f>
        <v/>
      </c>
      <c r="N83" t="str">
        <f>IF(L83=TRUE,DONNEES_SOURCE!$BW82,"")</f>
        <v/>
      </c>
      <c r="O83" t="str">
        <f>IF(L83=TRUE,DONNEES_SOURCE!$BX82,"")</f>
        <v/>
      </c>
      <c r="P83" t="str">
        <f t="shared" si="1"/>
        <v/>
      </c>
      <c r="Q83">
        <v>81</v>
      </c>
      <c r="R83" t="str">
        <f>IF(L83=TRUE,DONNEES_SOURCE!$AX82,"")</f>
        <v/>
      </c>
      <c r="S83" t="str">
        <f>IF(L83=TRUE,DONNEES_SOURCE!$AY82,"")</f>
        <v/>
      </c>
    </row>
    <row r="84" spans="12:19" x14ac:dyDescent="0.25">
      <c r="L84">
        <f>DONNEES_SOURCE!$CA83</f>
        <v>0</v>
      </c>
      <c r="M84" t="str">
        <f>IF(L84=TRUE,DONNEES_SOURCE!$CB83,"")</f>
        <v/>
      </c>
      <c r="N84" t="str">
        <f>IF(L84=TRUE,DONNEES_SOURCE!$BW83,"")</f>
        <v/>
      </c>
      <c r="O84" t="str">
        <f>IF(L84=TRUE,DONNEES_SOURCE!$BX83,"")</f>
        <v/>
      </c>
      <c r="P84" t="str">
        <f t="shared" si="1"/>
        <v/>
      </c>
      <c r="Q84">
        <v>82</v>
      </c>
      <c r="R84" t="str">
        <f>IF(L84=TRUE,DONNEES_SOURCE!$AX83,"")</f>
        <v/>
      </c>
      <c r="S84" t="str">
        <f>IF(L84=TRUE,DONNEES_SOURCE!$AY83,"")</f>
        <v/>
      </c>
    </row>
    <row r="85" spans="12:19" x14ac:dyDescent="0.25">
      <c r="L85">
        <f>DONNEES_SOURCE!$CA84</f>
        <v>0</v>
      </c>
      <c r="M85" t="str">
        <f>IF(L85=TRUE,DONNEES_SOURCE!$CB84,"")</f>
        <v/>
      </c>
      <c r="N85" t="str">
        <f>IF(L85=TRUE,DONNEES_SOURCE!$BW84,"")</f>
        <v/>
      </c>
      <c r="O85" t="str">
        <f>IF(L85=TRUE,DONNEES_SOURCE!$BX84,"")</f>
        <v/>
      </c>
      <c r="P85" t="str">
        <f t="shared" si="1"/>
        <v/>
      </c>
      <c r="Q85">
        <v>83</v>
      </c>
      <c r="R85" t="str">
        <f>IF(L85=TRUE,DONNEES_SOURCE!$AX84,"")</f>
        <v/>
      </c>
      <c r="S85" t="str">
        <f>IF(L85=TRUE,DONNEES_SOURCE!$AY84,"")</f>
        <v/>
      </c>
    </row>
    <row r="86" spans="12:19" x14ac:dyDescent="0.25">
      <c r="L86">
        <f>DONNEES_SOURCE!$CA85</f>
        <v>0</v>
      </c>
      <c r="M86" t="str">
        <f>IF(L86=TRUE,DONNEES_SOURCE!$CB85,"")</f>
        <v/>
      </c>
      <c r="N86" t="str">
        <f>IF(L86=TRUE,DONNEES_SOURCE!$BW85,"")</f>
        <v/>
      </c>
      <c r="O86" t="str">
        <f>IF(L86=TRUE,DONNEES_SOURCE!$BX85,"")</f>
        <v/>
      </c>
      <c r="P86" t="str">
        <f t="shared" si="1"/>
        <v/>
      </c>
      <c r="Q86">
        <v>84</v>
      </c>
      <c r="R86" t="str">
        <f>IF(L86=TRUE,DONNEES_SOURCE!$AX85,"")</f>
        <v/>
      </c>
      <c r="S86" t="str">
        <f>IF(L86=TRUE,DONNEES_SOURCE!$AY85,"")</f>
        <v/>
      </c>
    </row>
    <row r="87" spans="12:19" x14ac:dyDescent="0.25">
      <c r="L87">
        <f>DONNEES_SOURCE!$CA86</f>
        <v>0</v>
      </c>
      <c r="M87" t="str">
        <f>IF(L87=TRUE,DONNEES_SOURCE!$CB86,"")</f>
        <v/>
      </c>
      <c r="N87" t="str">
        <f>IF(L87=TRUE,DONNEES_SOURCE!$BW86,"")</f>
        <v/>
      </c>
      <c r="O87" t="str">
        <f>IF(L87=TRUE,DONNEES_SOURCE!$BX86,"")</f>
        <v/>
      </c>
      <c r="P87" t="str">
        <f t="shared" si="1"/>
        <v/>
      </c>
      <c r="Q87">
        <v>85</v>
      </c>
      <c r="R87" t="str">
        <f>IF(L87=TRUE,DONNEES_SOURCE!$AX86,"")</f>
        <v/>
      </c>
      <c r="S87" t="str">
        <f>IF(L87=TRUE,DONNEES_SOURCE!$AY86,"")</f>
        <v/>
      </c>
    </row>
    <row r="88" spans="12:19" x14ac:dyDescent="0.25">
      <c r="L88">
        <f>DONNEES_SOURCE!$CA87</f>
        <v>0</v>
      </c>
      <c r="M88" t="str">
        <f>IF(L88=TRUE,DONNEES_SOURCE!$CB87,"")</f>
        <v/>
      </c>
      <c r="N88" t="str">
        <f>IF(L88=TRUE,DONNEES_SOURCE!$BW87,"")</f>
        <v/>
      </c>
      <c r="O88" t="str">
        <f>IF(L88=TRUE,DONNEES_SOURCE!$BX87,"")</f>
        <v/>
      </c>
      <c r="P88" t="str">
        <f t="shared" si="1"/>
        <v/>
      </c>
      <c r="Q88">
        <v>86</v>
      </c>
      <c r="R88" t="str">
        <f>IF(L88=TRUE,DONNEES_SOURCE!$AX87,"")</f>
        <v/>
      </c>
      <c r="S88" t="str">
        <f>IF(L88=TRUE,DONNEES_SOURCE!$AY87,"")</f>
        <v/>
      </c>
    </row>
    <row r="89" spans="12:19" x14ac:dyDescent="0.25">
      <c r="L89">
        <f>DONNEES_SOURCE!$CA88</f>
        <v>0</v>
      </c>
      <c r="M89" t="str">
        <f>IF(L89=TRUE,DONNEES_SOURCE!$CB88,"")</f>
        <v/>
      </c>
      <c r="N89" t="str">
        <f>IF(L89=TRUE,DONNEES_SOURCE!$BW88,"")</f>
        <v/>
      </c>
      <c r="O89" t="str">
        <f>IF(L89=TRUE,DONNEES_SOURCE!$BX88,"")</f>
        <v/>
      </c>
      <c r="P89" t="str">
        <f t="shared" si="1"/>
        <v/>
      </c>
      <c r="Q89">
        <v>87</v>
      </c>
      <c r="R89" t="str">
        <f>IF(L89=TRUE,DONNEES_SOURCE!$AX88,"")</f>
        <v/>
      </c>
      <c r="S89" t="str">
        <f>IF(L89=TRUE,DONNEES_SOURCE!$AY88,"")</f>
        <v/>
      </c>
    </row>
    <row r="90" spans="12:19" x14ac:dyDescent="0.25">
      <c r="L90">
        <f>DONNEES_SOURCE!$CA89</f>
        <v>0</v>
      </c>
      <c r="M90" t="str">
        <f>IF(L90=TRUE,DONNEES_SOURCE!$CB89,"")</f>
        <v/>
      </c>
      <c r="N90" t="str">
        <f>IF(L90=TRUE,DONNEES_SOURCE!$BW89,"")</f>
        <v/>
      </c>
      <c r="O90" t="str">
        <f>IF(L90=TRUE,DONNEES_SOURCE!$BX89,"")</f>
        <v/>
      </c>
      <c r="P90" t="str">
        <f t="shared" si="1"/>
        <v/>
      </c>
      <c r="Q90">
        <v>88</v>
      </c>
      <c r="R90" t="str">
        <f>IF(L90=TRUE,DONNEES_SOURCE!$AX89,"")</f>
        <v/>
      </c>
      <c r="S90" t="str">
        <f>IF(L90=TRUE,DONNEES_SOURCE!$AY89,"")</f>
        <v/>
      </c>
    </row>
    <row r="91" spans="12:19" x14ac:dyDescent="0.25">
      <c r="L91">
        <f>DONNEES_SOURCE!$CA90</f>
        <v>0</v>
      </c>
      <c r="M91" t="str">
        <f>IF(L91=TRUE,DONNEES_SOURCE!$CB90,"")</f>
        <v/>
      </c>
      <c r="N91" t="str">
        <f>IF(L91=TRUE,DONNEES_SOURCE!$BW90,"")</f>
        <v/>
      </c>
      <c r="O91" t="str">
        <f>IF(L91=TRUE,DONNEES_SOURCE!$BX90,"")</f>
        <v/>
      </c>
      <c r="P91" t="str">
        <f t="shared" si="1"/>
        <v/>
      </c>
      <c r="Q91">
        <v>89</v>
      </c>
      <c r="R91" t="str">
        <f>IF(L91=TRUE,DONNEES_SOURCE!$AX90,"")</f>
        <v/>
      </c>
      <c r="S91" t="str">
        <f>IF(L91=TRUE,DONNEES_SOURCE!$AY90,"")</f>
        <v/>
      </c>
    </row>
    <row r="92" spans="12:19" x14ac:dyDescent="0.25">
      <c r="L92">
        <f>DONNEES_SOURCE!$CA91</f>
        <v>0</v>
      </c>
      <c r="M92" t="str">
        <f>IF(L92=TRUE,DONNEES_SOURCE!$CB91,"")</f>
        <v/>
      </c>
      <c r="N92" t="str">
        <f>IF(L92=TRUE,DONNEES_SOURCE!$BW91,"")</f>
        <v/>
      </c>
      <c r="O92" t="str">
        <f>IF(L92=TRUE,DONNEES_SOURCE!$BX91,"")</f>
        <v/>
      </c>
      <c r="P92" t="str">
        <f t="shared" si="1"/>
        <v/>
      </c>
      <c r="Q92">
        <v>90</v>
      </c>
      <c r="R92" t="str">
        <f>IF(L92=TRUE,DONNEES_SOURCE!$AX91,"")</f>
        <v/>
      </c>
      <c r="S92" t="str">
        <f>IF(L92=TRUE,DONNEES_SOURCE!$AY91,"")</f>
        <v/>
      </c>
    </row>
    <row r="93" spans="12:19" x14ac:dyDescent="0.25">
      <c r="L93">
        <f>DONNEES_SOURCE!$CA92</f>
        <v>0</v>
      </c>
      <c r="M93" t="str">
        <f>IF(L93=TRUE,DONNEES_SOURCE!$CB92,"")</f>
        <v/>
      </c>
      <c r="N93" t="str">
        <f>IF(L93=TRUE,DONNEES_SOURCE!$BW92,"")</f>
        <v/>
      </c>
      <c r="O93" t="str">
        <f>IF(L93=TRUE,DONNEES_SOURCE!$BX92,"")</f>
        <v/>
      </c>
      <c r="P93" t="str">
        <f t="shared" si="1"/>
        <v/>
      </c>
      <c r="Q93">
        <v>91</v>
      </c>
      <c r="R93" t="str">
        <f>IF(L93=TRUE,DONNEES_SOURCE!$AX92,"")</f>
        <v/>
      </c>
      <c r="S93" t="str">
        <f>IF(L93=TRUE,DONNEES_SOURCE!$AY92,"")</f>
        <v/>
      </c>
    </row>
    <row r="94" spans="12:19" x14ac:dyDescent="0.25">
      <c r="L94">
        <f>DONNEES_SOURCE!$CA93</f>
        <v>0</v>
      </c>
      <c r="M94" t="str">
        <f>IF(L94=TRUE,DONNEES_SOURCE!$CB93,"")</f>
        <v/>
      </c>
      <c r="N94" t="str">
        <f>IF(L94=TRUE,DONNEES_SOURCE!$BW93,"")</f>
        <v/>
      </c>
      <c r="O94" t="str">
        <f>IF(L94=TRUE,DONNEES_SOURCE!$BX93,"")</f>
        <v/>
      </c>
      <c r="P94" t="str">
        <f t="shared" si="1"/>
        <v/>
      </c>
      <c r="Q94">
        <v>92</v>
      </c>
      <c r="R94" t="str">
        <f>IF(L94=TRUE,DONNEES_SOURCE!$AX93,"")</f>
        <v/>
      </c>
      <c r="S94" t="str">
        <f>IF(L94=TRUE,DONNEES_SOURCE!$AY93,"")</f>
        <v/>
      </c>
    </row>
    <row r="95" spans="12:19" x14ac:dyDescent="0.25">
      <c r="L95">
        <f>DONNEES_SOURCE!$CA94</f>
        <v>0</v>
      </c>
      <c r="M95" t="str">
        <f>IF(L95=TRUE,DONNEES_SOURCE!$CB94,"")</f>
        <v/>
      </c>
      <c r="N95" t="str">
        <f>IF(L95=TRUE,DONNEES_SOURCE!$BW94,"")</f>
        <v/>
      </c>
      <c r="O95" t="str">
        <f>IF(L95=TRUE,DONNEES_SOURCE!$BX94,"")</f>
        <v/>
      </c>
      <c r="P95" t="str">
        <f t="shared" si="1"/>
        <v/>
      </c>
      <c r="Q95">
        <v>93</v>
      </c>
      <c r="R95" t="str">
        <f>IF(L95=TRUE,DONNEES_SOURCE!$AX94,"")</f>
        <v/>
      </c>
      <c r="S95" t="str">
        <f>IF(L95=TRUE,DONNEES_SOURCE!$AY94,"")</f>
        <v/>
      </c>
    </row>
    <row r="96" spans="12:19" x14ac:dyDescent="0.25">
      <c r="L96">
        <f>DONNEES_SOURCE!$CA95</f>
        <v>0</v>
      </c>
      <c r="M96" t="str">
        <f>IF(L96=TRUE,DONNEES_SOURCE!$CB95,"")</f>
        <v/>
      </c>
      <c r="N96" t="str">
        <f>IF(L96=TRUE,DONNEES_SOURCE!$BW95,"")</f>
        <v/>
      </c>
      <c r="O96" t="str">
        <f>IF(L96=TRUE,DONNEES_SOURCE!$BX95,"")</f>
        <v/>
      </c>
      <c r="P96" t="str">
        <f t="shared" si="1"/>
        <v/>
      </c>
      <c r="Q96">
        <v>94</v>
      </c>
      <c r="R96" t="str">
        <f>IF(L96=TRUE,DONNEES_SOURCE!$AX95,"")</f>
        <v/>
      </c>
      <c r="S96" t="str">
        <f>IF(L96=TRUE,DONNEES_SOURCE!$AY95,"")</f>
        <v/>
      </c>
    </row>
    <row r="97" spans="12:19" x14ac:dyDescent="0.25">
      <c r="L97">
        <f>DONNEES_SOURCE!$CA96</f>
        <v>0</v>
      </c>
      <c r="M97" t="str">
        <f>IF(L97=TRUE,DONNEES_SOURCE!$CB96,"")</f>
        <v/>
      </c>
      <c r="N97" t="str">
        <f>IF(L97=TRUE,DONNEES_SOURCE!$BW96,"")</f>
        <v/>
      </c>
      <c r="O97" t="str">
        <f>IF(L97=TRUE,DONNEES_SOURCE!$BX96,"")</f>
        <v/>
      </c>
      <c r="P97" t="str">
        <f t="shared" si="1"/>
        <v/>
      </c>
      <c r="Q97">
        <v>95</v>
      </c>
      <c r="R97" t="str">
        <f>IF(L97=TRUE,DONNEES_SOURCE!$AX96,"")</f>
        <v/>
      </c>
      <c r="S97" t="str">
        <f>IF(L97=TRUE,DONNEES_SOURCE!$AY96,"")</f>
        <v/>
      </c>
    </row>
    <row r="98" spans="12:19" x14ac:dyDescent="0.25">
      <c r="L98">
        <f>DONNEES_SOURCE!$CA97</f>
        <v>0</v>
      </c>
      <c r="M98" t="str">
        <f>IF(L98=TRUE,DONNEES_SOURCE!$CB97,"")</f>
        <v/>
      </c>
      <c r="N98" t="str">
        <f>IF(L98=TRUE,DONNEES_SOURCE!$BW97,"")</f>
        <v/>
      </c>
      <c r="O98" t="str">
        <f>IF(L98=TRUE,DONNEES_SOURCE!$BX97,"")</f>
        <v/>
      </c>
      <c r="P98" t="str">
        <f t="shared" si="1"/>
        <v/>
      </c>
      <c r="Q98">
        <v>96</v>
      </c>
      <c r="R98" t="str">
        <f>IF(L98=TRUE,DONNEES_SOURCE!$AX97,"")</f>
        <v/>
      </c>
      <c r="S98" t="str">
        <f>IF(L98=TRUE,DONNEES_SOURCE!$AY97,"")</f>
        <v/>
      </c>
    </row>
    <row r="99" spans="12:19" x14ac:dyDescent="0.25">
      <c r="L99">
        <f>DONNEES_SOURCE!$CA98</f>
        <v>0</v>
      </c>
      <c r="M99" t="str">
        <f>IF(L99=TRUE,DONNEES_SOURCE!$CB98,"")</f>
        <v/>
      </c>
      <c r="N99" t="str">
        <f>IF(L99=TRUE,DONNEES_SOURCE!$BW98,"")</f>
        <v/>
      </c>
      <c r="O99" t="str">
        <f>IF(L99=TRUE,DONNEES_SOURCE!$BX98,"")</f>
        <v/>
      </c>
      <c r="P99" t="str">
        <f t="shared" si="1"/>
        <v/>
      </c>
      <c r="Q99">
        <v>97</v>
      </c>
      <c r="R99" t="str">
        <f>IF(L99=TRUE,DONNEES_SOURCE!$AX98,"")</f>
        <v/>
      </c>
      <c r="S99" t="str">
        <f>IF(L99=TRUE,DONNEES_SOURCE!$AY98,"")</f>
        <v/>
      </c>
    </row>
    <row r="100" spans="12:19" x14ac:dyDescent="0.25">
      <c r="L100">
        <f>DONNEES_SOURCE!$CA99</f>
        <v>0</v>
      </c>
      <c r="M100" t="str">
        <f>IF(L100=TRUE,DONNEES_SOURCE!$CB99,"")</f>
        <v/>
      </c>
      <c r="N100" t="str">
        <f>IF(L100=TRUE,DONNEES_SOURCE!$BW99,"")</f>
        <v/>
      </c>
      <c r="O100" t="str">
        <f>IF(L100=TRUE,DONNEES_SOURCE!$BX99,"")</f>
        <v/>
      </c>
      <c r="P100" t="str">
        <f t="shared" si="1"/>
        <v/>
      </c>
      <c r="Q100">
        <v>98</v>
      </c>
      <c r="R100" t="str">
        <f>IF(L100=TRUE,DONNEES_SOURCE!$AX99,"")</f>
        <v/>
      </c>
      <c r="S100" t="str">
        <f>IF(L100=TRUE,DONNEES_SOURCE!$AY99,"")</f>
        <v/>
      </c>
    </row>
    <row r="101" spans="12:19" x14ac:dyDescent="0.25">
      <c r="L101">
        <f>DONNEES_SOURCE!$CA100</f>
        <v>0</v>
      </c>
      <c r="M101" t="str">
        <f>IF(L101=TRUE,DONNEES_SOURCE!$CB100,"")</f>
        <v/>
      </c>
      <c r="N101" t="str">
        <f>IF(L101=TRUE,DONNEES_SOURCE!$BW100,"")</f>
        <v/>
      </c>
      <c r="O101" t="str">
        <f>IF(L101=TRUE,DONNEES_SOURCE!$BX100,"")</f>
        <v/>
      </c>
      <c r="P101" t="str">
        <f t="shared" si="1"/>
        <v/>
      </c>
      <c r="Q101">
        <v>99</v>
      </c>
      <c r="R101" t="str">
        <f>IF(L101=TRUE,DONNEES_SOURCE!$AX100,"")</f>
        <v/>
      </c>
      <c r="S101" t="str">
        <f>IF(L101=TRUE,DONNEES_SOURCE!$AY100,"")</f>
        <v/>
      </c>
    </row>
    <row r="102" spans="12:19" x14ac:dyDescent="0.25">
      <c r="L102">
        <f>DONNEES_SOURCE!$CA101</f>
        <v>0</v>
      </c>
      <c r="M102" t="str">
        <f>IF(L102=TRUE,DONNEES_SOURCE!$CB101,"")</f>
        <v/>
      </c>
      <c r="N102" t="str">
        <f>IF(L102=TRUE,DONNEES_SOURCE!$BW101,"")</f>
        <v/>
      </c>
      <c r="O102" t="str">
        <f>IF(L102=TRUE,DONNEES_SOURCE!$BX101,"")</f>
        <v/>
      </c>
      <c r="P102" t="str">
        <f t="shared" si="1"/>
        <v/>
      </c>
      <c r="Q102">
        <v>100</v>
      </c>
      <c r="R102" t="str">
        <f>IF(L102=TRUE,DONNEES_SOURCE!$AX101,"")</f>
        <v/>
      </c>
      <c r="S102" t="str">
        <f>IF(L102=TRUE,DONNEES_SOURCE!$AY101,"")</f>
        <v/>
      </c>
    </row>
  </sheetData>
  <mergeCells count="12">
    <mergeCell ref="A51:J51"/>
    <mergeCell ref="A1:J1"/>
    <mergeCell ref="L1:Q1"/>
    <mergeCell ref="A3:J3"/>
    <mergeCell ref="A4:J4"/>
    <mergeCell ref="A13:J13"/>
    <mergeCell ref="A21:J21"/>
    <mergeCell ref="A22:J22"/>
    <mergeCell ref="A30:J30"/>
    <mergeCell ref="A31:J31"/>
    <mergeCell ref="A39:J39"/>
    <mergeCell ref="A49:J49"/>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1E1-927A-40B1-9D7B-3A03C2A813CE}">
  <dimension ref="A1:V102"/>
  <sheetViews>
    <sheetView topLeftCell="A9" workbookViewId="0">
      <selection activeCell="E75" sqref="E75:F75"/>
    </sheetView>
  </sheetViews>
  <sheetFormatPr baseColWidth="10" defaultRowHeight="15" x14ac:dyDescent="0.25"/>
  <sheetData>
    <row r="1" spans="1:22" ht="18.75" x14ac:dyDescent="0.3">
      <c r="A1" s="310" t="s">
        <v>881</v>
      </c>
      <c r="B1" s="254"/>
      <c r="C1" s="254"/>
      <c r="D1" s="254"/>
      <c r="E1" s="254"/>
      <c r="F1" s="254"/>
      <c r="G1" s="254"/>
      <c r="H1" s="254"/>
      <c r="I1" s="254"/>
      <c r="J1" s="254"/>
      <c r="L1" s="311" t="s">
        <v>837</v>
      </c>
      <c r="M1" s="254"/>
      <c r="N1" s="254"/>
      <c r="O1" s="254"/>
      <c r="P1" s="254"/>
      <c r="Q1" s="254"/>
      <c r="R1" s="254"/>
      <c r="S1" s="254"/>
      <c r="T1" s="254"/>
      <c r="U1" s="254"/>
    </row>
    <row r="2" spans="1:22" x14ac:dyDescent="0.25">
      <c r="L2" t="s">
        <v>711</v>
      </c>
      <c r="M2" t="s">
        <v>712</v>
      </c>
      <c r="N2" t="s">
        <v>299</v>
      </c>
      <c r="O2" t="s">
        <v>298</v>
      </c>
      <c r="P2" t="s">
        <v>775</v>
      </c>
      <c r="Q2" t="s">
        <v>870</v>
      </c>
      <c r="R2" t="s">
        <v>882</v>
      </c>
      <c r="S2" t="s">
        <v>883</v>
      </c>
      <c r="T2" t="s">
        <v>293</v>
      </c>
      <c r="U2" t="s">
        <v>439</v>
      </c>
      <c r="V2" t="s">
        <v>297</v>
      </c>
    </row>
    <row r="3" spans="1:22" x14ac:dyDescent="0.25">
      <c r="A3" s="294" t="s">
        <v>884</v>
      </c>
      <c r="B3" s="254"/>
      <c r="C3" s="254"/>
      <c r="D3" s="254"/>
      <c r="E3" s="254"/>
      <c r="F3" s="254"/>
      <c r="G3" s="254"/>
      <c r="H3" s="254"/>
      <c r="I3" s="254"/>
      <c r="J3" s="254"/>
      <c r="L3" t="b">
        <f>DONNEES_SOURCE!$CA2</f>
        <v>1</v>
      </c>
      <c r="M3">
        <f>IF(L3=TRUE,DONNEES_SOURCE!$CB2,"")</f>
        <v>3</v>
      </c>
      <c r="N3">
        <f>IF(L3=TRUE,DONNEES_SOURCE!$BY2,"")</f>
        <v>6.6</v>
      </c>
      <c r="O3">
        <f>IF(L3=TRUE,DONNEES_SOURCE!$BX2,"")</f>
        <v>6</v>
      </c>
      <c r="P3">
        <f>IF(L3=TRUE,DONNEES_SOURCE!$AM2,"")</f>
        <v>7</v>
      </c>
      <c r="Q3">
        <f>IF(L3=TRUE,DONNEES_SOURCE!$AY2,"")</f>
        <v>7</v>
      </c>
      <c r="R3">
        <f>IF(L3=TRUE,DONNEES_SOURCE!$BA2,"")</f>
        <v>6</v>
      </c>
      <c r="S3">
        <f>IF(L3=TRUE,DONNEES_SOURCE!$BB2,"")</f>
        <v>7</v>
      </c>
      <c r="T3">
        <f>IF(L3=TRUE,DONNEES_SOURCE!$BS2,"")</f>
        <v>7</v>
      </c>
      <c r="U3">
        <v>1</v>
      </c>
      <c r="V3">
        <f>IF(L3=TRUE,DONNEES_SOURCE!$BW2,"")</f>
        <v>6.25</v>
      </c>
    </row>
    <row r="4" spans="1:22" x14ac:dyDescent="0.25">
      <c r="A4" s="295" t="s">
        <v>885</v>
      </c>
      <c r="B4" s="254"/>
      <c r="C4" s="254"/>
      <c r="D4" s="254"/>
      <c r="E4" s="254"/>
      <c r="F4" s="254"/>
      <c r="G4" s="254"/>
      <c r="H4" s="254"/>
      <c r="I4" s="254"/>
      <c r="J4" s="254"/>
      <c r="L4" t="b">
        <f>DONNEES_SOURCE!$CA3</f>
        <v>1</v>
      </c>
      <c r="M4">
        <f>IF(L4=TRUE,DONNEES_SOURCE!$CB3,"")</f>
        <v>5</v>
      </c>
      <c r="N4">
        <f>IF(L4=TRUE,DONNEES_SOURCE!$BY3,"")</f>
        <v>4.8</v>
      </c>
      <c r="O4">
        <f>IF(L4=TRUE,DONNEES_SOURCE!$BX3,"")</f>
        <v>4.3333000000000004</v>
      </c>
      <c r="P4">
        <f>IF(L4=TRUE,DONNEES_SOURCE!$AM3,"")</f>
        <v>7</v>
      </c>
      <c r="Q4">
        <f>IF(L4=TRUE,DONNEES_SOURCE!$AY3,"")</f>
        <v>5</v>
      </c>
      <c r="R4">
        <f>IF(L4=TRUE,DONNEES_SOURCE!$BA3,"")</f>
        <v>5</v>
      </c>
      <c r="S4">
        <f>IF(L4=TRUE,DONNEES_SOURCE!$BB3,"")</f>
        <v>6</v>
      </c>
      <c r="T4">
        <f>IF(L4=TRUE,DONNEES_SOURCE!$BS3,"")</f>
        <v>3</v>
      </c>
      <c r="U4">
        <v>2</v>
      </c>
      <c r="V4">
        <f>IF(L4=TRUE,DONNEES_SOURCE!$BW3,"")</f>
        <v>6.25</v>
      </c>
    </row>
    <row r="5" spans="1:22" x14ac:dyDescent="0.25">
      <c r="L5" t="b">
        <f>DONNEES_SOURCE!$CA4</f>
        <v>1</v>
      </c>
      <c r="M5">
        <f>IF(L5=TRUE,DONNEES_SOURCE!$CB4,"")</f>
        <v>5</v>
      </c>
      <c r="N5">
        <f>IF(L5=TRUE,DONNEES_SOURCE!$BY4,"")</f>
        <v>3.8</v>
      </c>
      <c r="O5">
        <f>IF(L5=TRUE,DONNEES_SOURCE!$BX4,"")</f>
        <v>5.3333000000000004</v>
      </c>
      <c r="P5">
        <f>IF(L5=TRUE,DONNEES_SOURCE!$AM4,"")</f>
        <v>1</v>
      </c>
      <c r="Q5">
        <f>IF(L5=TRUE,DONNEES_SOURCE!$AY4,"")</f>
        <v>5</v>
      </c>
      <c r="R5">
        <f>IF(L5=TRUE,DONNEES_SOURCE!$BA4,"")</f>
        <v>5</v>
      </c>
      <c r="S5">
        <f>IF(L5=TRUE,DONNEES_SOURCE!$BB4,"")</f>
        <v>4</v>
      </c>
      <c r="T5">
        <f>IF(L5=TRUE,DONNEES_SOURCE!$BS4,"")</f>
        <v>2</v>
      </c>
      <c r="U5">
        <v>3</v>
      </c>
      <c r="V5">
        <f>IF(L5=TRUE,DONNEES_SOURCE!$BW4,"")</f>
        <v>3.75</v>
      </c>
    </row>
    <row r="6" spans="1:22" x14ac:dyDescent="0.25">
      <c r="A6" s="224" t="s">
        <v>667</v>
      </c>
      <c r="B6" s="224" t="s">
        <v>379</v>
      </c>
      <c r="C6" s="224" t="s">
        <v>485</v>
      </c>
      <c r="D6" s="224" t="s">
        <v>669</v>
      </c>
      <c r="E6" s="224" t="s">
        <v>670</v>
      </c>
      <c r="F6" s="224" t="s">
        <v>886</v>
      </c>
      <c r="L6" t="b">
        <f>DONNEES_SOURCE!$CA5</f>
        <v>1</v>
      </c>
      <c r="M6">
        <f>IF(L6=TRUE,DONNEES_SOURCE!$CB5,"")</f>
        <v>7</v>
      </c>
      <c r="N6">
        <f>IF(L6=TRUE,DONNEES_SOURCE!$BY5,"")</f>
        <v>4</v>
      </c>
      <c r="O6">
        <f>IF(L6=TRUE,DONNEES_SOURCE!$BX5,"")</f>
        <v>4</v>
      </c>
      <c r="P6">
        <f>IF(L6=TRUE,DONNEES_SOURCE!$AM5,"")</f>
        <v>4</v>
      </c>
      <c r="Q6">
        <f>IF(L6=TRUE,DONNEES_SOURCE!$AY5,"")</f>
        <v>4</v>
      </c>
      <c r="R6">
        <f>IF(L6=TRUE,DONNEES_SOURCE!$BA5,"")</f>
        <v>4</v>
      </c>
      <c r="S6">
        <f>IF(L6=TRUE,DONNEES_SOURCE!$BB5,"")</f>
        <v>6</v>
      </c>
      <c r="T6">
        <f>IF(L6=TRUE,DONNEES_SOURCE!$BS5,"")</f>
        <v>2</v>
      </c>
      <c r="U6">
        <v>4</v>
      </c>
      <c r="V6">
        <f>IF(L6=TRUE,DONNEES_SOURCE!$BW5,"")</f>
        <v>5.5</v>
      </c>
    </row>
    <row r="7" spans="1:22" x14ac:dyDescent="0.25">
      <c r="A7" t="s">
        <v>887</v>
      </c>
      <c r="B7" cm="1">
        <f t="array" ref="B7">SUMPRODUCT(($L$3:$L$102=TRUE)*($N$3:$N$102&lt;&gt;""))</f>
        <v>67</v>
      </c>
      <c r="C7" cm="1">
        <f t="array" ref="C7">AVERAGE(_xlfn._xlws.FILTER($N$3:$N$102,$L$3:$L$102=TRUE))</f>
        <v>4.9582089552238777</v>
      </c>
      <c r="D7" cm="1">
        <f t="array" ref="D7">MEDIAN(_xlfn._xlws.FILTER($N$3:$N$102,$L$3:$L$102=TRUE))</f>
        <v>5</v>
      </c>
      <c r="E7" cm="1">
        <f t="array" ref="E7">_xlfn.STDEV.S(_xlfn._xlws.FILTER($N$3:$N$102,$L$3:$L$102=TRUE))</f>
        <v>0.79279888804684251</v>
      </c>
      <c r="F7" t="s">
        <v>888</v>
      </c>
      <c r="L7" t="b">
        <f>DONNEES_SOURCE!$CA6</f>
        <v>1</v>
      </c>
      <c r="M7">
        <f>IF(L7=TRUE,DONNEES_SOURCE!$CB6,"")</f>
        <v>5</v>
      </c>
      <c r="N7">
        <f>IF(L7=TRUE,DONNEES_SOURCE!$BY6,"")</f>
        <v>4.4000000000000004</v>
      </c>
      <c r="O7">
        <f>IF(L7=TRUE,DONNEES_SOURCE!$BX6,"")</f>
        <v>4</v>
      </c>
      <c r="P7">
        <f>IF(L7=TRUE,DONNEES_SOURCE!$AM6,"")</f>
        <v>6</v>
      </c>
      <c r="Q7">
        <f>IF(L7=TRUE,DONNEES_SOURCE!$AY6,"")</f>
        <v>6</v>
      </c>
      <c r="R7">
        <f>IF(L7=TRUE,DONNEES_SOURCE!$BA6,"")</f>
        <v>4</v>
      </c>
      <c r="S7">
        <f>IF(L7=TRUE,DONNEES_SOURCE!$BB6,"")</f>
        <v>6</v>
      </c>
      <c r="T7">
        <f>IF(L7=TRUE,DONNEES_SOURCE!$BS6,"")</f>
        <v>3</v>
      </c>
      <c r="U7">
        <v>5</v>
      </c>
      <c r="V7">
        <f>IF(L7=TRUE,DONNEES_SOURCE!$BW6,"")</f>
        <v>5.5</v>
      </c>
    </row>
    <row r="8" spans="1:22" x14ac:dyDescent="0.25">
      <c r="A8" t="s">
        <v>889</v>
      </c>
      <c r="B8" cm="1">
        <f t="array" ref="B8">SUMPRODUCT(($L$3:$L$102=TRUE)*($Q$3:$Q$102&lt;&gt;""))</f>
        <v>67</v>
      </c>
      <c r="C8" cm="1">
        <f t="array" ref="C8">AVERAGE(_xlfn._xlws.FILTER($Q$3:$Q$102,$L$3:$L$102=TRUE))</f>
        <v>5.2537313432835822</v>
      </c>
      <c r="D8" cm="1">
        <f t="array" ref="D8">MEDIAN(_xlfn._xlws.FILTER($Q$3:$Q$102,$L$3:$L$102=TRUE))</f>
        <v>5</v>
      </c>
      <c r="E8" cm="1">
        <f t="array" ref="E8">_xlfn.STDEV.S(_xlfn._xlws.FILTER($Q$3:$Q$102,$L$3:$L$102=TRUE))</f>
        <v>1.132753197090109</v>
      </c>
      <c r="F8" t="s">
        <v>890</v>
      </c>
      <c r="L8" t="b">
        <f>DONNEES_SOURCE!$CA7</f>
        <v>1</v>
      </c>
      <c r="M8">
        <f>IF(L8=TRUE,DONNEES_SOURCE!$CB7,"")</f>
        <v>5</v>
      </c>
      <c r="N8">
        <f>IF(L8=TRUE,DONNEES_SOURCE!$BY7,"")</f>
        <v>5.4</v>
      </c>
      <c r="O8">
        <f>IF(L8=TRUE,DONNEES_SOURCE!$BX7,"")</f>
        <v>5.3333000000000004</v>
      </c>
      <c r="P8">
        <f>IF(L8=TRUE,DONNEES_SOURCE!$AM7,"")</f>
        <v>5</v>
      </c>
      <c r="Q8">
        <f>IF(L8=TRUE,DONNEES_SOURCE!$AY7,"")</f>
        <v>6</v>
      </c>
      <c r="R8">
        <f>IF(L8=TRUE,DONNEES_SOURCE!$BA7,"")</f>
        <v>6</v>
      </c>
      <c r="S8">
        <f>IF(L8=TRUE,DONNEES_SOURCE!$BB7,"")</f>
        <v>6</v>
      </c>
      <c r="T8">
        <f>IF(L8=TRUE,DONNEES_SOURCE!$BS7,"")</f>
        <v>3</v>
      </c>
      <c r="U8">
        <v>6</v>
      </c>
      <c r="V8">
        <f>IF(L8=TRUE,DONNEES_SOURCE!$BW7,"")</f>
        <v>4</v>
      </c>
    </row>
    <row r="9" spans="1:22" x14ac:dyDescent="0.25">
      <c r="A9" t="s">
        <v>891</v>
      </c>
      <c r="B9" cm="1">
        <f t="array" ref="B9">SUMPRODUCT(($L$3:$L$102=TRUE)*($P$3:$P$102&lt;&gt;""))</f>
        <v>67</v>
      </c>
      <c r="C9" cm="1">
        <f t="array" ref="C9">AVERAGE(_xlfn._xlws.FILTER($P$3:$P$102,$L$3:$L$102=TRUE))</f>
        <v>6.1641791044776122</v>
      </c>
      <c r="D9" cm="1">
        <f t="array" ref="D9">MEDIAN(_xlfn._xlws.FILTER($P$3:$P$102,$L$3:$L$102=TRUE))</f>
        <v>7</v>
      </c>
      <c r="E9" cm="1">
        <f t="array" ref="E9">_xlfn.STDEV.S(_xlfn._xlws.FILTER($P$3:$P$102,$L$3:$L$102=TRUE))</f>
        <v>1.2009720170001321</v>
      </c>
      <c r="F9" t="s">
        <v>892</v>
      </c>
      <c r="L9" t="b">
        <f>DONNEES_SOURCE!$CA8</f>
        <v>1</v>
      </c>
      <c r="M9">
        <f>IF(L9=TRUE,DONNEES_SOURCE!$CB8,"")</f>
        <v>3</v>
      </c>
      <c r="N9">
        <f>IF(L9=TRUE,DONNEES_SOURCE!$BY8,"")</f>
        <v>5.4</v>
      </c>
      <c r="O9">
        <f>IF(L9=TRUE,DONNEES_SOURCE!$BX8,"")</f>
        <v>4</v>
      </c>
      <c r="P9">
        <f>IF(L9=TRUE,DONNEES_SOURCE!$AM8,"")</f>
        <v>7</v>
      </c>
      <c r="Q9">
        <f>IF(L9=TRUE,DONNEES_SOURCE!$AY8,"")</f>
        <v>4</v>
      </c>
      <c r="R9">
        <f>IF(L9=TRUE,DONNEES_SOURCE!$BA8,"")</f>
        <v>7</v>
      </c>
      <c r="S9">
        <f>IF(L9=TRUE,DONNEES_SOURCE!$BB8,"")</f>
        <v>5</v>
      </c>
      <c r="T9">
        <f>IF(L9=TRUE,DONNEES_SOURCE!$BS8,"")</f>
        <v>3</v>
      </c>
      <c r="U9">
        <v>7</v>
      </c>
      <c r="V9">
        <f>IF(L9=TRUE,DONNEES_SOURCE!$BW8,"")</f>
        <v>5.25</v>
      </c>
    </row>
    <row r="10" spans="1:22" x14ac:dyDescent="0.25">
      <c r="A10" t="s">
        <v>893</v>
      </c>
      <c r="B10" cm="1">
        <f t="array" ref="B10">SUMPRODUCT(($L$3:$L$102=TRUE)*($R$3:$R$102&lt;&gt;""))</f>
        <v>67</v>
      </c>
      <c r="C10" cm="1">
        <f t="array" ref="C10">AVERAGE(_xlfn._xlws.FILTER($R$3:$R$102,$L$3:$L$102=TRUE))</f>
        <v>5.4776119402985071</v>
      </c>
      <c r="D10" cm="1">
        <f t="array" ref="D10">MEDIAN(_xlfn._xlws.FILTER($R$3:$R$102,$L$3:$L$102=TRUE))</f>
        <v>6</v>
      </c>
      <c r="E10" cm="1">
        <f t="array" ref="E10">_xlfn.STDEV.S(_xlfn._xlws.FILTER($R$3:$R$102,$L$3:$L$102=TRUE))</f>
        <v>1.159391284320483</v>
      </c>
      <c r="F10" t="s">
        <v>894</v>
      </c>
      <c r="L10" t="b">
        <f>DONNEES_SOURCE!$CA9</f>
        <v>1</v>
      </c>
      <c r="M10">
        <f>IF(L10=TRUE,DONNEES_SOURCE!$CB9,"")</f>
        <v>3</v>
      </c>
      <c r="N10">
        <f>IF(L10=TRUE,DONNEES_SOURCE!$BY9,"")</f>
        <v>4.4000000000000004</v>
      </c>
      <c r="O10">
        <f>IF(L10=TRUE,DONNEES_SOURCE!$BX9,"")</f>
        <v>4.3333000000000004</v>
      </c>
      <c r="P10">
        <f>IF(L10=TRUE,DONNEES_SOURCE!$AM9,"")</f>
        <v>7</v>
      </c>
      <c r="Q10">
        <f>IF(L10=TRUE,DONNEES_SOURCE!$AY9,"")</f>
        <v>5</v>
      </c>
      <c r="R10">
        <f>IF(L10=TRUE,DONNEES_SOURCE!$BA9,"")</f>
        <v>5</v>
      </c>
      <c r="S10">
        <f>IF(L10=TRUE,DONNEES_SOURCE!$BB9,"")</f>
        <v>4</v>
      </c>
      <c r="T10">
        <f>IF(L10=TRUE,DONNEES_SOURCE!$BS9,"")</f>
        <v>3</v>
      </c>
      <c r="U10">
        <v>8</v>
      </c>
      <c r="V10">
        <f>IF(L10=TRUE,DONNEES_SOURCE!$BW9,"")</f>
        <v>6</v>
      </c>
    </row>
    <row r="11" spans="1:22" x14ac:dyDescent="0.25">
      <c r="A11" t="s">
        <v>895</v>
      </c>
      <c r="B11" cm="1">
        <f t="array" ref="B11">SUMPRODUCT(($L$3:$L$102=TRUE)*($S$3:$S$102&lt;&gt;""))</f>
        <v>67</v>
      </c>
      <c r="C11" cm="1">
        <f t="array" ref="C11">AVERAGE(_xlfn._xlws.FILTER($S$3:$S$102,$L$3:$L$102=TRUE))</f>
        <v>5.5970149253731343</v>
      </c>
      <c r="D11" cm="1">
        <f t="array" ref="D11">MEDIAN(_xlfn._xlws.FILTER($S$3:$S$102,$L$3:$L$102=TRUE))</f>
        <v>6</v>
      </c>
      <c r="E11" cm="1">
        <f t="array" ref="E11">_xlfn.STDEV.S(_xlfn._xlws.FILTER($S$3:$S$102,$L$3:$L$102=TRUE))</f>
        <v>1.1554836517540283</v>
      </c>
      <c r="F11" t="s">
        <v>896</v>
      </c>
      <c r="L11" t="b">
        <f>DONNEES_SOURCE!$CA10</f>
        <v>1</v>
      </c>
      <c r="M11">
        <f>IF(L11=TRUE,DONNEES_SOURCE!$CB10,"")</f>
        <v>4</v>
      </c>
      <c r="N11">
        <f>IF(L11=TRUE,DONNEES_SOURCE!$BY10,"")</f>
        <v>4.5999999999999996</v>
      </c>
      <c r="O11">
        <f>IF(L11=TRUE,DONNEES_SOURCE!$BX10,"")</f>
        <v>4.6666999999999996</v>
      </c>
      <c r="P11">
        <f>IF(L11=TRUE,DONNEES_SOURCE!$AM10,"")</f>
        <v>5</v>
      </c>
      <c r="Q11">
        <f>IF(L11=TRUE,DONNEES_SOURCE!$AY10,"")</f>
        <v>4</v>
      </c>
      <c r="R11">
        <f>IF(L11=TRUE,DONNEES_SOURCE!$BA10,"")</f>
        <v>6</v>
      </c>
      <c r="S11">
        <f>IF(L11=TRUE,DONNEES_SOURCE!$BB10,"")</f>
        <v>5</v>
      </c>
      <c r="T11">
        <f>IF(L11=TRUE,DONNEES_SOURCE!$BS10,"")</f>
        <v>3</v>
      </c>
      <c r="U11">
        <v>9</v>
      </c>
      <c r="V11">
        <f>IF(L11=TRUE,DONNEES_SOURCE!$BW10,"")</f>
        <v>6.5</v>
      </c>
    </row>
    <row r="12" spans="1:22" x14ac:dyDescent="0.25">
      <c r="A12" t="s">
        <v>897</v>
      </c>
      <c r="B12" cm="1">
        <f t="array" ref="B12">SUMPRODUCT(($L$3:$L$102=TRUE)*($T$3:$T$102&lt;&gt;""))</f>
        <v>67</v>
      </c>
      <c r="C12" cm="1">
        <f t="array" ref="C12">AVERAGE(_xlfn._xlws.FILTER($T$3:$T$102,$L$3:$L$102=TRUE))</f>
        <v>3.4328358208955225</v>
      </c>
      <c r="D12" cm="1">
        <f t="array" ref="D12">MEDIAN(_xlfn._xlws.FILTER($T$3:$T$102,$L$3:$L$102=TRUE))</f>
        <v>3</v>
      </c>
      <c r="E12" cm="1">
        <f t="array" ref="E12">_xlfn.STDEV.S(_xlfn._xlws.FILTER($T$3:$T$102,$L$3:$L$102=TRUE))</f>
        <v>1.5297442903468985</v>
      </c>
      <c r="F12" t="s">
        <v>898</v>
      </c>
      <c r="L12" t="b">
        <f>DONNEES_SOURCE!$CA11</f>
        <v>1</v>
      </c>
      <c r="M12">
        <f>IF(L12=TRUE,DONNEES_SOURCE!$CB11,"")</f>
        <v>4</v>
      </c>
      <c r="N12">
        <f>IF(L12=TRUE,DONNEES_SOURCE!$BY11,"")</f>
        <v>5.4</v>
      </c>
      <c r="O12">
        <f>IF(L12=TRUE,DONNEES_SOURCE!$BX11,"")</f>
        <v>4.6666999999999996</v>
      </c>
      <c r="P12">
        <f>IF(L12=TRUE,DONNEES_SOURCE!$AM11,"")</f>
        <v>7</v>
      </c>
      <c r="Q12">
        <f>IF(L12=TRUE,DONNEES_SOURCE!$AY11,"")</f>
        <v>6</v>
      </c>
      <c r="R12">
        <f>IF(L12=TRUE,DONNEES_SOURCE!$BA11,"")</f>
        <v>5</v>
      </c>
      <c r="S12">
        <f>IF(L12=TRUE,DONNEES_SOURCE!$BB11,"")</f>
        <v>6</v>
      </c>
      <c r="T12">
        <f>IF(L12=TRUE,DONNEES_SOURCE!$BS11,"")</f>
        <v>6</v>
      </c>
      <c r="U12">
        <v>10</v>
      </c>
      <c r="V12">
        <f>IF(L12=TRUE,DONNEES_SOURCE!$BW11,"")</f>
        <v>5.5</v>
      </c>
    </row>
    <row r="13" spans="1:22" x14ac:dyDescent="0.25">
      <c r="L13" t="b">
        <f>DONNEES_SOURCE!$CA12</f>
        <v>1</v>
      </c>
      <c r="M13">
        <f>IF(L13=TRUE,DONNEES_SOURCE!$CB12,"")</f>
        <v>7</v>
      </c>
      <c r="N13">
        <f>IF(L13=TRUE,DONNEES_SOURCE!$BY12,"")</f>
        <v>5</v>
      </c>
      <c r="O13">
        <f>IF(L13=TRUE,DONNEES_SOURCE!$BX12,"")</f>
        <v>5</v>
      </c>
      <c r="P13">
        <f>IF(L13=TRUE,DONNEES_SOURCE!$AM12,"")</f>
        <v>7</v>
      </c>
      <c r="Q13">
        <f>IF(L13=TRUE,DONNEES_SOURCE!$AY12,"")</f>
        <v>6</v>
      </c>
      <c r="R13">
        <f>IF(L13=TRUE,DONNEES_SOURCE!$BA12,"")</f>
        <v>7</v>
      </c>
      <c r="S13">
        <f>IF(L13=TRUE,DONNEES_SOURCE!$BB12,"")</f>
        <v>7</v>
      </c>
      <c r="T13">
        <f>IF(L13=TRUE,DONNEES_SOURCE!$BS12,"")</f>
        <v>1</v>
      </c>
      <c r="U13">
        <v>11</v>
      </c>
      <c r="V13">
        <f>IF(L13=TRUE,DONNEES_SOURCE!$BW12,"")</f>
        <v>7</v>
      </c>
    </row>
    <row r="14" spans="1:22" x14ac:dyDescent="0.25">
      <c r="L14" t="b">
        <f>DONNEES_SOURCE!$CA13</f>
        <v>1</v>
      </c>
      <c r="M14">
        <f>IF(L14=TRUE,DONNEES_SOURCE!$CB13,"")</f>
        <v>7</v>
      </c>
      <c r="N14">
        <f>IF(L14=TRUE,DONNEES_SOURCE!$BY13,"")</f>
        <v>5.4</v>
      </c>
      <c r="O14">
        <f>IF(L14=TRUE,DONNEES_SOURCE!$BX13,"")</f>
        <v>6.6666999999999996</v>
      </c>
      <c r="P14">
        <f>IF(L14=TRUE,DONNEES_SOURCE!$AM13,"")</f>
        <v>7</v>
      </c>
      <c r="Q14">
        <f>IF(L14=TRUE,DONNEES_SOURCE!$AY13,"")</f>
        <v>7</v>
      </c>
      <c r="R14">
        <f>IF(L14=TRUE,DONNEES_SOURCE!$BA13,"")</f>
        <v>6</v>
      </c>
      <c r="S14">
        <f>IF(L14=TRUE,DONNEES_SOURCE!$BB13,"")</f>
        <v>6</v>
      </c>
      <c r="T14">
        <f>IF(L14=TRUE,DONNEES_SOURCE!$BS13,"")</f>
        <v>1</v>
      </c>
      <c r="U14">
        <v>12</v>
      </c>
      <c r="V14">
        <f>IF(L14=TRUE,DONNEES_SOURCE!$BW13,"")</f>
        <v>6.25</v>
      </c>
    </row>
    <row r="15" spans="1:22" x14ac:dyDescent="0.25">
      <c r="A15" s="294" t="s">
        <v>899</v>
      </c>
      <c r="B15" s="254"/>
      <c r="C15" s="254"/>
      <c r="D15" s="254"/>
      <c r="E15" s="254"/>
      <c r="F15" s="254"/>
      <c r="G15" s="254"/>
      <c r="H15" s="254"/>
      <c r="I15" s="254"/>
      <c r="J15" s="254"/>
      <c r="L15" t="b">
        <f>DONNEES_SOURCE!$CA14</f>
        <v>1</v>
      </c>
      <c r="M15">
        <f>IF(L15=TRUE,DONNEES_SOURCE!$CB14,"")</f>
        <v>6</v>
      </c>
      <c r="N15">
        <f>IF(L15=TRUE,DONNEES_SOURCE!$BY14,"")</f>
        <v>4</v>
      </c>
      <c r="O15">
        <f>IF(L15=TRUE,DONNEES_SOURCE!$BX14,"")</f>
        <v>4.6666999999999996</v>
      </c>
      <c r="P15">
        <f>IF(L15=TRUE,DONNEES_SOURCE!$AM14,"")</f>
        <v>7</v>
      </c>
      <c r="Q15">
        <f>IF(L15=TRUE,DONNEES_SOURCE!$AY14,"")</f>
        <v>3</v>
      </c>
      <c r="R15">
        <f>IF(L15=TRUE,DONNEES_SOURCE!$BA14,"")</f>
        <v>5</v>
      </c>
      <c r="S15">
        <f>IF(L15=TRUE,DONNEES_SOURCE!$BB14,"")</f>
        <v>4</v>
      </c>
      <c r="T15">
        <f>IF(L15=TRUE,DONNEES_SOURCE!$BS14,"")</f>
        <v>2</v>
      </c>
      <c r="U15">
        <v>13</v>
      </c>
      <c r="V15">
        <f>IF(L15=TRUE,DONNEES_SOURCE!$BW14,"")</f>
        <v>6</v>
      </c>
    </row>
    <row r="16" spans="1:22" x14ac:dyDescent="0.25">
      <c r="A16" s="295" t="s">
        <v>900</v>
      </c>
      <c r="B16" s="254"/>
      <c r="C16" s="254"/>
      <c r="D16" s="254"/>
      <c r="E16" s="254"/>
      <c r="F16" s="254"/>
      <c r="G16" s="254"/>
      <c r="H16" s="254"/>
      <c r="I16" s="254"/>
      <c r="J16" s="254"/>
      <c r="L16" t="b">
        <f>DONNEES_SOURCE!$CA15</f>
        <v>1</v>
      </c>
      <c r="M16">
        <f>IF(L16=TRUE,DONNEES_SOURCE!$CB15,"")</f>
        <v>3</v>
      </c>
      <c r="N16">
        <f>IF(L16=TRUE,DONNEES_SOURCE!$BY15,"")</f>
        <v>4.4000000000000004</v>
      </c>
      <c r="O16">
        <f>IF(L16=TRUE,DONNEES_SOURCE!$BX15,"")</f>
        <v>5.6666999999999996</v>
      </c>
      <c r="P16">
        <f>IF(L16=TRUE,DONNEES_SOURCE!$AM15,"")</f>
        <v>6</v>
      </c>
      <c r="Q16">
        <f>IF(L16=TRUE,DONNEES_SOURCE!$AY15,"")</f>
        <v>6</v>
      </c>
      <c r="R16">
        <f>IF(L16=TRUE,DONNEES_SOURCE!$BA15,"")</f>
        <v>6</v>
      </c>
      <c r="S16">
        <f>IF(L16=TRUE,DONNEES_SOURCE!$BB15,"")</f>
        <v>4</v>
      </c>
      <c r="T16">
        <f>IF(L16=TRUE,DONNEES_SOURCE!$BS15,"")</f>
        <v>5</v>
      </c>
      <c r="U16">
        <v>14</v>
      </c>
      <c r="V16">
        <f>IF(L16=TRUE,DONNEES_SOURCE!$BW15,"")</f>
        <v>5.5</v>
      </c>
    </row>
    <row r="17" spans="1:22" x14ac:dyDescent="0.25">
      <c r="L17" t="b">
        <f>DONNEES_SOURCE!$CA16</f>
        <v>1</v>
      </c>
      <c r="M17">
        <f>IF(L17=TRUE,DONNEES_SOURCE!$CB16,"")</f>
        <v>7</v>
      </c>
      <c r="N17">
        <f>IF(L17=TRUE,DONNEES_SOURCE!$BY16,"")</f>
        <v>4.2</v>
      </c>
      <c r="O17">
        <f>IF(L17=TRUE,DONNEES_SOURCE!$BX16,"")</f>
        <v>5.3333000000000004</v>
      </c>
      <c r="P17">
        <f>IF(L17=TRUE,DONNEES_SOURCE!$AM16,"")</f>
        <v>7</v>
      </c>
      <c r="Q17">
        <f>IF(L17=TRUE,DONNEES_SOURCE!$AY16,"")</f>
        <v>6</v>
      </c>
      <c r="R17">
        <f>IF(L17=TRUE,DONNEES_SOURCE!$BA16,"")</f>
        <v>4</v>
      </c>
      <c r="S17">
        <f>IF(L17=TRUE,DONNEES_SOURCE!$BB16,"")</f>
        <v>5</v>
      </c>
      <c r="T17">
        <f>IF(L17=TRUE,DONNEES_SOURCE!$BS16,"")</f>
        <v>4</v>
      </c>
      <c r="U17">
        <v>15</v>
      </c>
      <c r="V17">
        <f>IF(L17=TRUE,DONNEES_SOURCE!$BW16,"")</f>
        <v>6</v>
      </c>
    </row>
    <row r="18" spans="1:22" x14ac:dyDescent="0.25">
      <c r="A18" s="224" t="s">
        <v>625</v>
      </c>
      <c r="B18" s="224" t="s">
        <v>626</v>
      </c>
      <c r="C18" s="224" t="s">
        <v>627</v>
      </c>
      <c r="D18" s="224" t="s">
        <v>379</v>
      </c>
      <c r="E18" s="224" t="s">
        <v>696</v>
      </c>
      <c r="F18" s="224" t="s">
        <v>629</v>
      </c>
      <c r="G18" s="224" t="s">
        <v>697</v>
      </c>
      <c r="H18" s="224" t="s">
        <v>548</v>
      </c>
      <c r="I18" s="224" t="s">
        <v>698</v>
      </c>
      <c r="L18" t="b">
        <f>DONNEES_SOURCE!$CA17</f>
        <v>1</v>
      </c>
      <c r="M18">
        <f>IF(L18=TRUE,DONNEES_SOURCE!$CB17,"")</f>
        <v>5</v>
      </c>
      <c r="N18">
        <f>IF(L18=TRUE,DONNEES_SOURCE!$BY17,"")</f>
        <v>4.2</v>
      </c>
      <c r="O18">
        <f>IF(L18=TRUE,DONNEES_SOURCE!$BX17,"")</f>
        <v>4.6666999999999996</v>
      </c>
      <c r="P18">
        <f>IF(L18=TRUE,DONNEES_SOURCE!$AM17,"")</f>
        <v>5</v>
      </c>
      <c r="Q18">
        <f>IF(L18=TRUE,DONNEES_SOURCE!$AY17,"")</f>
        <v>5</v>
      </c>
      <c r="R18">
        <f>IF(L18=TRUE,DONNEES_SOURCE!$BA17,"")</f>
        <v>6</v>
      </c>
      <c r="S18">
        <f>IF(L18=TRUE,DONNEES_SOURCE!$BB17,"")</f>
        <v>6</v>
      </c>
      <c r="T18">
        <f>IF(L18=TRUE,DONNEES_SOURCE!$BS17,"")</f>
        <v>1</v>
      </c>
      <c r="U18">
        <v>16</v>
      </c>
      <c r="V18">
        <f>IF(L18=TRUE,DONNEES_SOURCE!$BW17,"")</f>
        <v>3.5</v>
      </c>
    </row>
    <row r="19" spans="1:22" x14ac:dyDescent="0.25">
      <c r="A19" t="s">
        <v>638</v>
      </c>
      <c r="B19" t="s">
        <v>298</v>
      </c>
      <c r="C19" t="s">
        <v>299</v>
      </c>
      <c r="D19" cm="1">
        <f t="array" ref="D19">SUMPRODUCT(($L$3:$L$102=TRUE)*($O$3:$O$102&lt;&gt;"")*($N$3:$N$102&lt;&gt;""))</f>
        <v>67</v>
      </c>
      <c r="E19" cm="1">
        <f t="array" ref="E19">IFERROR(CORREL(_xlfn._xlws.FILTER(_xlfn.RANK.AVG($O$3:$O$102,$O$3:$O$102,1),($L$3:$L$102=TRUE)*($O$3:$O$102&lt;&gt;"")*($N$3:$N$102&lt;&gt;"")),_xlfn._xlws.FILTER(_xlfn.RANK.AVG($N$3:$N$102,$N$3:$N$102,1),($L$3:$L$102=TRUE)*($O$3:$O$102&lt;&gt;"")*($N$3:$N$102&lt;&gt;""))),0)</f>
        <v>0.18957620665689032</v>
      </c>
      <c r="F19">
        <f>IF(D19&gt;2,E19*SQRT(D19-2)/SQRT(1-E19^2),0)</f>
        <v>1.5566403411740142</v>
      </c>
      <c r="G19">
        <f>D19-2</f>
        <v>65</v>
      </c>
      <c r="H19">
        <f>IF(G19&gt;0,_xlfn.T.DIST.2T(ABS(F19),G19),1)</f>
        <v>0.12441185721232748</v>
      </c>
      <c r="I19" t="str">
        <f>IF(H19&lt;0.001,"***",IF(H19&lt;0.01,"**",IF(H19&lt;0.05,"*",IF(H19&lt;0.1,".","NS"))))</f>
        <v>NS</v>
      </c>
      <c r="L19" t="b">
        <f>DONNEES_SOURCE!$CA18</f>
        <v>1</v>
      </c>
      <c r="M19">
        <f>IF(L19=TRUE,DONNEES_SOURCE!$CB18,"")</f>
        <v>4</v>
      </c>
      <c r="N19">
        <f>IF(L19=TRUE,DONNEES_SOURCE!$BY18,"")</f>
        <v>4.8</v>
      </c>
      <c r="O19">
        <f>IF(L19=TRUE,DONNEES_SOURCE!$BX18,"")</f>
        <v>5.3333000000000004</v>
      </c>
      <c r="P19">
        <f>IF(L19=TRUE,DONNEES_SOURCE!$AM18,"")</f>
        <v>7</v>
      </c>
      <c r="Q19">
        <f>IF(L19=TRUE,DONNEES_SOURCE!$AY18,"")</f>
        <v>5</v>
      </c>
      <c r="R19">
        <f>IF(L19=TRUE,DONNEES_SOURCE!$BA18,"")</f>
        <v>6</v>
      </c>
      <c r="S19">
        <f>IF(L19=TRUE,DONNEES_SOURCE!$BB18,"")</f>
        <v>4</v>
      </c>
      <c r="T19">
        <f>IF(L19=TRUE,DONNEES_SOURCE!$BS18,"")</f>
        <v>3</v>
      </c>
      <c r="U19">
        <v>17</v>
      </c>
      <c r="V19">
        <f>IF(L19=TRUE,DONNEES_SOURCE!$BW18,"")</f>
        <v>5.5</v>
      </c>
    </row>
    <row r="20" spans="1:22" x14ac:dyDescent="0.25">
      <c r="A20" t="s">
        <v>641</v>
      </c>
      <c r="B20" t="s">
        <v>297</v>
      </c>
      <c r="C20" t="s">
        <v>299</v>
      </c>
      <c r="D20" cm="1">
        <f t="array" ref="D20">SUMPRODUCT(($L$3:$L$102=TRUE)*($V$3:$V$102&lt;&gt;"")*($N$3:$N$102&lt;&gt;""))</f>
        <v>67</v>
      </c>
      <c r="E20" cm="1">
        <f t="array" ref="E20">IFERROR(CORREL(_xlfn._xlws.FILTER(_xlfn.RANK.AVG($V$3:$V$102,$V$3:$V$102,1),($L$3:$L$102=TRUE)*($V$3:$V$102&lt;&gt;"")*($N$3:$N$102&lt;&gt;"")),_xlfn._xlws.FILTER(_xlfn.RANK.AVG($N$3:$N$102,$N$3:$N$102,1),($L$3:$L$102=TRUE)*($V$3:$V$102&lt;&gt;"")*($N$3:$N$102&lt;&gt;""))),0)</f>
        <v>0.11261127342095291</v>
      </c>
      <c r="F20">
        <f>IF(D20&gt;2,E20*SQRT(D20-2)/SQRT(1-E20^2),0)</f>
        <v>0.91371313112552122</v>
      </c>
      <c r="G20">
        <f>D20-2</f>
        <v>65</v>
      </c>
      <c r="H20">
        <f>IF(G20&gt;0,_xlfn.T.DIST.2T(ABS(F20),G20),1)</f>
        <v>0.36424451291437565</v>
      </c>
      <c r="I20" t="str">
        <f>IF(H20&lt;0.001,"***",IF(H20&lt;0.01,"**",IF(H20&lt;0.05,"*",IF(H20&lt;0.1,".","NS"))))</f>
        <v>NS</v>
      </c>
      <c r="L20" t="b">
        <f>DONNEES_SOURCE!$CA19</f>
        <v>1</v>
      </c>
      <c r="M20">
        <f>IF(L20=TRUE,DONNEES_SOURCE!$CB19,"")</f>
        <v>5</v>
      </c>
      <c r="N20">
        <f>IF(L20=TRUE,DONNEES_SOURCE!$BY19,"")</f>
        <v>4.5999999999999996</v>
      </c>
      <c r="O20">
        <f>IF(L20=TRUE,DONNEES_SOURCE!$BX19,"")</f>
        <v>5</v>
      </c>
      <c r="P20">
        <f>IF(L20=TRUE,DONNEES_SOURCE!$AM19,"")</f>
        <v>5</v>
      </c>
      <c r="Q20">
        <f>IF(L20=TRUE,DONNEES_SOURCE!$AY19,"")</f>
        <v>4</v>
      </c>
      <c r="R20">
        <f>IF(L20=TRUE,DONNEES_SOURCE!$BA19,"")</f>
        <v>5</v>
      </c>
      <c r="S20">
        <f>IF(L20=TRUE,DONNEES_SOURCE!$BB19,"")</f>
        <v>6</v>
      </c>
      <c r="T20">
        <f>IF(L20=TRUE,DONNEES_SOURCE!$BS19,"")</f>
        <v>3</v>
      </c>
      <c r="U20">
        <v>18</v>
      </c>
      <c r="V20">
        <f>IF(L20=TRUE,DONNEES_SOURCE!$BW19,"")</f>
        <v>4.5</v>
      </c>
    </row>
    <row r="21" spans="1:22" x14ac:dyDescent="0.25">
      <c r="L21" t="b">
        <f>DONNEES_SOURCE!$CA20</f>
        <v>1</v>
      </c>
      <c r="M21">
        <f>IF(L21=TRUE,DONNEES_SOURCE!$CB20,"")</f>
        <v>7</v>
      </c>
      <c r="N21">
        <f>IF(L21=TRUE,DONNEES_SOURCE!$BY20,"")</f>
        <v>4.5999999999999996</v>
      </c>
      <c r="O21">
        <f>IF(L21=TRUE,DONNEES_SOURCE!$BX20,"")</f>
        <v>6</v>
      </c>
      <c r="P21">
        <f>IF(L21=TRUE,DONNEES_SOURCE!$AM20,"")</f>
        <v>7</v>
      </c>
      <c r="Q21">
        <f>IF(L21=TRUE,DONNEES_SOURCE!$AY20,"")</f>
        <v>7</v>
      </c>
      <c r="R21">
        <f>IF(L21=TRUE,DONNEES_SOURCE!$BA20,"")</f>
        <v>4</v>
      </c>
      <c r="S21">
        <f>IF(L21=TRUE,DONNEES_SOURCE!$BB20,"")</f>
        <v>7</v>
      </c>
      <c r="T21">
        <f>IF(L21=TRUE,DONNEES_SOURCE!$BS20,"")</f>
        <v>1</v>
      </c>
      <c r="U21">
        <v>19</v>
      </c>
      <c r="V21">
        <f>IF(L21=TRUE,DONNEES_SOURCE!$BW20,"")</f>
        <v>5.5</v>
      </c>
    </row>
    <row r="22" spans="1:22" x14ac:dyDescent="0.25">
      <c r="L22" t="b">
        <f>DONNEES_SOURCE!$CA21</f>
        <v>1</v>
      </c>
      <c r="M22">
        <f>IF(L22=TRUE,DONNEES_SOURCE!$CB21,"")</f>
        <v>3</v>
      </c>
      <c r="N22">
        <f>IF(L22=TRUE,DONNEES_SOURCE!$BY21,"")</f>
        <v>5.8</v>
      </c>
      <c r="O22">
        <f>IF(L22=TRUE,DONNEES_SOURCE!$BX21,"")</f>
        <v>4.6666999999999996</v>
      </c>
      <c r="P22">
        <f>IF(L22=TRUE,DONNEES_SOURCE!$AM21,"")</f>
        <v>7</v>
      </c>
      <c r="Q22">
        <f>IF(L22=TRUE,DONNEES_SOURCE!$AY21,"")</f>
        <v>7</v>
      </c>
      <c r="R22">
        <f>IF(L22=TRUE,DONNEES_SOURCE!$BA21,"")</f>
        <v>7</v>
      </c>
      <c r="S22">
        <f>IF(L22=TRUE,DONNEES_SOURCE!$BB21,"")</f>
        <v>4</v>
      </c>
      <c r="T22">
        <f>IF(L22=TRUE,DONNEES_SOURCE!$BS21,"")</f>
        <v>6</v>
      </c>
      <c r="U22">
        <v>20</v>
      </c>
      <c r="V22">
        <f>IF(L22=TRUE,DONNEES_SOURCE!$BW21,"")</f>
        <v>7</v>
      </c>
    </row>
    <row r="23" spans="1:22" x14ac:dyDescent="0.25">
      <c r="A23" s="294" t="s">
        <v>901</v>
      </c>
      <c r="B23" s="254"/>
      <c r="C23" s="254"/>
      <c r="D23" s="254"/>
      <c r="E23" s="254"/>
      <c r="F23" s="254"/>
      <c r="G23" s="254"/>
      <c r="H23" s="254"/>
      <c r="I23" s="254"/>
      <c r="J23" s="254"/>
      <c r="L23" t="b">
        <f>DONNEES_SOURCE!$CA22</f>
        <v>1</v>
      </c>
      <c r="M23">
        <f>IF(L23=TRUE,DONNEES_SOURCE!$CB22,"")</f>
        <v>2</v>
      </c>
      <c r="N23">
        <f>IF(L23=TRUE,DONNEES_SOURCE!$BY22,"")</f>
        <v>4.2</v>
      </c>
      <c r="O23">
        <f>IF(L23=TRUE,DONNEES_SOURCE!$BX22,"")</f>
        <v>3.3332999999999999</v>
      </c>
      <c r="P23">
        <f>IF(L23=TRUE,DONNEES_SOURCE!$AM22,"")</f>
        <v>6</v>
      </c>
      <c r="Q23">
        <f>IF(L23=TRUE,DONNEES_SOURCE!$AY22,"")</f>
        <v>4</v>
      </c>
      <c r="R23">
        <f>IF(L23=TRUE,DONNEES_SOURCE!$BA22,"")</f>
        <v>4</v>
      </c>
      <c r="S23">
        <f>IF(L23=TRUE,DONNEES_SOURCE!$BB22,"")</f>
        <v>5</v>
      </c>
      <c r="T23">
        <f>IF(L23=TRUE,DONNEES_SOURCE!$BS22,"")</f>
        <v>3</v>
      </c>
      <c r="U23">
        <v>21</v>
      </c>
      <c r="V23">
        <f>IF(L23=TRUE,DONNEES_SOURCE!$BW22,"")</f>
        <v>5.5</v>
      </c>
    </row>
    <row r="24" spans="1:22" x14ac:dyDescent="0.25">
      <c r="A24" s="295" t="s">
        <v>902</v>
      </c>
      <c r="B24" s="254"/>
      <c r="C24" s="254"/>
      <c r="D24" s="254"/>
      <c r="E24" s="254"/>
      <c r="F24" s="254"/>
      <c r="G24" s="254"/>
      <c r="H24" s="254"/>
      <c r="I24" s="254"/>
      <c r="J24" s="254"/>
      <c r="L24" t="b">
        <f>DONNEES_SOURCE!$CA23</f>
        <v>1</v>
      </c>
      <c r="M24">
        <f>IF(L24=TRUE,DONNEES_SOURCE!$CB23,"")</f>
        <v>7</v>
      </c>
      <c r="N24">
        <f>IF(L24=TRUE,DONNEES_SOURCE!$BY23,"")</f>
        <v>4.4000000000000004</v>
      </c>
      <c r="O24">
        <f>IF(L24=TRUE,DONNEES_SOURCE!$BX23,"")</f>
        <v>4.3333000000000004</v>
      </c>
      <c r="P24">
        <f>IF(L24=TRUE,DONNEES_SOURCE!$AM23,"")</f>
        <v>2</v>
      </c>
      <c r="Q24">
        <f>IF(L24=TRUE,DONNEES_SOURCE!$AY23,"")</f>
        <v>5</v>
      </c>
      <c r="R24">
        <f>IF(L24=TRUE,DONNEES_SOURCE!$BA23,"")</f>
        <v>6</v>
      </c>
      <c r="S24">
        <f>IF(L24=TRUE,DONNEES_SOURCE!$BB23,"")</f>
        <v>7</v>
      </c>
      <c r="T24">
        <f>IF(L24=TRUE,DONNEES_SOURCE!$BS23,"")</f>
        <v>1</v>
      </c>
      <c r="U24">
        <v>22</v>
      </c>
      <c r="V24">
        <f>IF(L24=TRUE,DONNEES_SOURCE!$BW23,"")</f>
        <v>3.5</v>
      </c>
    </row>
    <row r="25" spans="1:22" x14ac:dyDescent="0.25">
      <c r="L25" t="b">
        <f>DONNEES_SOURCE!$CA24</f>
        <v>1</v>
      </c>
      <c r="M25">
        <f>IF(L25=TRUE,DONNEES_SOURCE!$CB24,"")</f>
        <v>5</v>
      </c>
      <c r="N25">
        <f>IF(L25=TRUE,DONNEES_SOURCE!$BY24,"")</f>
        <v>4.8</v>
      </c>
      <c r="O25">
        <f>IF(L25=TRUE,DONNEES_SOURCE!$BX24,"")</f>
        <v>3.6667000000000001</v>
      </c>
      <c r="P25">
        <f>IF(L25=TRUE,DONNEES_SOURCE!$AM24,"")</f>
        <v>5</v>
      </c>
      <c r="Q25">
        <f>IF(L25=TRUE,DONNEES_SOURCE!$AY24,"")</f>
        <v>3</v>
      </c>
      <c r="R25">
        <f>IF(L25=TRUE,DONNEES_SOURCE!$BA24,"")</f>
        <v>6</v>
      </c>
      <c r="S25">
        <f>IF(L25=TRUE,DONNEES_SOURCE!$BB24,"")</f>
        <v>3</v>
      </c>
      <c r="T25">
        <f>IF(L25=TRUE,DONNEES_SOURCE!$BS24,"")</f>
        <v>3</v>
      </c>
      <c r="U25">
        <v>23</v>
      </c>
      <c r="V25">
        <f>IF(L25=TRUE,DONNEES_SOURCE!$BW24,"")</f>
        <v>5.25</v>
      </c>
    </row>
    <row r="26" spans="1:22" x14ac:dyDescent="0.25">
      <c r="A26" s="224" t="s">
        <v>546</v>
      </c>
      <c r="B26" s="224" t="s">
        <v>626</v>
      </c>
      <c r="C26" s="224" t="s">
        <v>627</v>
      </c>
      <c r="D26" s="224" t="s">
        <v>379</v>
      </c>
      <c r="E26" s="224" t="s">
        <v>696</v>
      </c>
      <c r="F26" s="224" t="s">
        <v>629</v>
      </c>
      <c r="G26" s="224" t="s">
        <v>697</v>
      </c>
      <c r="H26" s="224" t="s">
        <v>548</v>
      </c>
      <c r="I26" s="224" t="s">
        <v>698</v>
      </c>
      <c r="J26" s="224" t="s">
        <v>435</v>
      </c>
      <c r="L26" t="b">
        <f>DONNEES_SOURCE!$CA25</f>
        <v>1</v>
      </c>
      <c r="M26">
        <f>IF(L26=TRUE,DONNEES_SOURCE!$CB25,"")</f>
        <v>7</v>
      </c>
      <c r="N26">
        <f>IF(L26=TRUE,DONNEES_SOURCE!$BY25,"")</f>
        <v>4.2</v>
      </c>
      <c r="O26">
        <f>IF(L26=TRUE,DONNEES_SOURCE!$BX25,"")</f>
        <v>5.6666999999999996</v>
      </c>
      <c r="P26">
        <f>IF(L26=TRUE,DONNEES_SOURCE!$AM25,"")</f>
        <v>7</v>
      </c>
      <c r="Q26">
        <f>IF(L26=TRUE,DONNEES_SOURCE!$AY25,"")</f>
        <v>6</v>
      </c>
      <c r="R26">
        <f>IF(L26=TRUE,DONNEES_SOURCE!$BA25,"")</f>
        <v>5</v>
      </c>
      <c r="S26">
        <f>IF(L26=TRUE,DONNEES_SOURCE!$BB25,"")</f>
        <v>5</v>
      </c>
      <c r="T26">
        <f>IF(L26=TRUE,DONNEES_SOURCE!$BS25,"")</f>
        <v>3</v>
      </c>
      <c r="U26">
        <v>24</v>
      </c>
      <c r="V26">
        <f>IF(L26=TRUE,DONNEES_SOURCE!$BW25,"")</f>
        <v>5.75</v>
      </c>
    </row>
    <row r="27" spans="1:22" x14ac:dyDescent="0.25">
      <c r="A27" t="s">
        <v>903</v>
      </c>
      <c r="B27" t="s">
        <v>870</v>
      </c>
      <c r="C27" t="s">
        <v>299</v>
      </c>
      <c r="D27" cm="1">
        <f t="array" ref="D27">SUMPRODUCT(($L$3:$L$102=TRUE)*($Q$3:$Q$102&lt;&gt;"")*($N$3:$N$102&lt;&gt;""))</f>
        <v>67</v>
      </c>
      <c r="E27" cm="1">
        <f t="array" ref="E27">IFERROR(CORREL(_xlfn._xlws.FILTER(_xlfn.RANK.AVG($Q$3:$Q$102,$Q$3:$Q$102,1),($L$3:$L$102=TRUE)*($Q$3:$Q$102&lt;&gt;"")*($N$3:$N$102&lt;&gt;"")),_xlfn._xlws.FILTER(_xlfn.RANK.AVG($N$3:$N$102,$N$3:$N$102,1),($L$3:$L$102=TRUE)*($Q$3:$Q$102&lt;&gt;"")*($N$3:$N$102&lt;&gt;""))),0)</f>
        <v>0.27752373486238968</v>
      </c>
      <c r="F27">
        <f>IF(D27&gt;2,E27*SQRT(D27-2)/SQRT(1-E27^2),0)</f>
        <v>2.3289519529229112</v>
      </c>
      <c r="G27">
        <f>D27-2</f>
        <v>65</v>
      </c>
      <c r="H27">
        <f>IF(G27&gt;0,_xlfn.T.DIST.2T(ABS(F27),G27),1)</f>
        <v>2.2981405248366914E-2</v>
      </c>
      <c r="I27" t="str">
        <f>IF(H27&lt;0.001,"***",IF(H27&lt;0.01,"**",IF(H27&lt;0.05,"*",IF(H27&lt;0.1,".","NS"))))</f>
        <v>*</v>
      </c>
      <c r="J27" t="s">
        <v>904</v>
      </c>
      <c r="L27" t="b">
        <f>DONNEES_SOURCE!$CA26</f>
        <v>1</v>
      </c>
      <c r="M27">
        <f>IF(L27=TRUE,DONNEES_SOURCE!$CB26,"")</f>
        <v>5</v>
      </c>
      <c r="N27">
        <f>IF(L27=TRUE,DONNEES_SOURCE!$BY26,"")</f>
        <v>5</v>
      </c>
      <c r="O27">
        <f>IF(L27=TRUE,DONNEES_SOURCE!$BX26,"")</f>
        <v>5.3333000000000004</v>
      </c>
      <c r="P27">
        <f>IF(L27=TRUE,DONNEES_SOURCE!$AM26,"")</f>
        <v>6</v>
      </c>
      <c r="Q27">
        <f>IF(L27=TRUE,DONNEES_SOURCE!$AY26,"")</f>
        <v>5</v>
      </c>
      <c r="R27">
        <f>IF(L27=TRUE,DONNEES_SOURCE!$BA26,"")</f>
        <v>6</v>
      </c>
      <c r="S27">
        <f>IF(L27=TRUE,DONNEES_SOURCE!$BB26,"")</f>
        <v>6</v>
      </c>
      <c r="T27">
        <f>IF(L27=TRUE,DONNEES_SOURCE!$BS26,"")</f>
        <v>2</v>
      </c>
      <c r="U27">
        <v>25</v>
      </c>
      <c r="V27">
        <f>IF(L27=TRUE,DONNEES_SOURCE!$BW26,"")</f>
        <v>4.5</v>
      </c>
    </row>
    <row r="28" spans="1:22" x14ac:dyDescent="0.25">
      <c r="A28" t="s">
        <v>905</v>
      </c>
      <c r="B28" t="s">
        <v>775</v>
      </c>
      <c r="C28" t="s">
        <v>882</v>
      </c>
      <c r="D28" cm="1">
        <f t="array" ref="D28">SUMPRODUCT(($L$3:$L$102=TRUE)*($P$3:$P$102&lt;&gt;"")*($R$3:$R$102&lt;&gt;""))</f>
        <v>67</v>
      </c>
      <c r="E28" cm="1">
        <f t="array" ref="E28">IFERROR(CORREL(_xlfn._xlws.FILTER(_xlfn.RANK.AVG($P$3:$P$102,$P$3:$P$102,1),($L$3:$L$102=TRUE)*($P$3:$P$102&lt;&gt;"")*($R$3:$R$102&lt;&gt;"")),_xlfn._xlws.FILTER(_xlfn.RANK.AVG($R$3:$R$102,$R$3:$R$102,1),($L$3:$L$102=TRUE)*($P$3:$P$102&lt;&gt;"")*($R$3:$R$102&lt;&gt;""))),0)</f>
        <v>0.31197679547387774</v>
      </c>
      <c r="F28">
        <f>IF(D28&gt;2,E28*SQRT(D28-2)/SQRT(1-E28^2),0)</f>
        <v>2.6473682215702397</v>
      </c>
      <c r="G28">
        <f>D28-2</f>
        <v>65</v>
      </c>
      <c r="H28">
        <f>IF(G28&gt;0,_xlfn.T.DIST.2T(ABS(F28),G28),1)</f>
        <v>1.0167638677630889E-2</v>
      </c>
      <c r="I28" t="str">
        <f>IF(H28&lt;0.001,"***",IF(H28&lt;0.01,"**",IF(H28&lt;0.05,"*",IF(H28&lt;0.1,".","NS"))))</f>
        <v>*</v>
      </c>
      <c r="J28" t="s">
        <v>906</v>
      </c>
      <c r="L28" t="b">
        <f>DONNEES_SOURCE!$CA27</f>
        <v>1</v>
      </c>
      <c r="M28">
        <f>IF(L28=TRUE,DONNEES_SOURCE!$CB27,"")</f>
        <v>2</v>
      </c>
      <c r="N28">
        <f>IF(L28=TRUE,DONNEES_SOURCE!$BY27,"")</f>
        <v>4.2</v>
      </c>
      <c r="O28">
        <f>IF(L28=TRUE,DONNEES_SOURCE!$BX27,"")</f>
        <v>4.6666999999999996</v>
      </c>
      <c r="P28">
        <f>IF(L28=TRUE,DONNEES_SOURCE!$AM27,"")</f>
        <v>4</v>
      </c>
      <c r="Q28">
        <f>IF(L28=TRUE,DONNEES_SOURCE!$AY27,"")</f>
        <v>4</v>
      </c>
      <c r="R28">
        <f>IF(L28=TRUE,DONNEES_SOURCE!$BA27,"")</f>
        <v>5</v>
      </c>
      <c r="S28">
        <f>IF(L28=TRUE,DONNEES_SOURCE!$BB27,"")</f>
        <v>5</v>
      </c>
      <c r="T28">
        <f>IF(L28=TRUE,DONNEES_SOURCE!$BS27,"")</f>
        <v>4</v>
      </c>
      <c r="U28">
        <v>26</v>
      </c>
      <c r="V28">
        <f>IF(L28=TRUE,DONNEES_SOURCE!$BW27,"")</f>
        <v>4.5</v>
      </c>
    </row>
    <row r="29" spans="1:22" x14ac:dyDescent="0.25">
      <c r="A29" t="s">
        <v>907</v>
      </c>
      <c r="B29" t="s">
        <v>498</v>
      </c>
      <c r="C29" t="s">
        <v>883</v>
      </c>
      <c r="D29" cm="1">
        <f t="array" ref="D29">SUMPRODUCT(($L$3:$L$102=TRUE)*($M$3:$M$102&lt;&gt;"")*($S$3:$S$102&lt;&gt;""))</f>
        <v>67</v>
      </c>
      <c r="E29" cm="1">
        <f t="array" ref="E29">IFERROR(CORREL(_xlfn._xlws.FILTER(_xlfn.RANK.AVG($M$3:$M$102,$M$3:$M$102,1),($L$3:$L$102=TRUE)*($M$3:$M$102&lt;&gt;"")*($S$3:$S$102&lt;&gt;"")),_xlfn._xlws.FILTER(_xlfn.RANK.AVG($S$3:$S$102,$S$3:$S$102,1),($L$3:$L$102=TRUE)*($M$3:$M$102&lt;&gt;"")*($S$3:$S$102&lt;&gt;""))),0)</f>
        <v>0.28200723119044341</v>
      </c>
      <c r="F29">
        <f>IF(D29&gt;2,E29*SQRT(D29-2)/SQRT(1-E29^2),0)</f>
        <v>2.3697997554739008</v>
      </c>
      <c r="G29">
        <f>D29-2</f>
        <v>65</v>
      </c>
      <c r="H29">
        <f>IF(G29&gt;0,_xlfn.T.DIST.2T(ABS(F29),G29),1)</f>
        <v>2.0776025637154156E-2</v>
      </c>
      <c r="I29" t="str">
        <f>IF(H29&lt;0.001,"***",IF(H29&lt;0.01,"**",IF(H29&lt;0.05,"*",IF(H29&lt;0.1,".","NS"))))</f>
        <v>*</v>
      </c>
      <c r="J29" t="s">
        <v>908</v>
      </c>
      <c r="L29" t="b">
        <f>DONNEES_SOURCE!$CA28</f>
        <v>1</v>
      </c>
      <c r="M29">
        <f>IF(L29=TRUE,DONNEES_SOURCE!$CB28,"")</f>
        <v>2</v>
      </c>
      <c r="N29">
        <f>IF(L29=TRUE,DONNEES_SOURCE!$BY28,"")</f>
        <v>5.4</v>
      </c>
      <c r="O29">
        <f>IF(L29=TRUE,DONNEES_SOURCE!$BX28,"")</f>
        <v>4.6666999999999996</v>
      </c>
      <c r="P29">
        <f>IF(L29=TRUE,DONNEES_SOURCE!$AM28,"")</f>
        <v>7</v>
      </c>
      <c r="Q29">
        <f>IF(L29=TRUE,DONNEES_SOURCE!$AY28,"")</f>
        <v>5</v>
      </c>
      <c r="R29">
        <f>IF(L29=TRUE,DONNEES_SOURCE!$BA28,"")</f>
        <v>7</v>
      </c>
      <c r="S29">
        <f>IF(L29=TRUE,DONNEES_SOURCE!$BB28,"")</f>
        <v>4</v>
      </c>
      <c r="T29">
        <f>IF(L29=TRUE,DONNEES_SOURCE!$BS28,"")</f>
        <v>5</v>
      </c>
      <c r="U29">
        <v>27</v>
      </c>
      <c r="V29">
        <f>IF(L29=TRUE,DONNEES_SOURCE!$BW28,"")</f>
        <v>6.5</v>
      </c>
    </row>
    <row r="30" spans="1:22" x14ac:dyDescent="0.25">
      <c r="A30" t="s">
        <v>909</v>
      </c>
      <c r="B30" t="s">
        <v>498</v>
      </c>
      <c r="C30" t="s">
        <v>293</v>
      </c>
      <c r="D30" cm="1">
        <f t="array" ref="D30">SUMPRODUCT(($L$3:$L$102=TRUE)*($M$3:$M$102&lt;&gt;"")*($T$3:$T$102&lt;&gt;""))</f>
        <v>67</v>
      </c>
      <c r="E30" cm="1">
        <f t="array" ref="E30">IFERROR(CORREL(_xlfn._xlws.FILTER(_xlfn.RANK.AVG($M$3:$M$102,$M$3:$M$102,1),($L$3:$L$102=TRUE)*($M$3:$M$102&lt;&gt;"")*($T$3:$T$102&lt;&gt;"")),_xlfn._xlws.FILTER(_xlfn.RANK.AVG($T$3:$T$102,$T$3:$T$102,1),($L$3:$L$102=TRUE)*($M$3:$M$102&lt;&gt;"")*($T$3:$T$102&lt;&gt;""))),0)</f>
        <v>-0.27105278881799683</v>
      </c>
      <c r="F30">
        <f>IF(D30&gt;2,E30*SQRT(D30-2)/SQRT(1-E30^2),0)</f>
        <v>-2.2702868050791807</v>
      </c>
      <c r="G30">
        <f>D30-2</f>
        <v>65</v>
      </c>
      <c r="H30">
        <f>IF(G30&gt;0,_xlfn.T.DIST.2T(ABS(F30),G30),1)</f>
        <v>2.6512434964490749E-2</v>
      </c>
      <c r="I30" t="str">
        <f>IF(H30&lt;0.001,"***",IF(H30&lt;0.01,"**",IF(H30&lt;0.05,"*",IF(H30&lt;0.1,".","NS"))))</f>
        <v>*</v>
      </c>
      <c r="J30" t="s">
        <v>910</v>
      </c>
      <c r="L30" t="b">
        <f>DONNEES_SOURCE!$CA29</f>
        <v>1</v>
      </c>
      <c r="M30">
        <f>IF(L30=TRUE,DONNEES_SOURCE!$CB29,"")</f>
        <v>6</v>
      </c>
      <c r="N30">
        <f>IF(L30=TRUE,DONNEES_SOURCE!$BY29,"")</f>
        <v>5.2</v>
      </c>
      <c r="O30">
        <f>IF(L30=TRUE,DONNEES_SOURCE!$BX29,"")</f>
        <v>4.6666999999999996</v>
      </c>
      <c r="P30">
        <f>IF(L30=TRUE,DONNEES_SOURCE!$AM29,"")</f>
        <v>5</v>
      </c>
      <c r="Q30">
        <f>IF(L30=TRUE,DONNEES_SOURCE!$AY29,"")</f>
        <v>5</v>
      </c>
      <c r="R30">
        <f>IF(L30=TRUE,DONNEES_SOURCE!$BA29,"")</f>
        <v>4</v>
      </c>
      <c r="S30">
        <f>IF(L30=TRUE,DONNEES_SOURCE!$BB29,"")</f>
        <v>6</v>
      </c>
      <c r="T30">
        <f>IF(L30=TRUE,DONNEES_SOURCE!$BS29,"")</f>
        <v>4</v>
      </c>
      <c r="U30">
        <v>28</v>
      </c>
      <c r="V30">
        <f>IF(L30=TRUE,DONNEES_SOURCE!$BW29,"")</f>
        <v>4.75</v>
      </c>
    </row>
    <row r="31" spans="1:22" x14ac:dyDescent="0.25">
      <c r="L31" t="b">
        <f>DONNEES_SOURCE!$CA30</f>
        <v>1</v>
      </c>
      <c r="M31">
        <f>IF(L31=TRUE,DONNEES_SOURCE!$CB30,"")</f>
        <v>7</v>
      </c>
      <c r="N31">
        <f>IF(L31=TRUE,DONNEES_SOURCE!$BY30,"")</f>
        <v>4.8</v>
      </c>
      <c r="O31">
        <f>IF(L31=TRUE,DONNEES_SOURCE!$BX30,"")</f>
        <v>4.6666999999999996</v>
      </c>
      <c r="P31">
        <f>IF(L31=TRUE,DONNEES_SOURCE!$AM30,"")</f>
        <v>6</v>
      </c>
      <c r="Q31">
        <f>IF(L31=TRUE,DONNEES_SOURCE!$AY30,"")</f>
        <v>6</v>
      </c>
      <c r="R31">
        <f>IF(L31=TRUE,DONNEES_SOURCE!$BA30,"")</f>
        <v>5</v>
      </c>
      <c r="S31">
        <f>IF(L31=TRUE,DONNEES_SOURCE!$BB30,"")</f>
        <v>6</v>
      </c>
      <c r="T31">
        <f>IF(L31=TRUE,DONNEES_SOURCE!$BS30,"")</f>
        <v>3</v>
      </c>
      <c r="U31">
        <v>29</v>
      </c>
      <c r="V31">
        <f>IF(L31=TRUE,DONNEES_SOURCE!$BW30,"")</f>
        <v>5.25</v>
      </c>
    </row>
    <row r="32" spans="1:22" x14ac:dyDescent="0.25">
      <c r="L32" t="b">
        <f>DONNEES_SOURCE!$CA31</f>
        <v>1</v>
      </c>
      <c r="M32">
        <f>IF(L32=TRUE,DONNEES_SOURCE!$CB31,"")</f>
        <v>6</v>
      </c>
      <c r="N32">
        <f>IF(L32=TRUE,DONNEES_SOURCE!$BY31,"")</f>
        <v>4.5999999999999996</v>
      </c>
      <c r="O32">
        <f>IF(L32=TRUE,DONNEES_SOURCE!$BX31,"")</f>
        <v>3.3332999999999999</v>
      </c>
      <c r="P32">
        <f>IF(L32=TRUE,DONNEES_SOURCE!$AM31,"")</f>
        <v>5</v>
      </c>
      <c r="Q32">
        <f>IF(L32=TRUE,DONNEES_SOURCE!$AY31,"")</f>
        <v>6</v>
      </c>
      <c r="R32">
        <f>IF(L32=TRUE,DONNEES_SOURCE!$BA31,"")</f>
        <v>4</v>
      </c>
      <c r="S32">
        <f>IF(L32=TRUE,DONNEES_SOURCE!$BB31,"")</f>
        <v>6</v>
      </c>
      <c r="T32">
        <f>IF(L32=TRUE,DONNEES_SOURCE!$BS31,"")</f>
        <v>5</v>
      </c>
      <c r="U32">
        <v>30</v>
      </c>
      <c r="V32">
        <f>IF(L32=TRUE,DONNEES_SOURCE!$BW31,"")</f>
        <v>4.75</v>
      </c>
    </row>
    <row r="33" spans="1:22" x14ac:dyDescent="0.25">
      <c r="A33" s="294" t="s">
        <v>911</v>
      </c>
      <c r="B33" s="254"/>
      <c r="C33" s="254"/>
      <c r="D33" s="254"/>
      <c r="E33" s="254"/>
      <c r="F33" s="254"/>
      <c r="G33" s="254"/>
      <c r="H33" s="254"/>
      <c r="I33" s="254"/>
      <c r="J33" s="254"/>
      <c r="L33" t="b">
        <f>DONNEES_SOURCE!$CA32</f>
        <v>1</v>
      </c>
      <c r="M33">
        <f>IF(L33=TRUE,DONNEES_SOURCE!$CB32,"")</f>
        <v>4</v>
      </c>
      <c r="N33">
        <f>IF(L33=TRUE,DONNEES_SOURCE!$BY32,"")</f>
        <v>3.2</v>
      </c>
      <c r="O33">
        <f>IF(L33=TRUE,DONNEES_SOURCE!$BX32,"")</f>
        <v>2.6667000000000001</v>
      </c>
      <c r="P33">
        <f>IF(L33=TRUE,DONNEES_SOURCE!$AM32,"")</f>
        <v>7</v>
      </c>
      <c r="Q33">
        <f>IF(L33=TRUE,DONNEES_SOURCE!$AY32,"")</f>
        <v>5</v>
      </c>
      <c r="R33">
        <f>IF(L33=TRUE,DONNEES_SOURCE!$BA32,"")</f>
        <v>2</v>
      </c>
      <c r="S33">
        <f>IF(L33=TRUE,DONNEES_SOURCE!$BB32,"")</f>
        <v>4</v>
      </c>
      <c r="T33">
        <f>IF(L33=TRUE,DONNEES_SOURCE!$BS32,"")</f>
        <v>3</v>
      </c>
      <c r="U33">
        <v>31</v>
      </c>
      <c r="V33">
        <f>IF(L33=TRUE,DONNEES_SOURCE!$BW32,"")</f>
        <v>6.25</v>
      </c>
    </row>
    <row r="34" spans="1:22" x14ac:dyDescent="0.25">
      <c r="A34" s="295" t="s">
        <v>912</v>
      </c>
      <c r="B34" s="254"/>
      <c r="C34" s="254"/>
      <c r="D34" s="254"/>
      <c r="E34" s="254"/>
      <c r="F34" s="254"/>
      <c r="G34" s="254"/>
      <c r="H34" s="254"/>
      <c r="I34" s="254"/>
      <c r="J34" s="254"/>
      <c r="L34" t="b">
        <f>DONNEES_SOURCE!$CA33</f>
        <v>1</v>
      </c>
      <c r="M34">
        <f>IF(L34=TRUE,DONNEES_SOURCE!$CB33,"")</f>
        <v>7</v>
      </c>
      <c r="N34">
        <f>IF(L34=TRUE,DONNEES_SOURCE!$BY33,"")</f>
        <v>5.2</v>
      </c>
      <c r="O34">
        <f>IF(L34=TRUE,DONNEES_SOURCE!$BX33,"")</f>
        <v>5.3333000000000004</v>
      </c>
      <c r="P34">
        <f>IF(L34=TRUE,DONNEES_SOURCE!$AM33,"")</f>
        <v>5</v>
      </c>
      <c r="Q34">
        <f>IF(L34=TRUE,DONNEES_SOURCE!$AY33,"")</f>
        <v>6</v>
      </c>
      <c r="R34">
        <f>IF(L34=TRUE,DONNEES_SOURCE!$BA33,"")</f>
        <v>6</v>
      </c>
      <c r="S34">
        <f>IF(L34=TRUE,DONNEES_SOURCE!$BB33,"")</f>
        <v>5</v>
      </c>
      <c r="T34">
        <f>IF(L34=TRUE,DONNEES_SOURCE!$BS33,"")</f>
        <v>3</v>
      </c>
      <c r="U34">
        <v>32</v>
      </c>
      <c r="V34">
        <f>IF(L34=TRUE,DONNEES_SOURCE!$BW33,"")</f>
        <v>3.75</v>
      </c>
    </row>
    <row r="35" spans="1:22" x14ac:dyDescent="0.25">
      <c r="L35" t="b">
        <f>DONNEES_SOURCE!$CA34</f>
        <v>1</v>
      </c>
      <c r="M35">
        <f>IF(L35=TRUE,DONNEES_SOURCE!$CB34,"")</f>
        <v>5</v>
      </c>
      <c r="N35">
        <f>IF(L35=TRUE,DONNEES_SOURCE!$BY34,"")</f>
        <v>5.8</v>
      </c>
      <c r="O35">
        <f>IF(L35=TRUE,DONNEES_SOURCE!$BX34,"")</f>
        <v>4</v>
      </c>
      <c r="P35">
        <f>IF(L35=TRUE,DONNEES_SOURCE!$AM34,"")</f>
        <v>7</v>
      </c>
      <c r="Q35">
        <f>IF(L35=TRUE,DONNEES_SOURCE!$AY34,"")</f>
        <v>5</v>
      </c>
      <c r="R35">
        <f>IF(L35=TRUE,DONNEES_SOURCE!$BA34,"")</f>
        <v>7</v>
      </c>
      <c r="S35">
        <f>IF(L35=TRUE,DONNEES_SOURCE!$BB34,"")</f>
        <v>7</v>
      </c>
      <c r="T35">
        <f>IF(L35=TRUE,DONNEES_SOURCE!$BS34,"")</f>
        <v>6</v>
      </c>
      <c r="U35">
        <v>33</v>
      </c>
      <c r="V35">
        <f>IF(L35=TRUE,DONNEES_SOURCE!$BW34,"")</f>
        <v>5.5</v>
      </c>
    </row>
    <row r="36" spans="1:22" x14ac:dyDescent="0.25">
      <c r="A36" s="65" t="s">
        <v>913</v>
      </c>
      <c r="L36" t="b">
        <f>DONNEES_SOURCE!$CA35</f>
        <v>1</v>
      </c>
      <c r="M36">
        <f>IF(L36=TRUE,DONNEES_SOURCE!$CB35,"")</f>
        <v>5</v>
      </c>
      <c r="N36">
        <f>IF(L36=TRUE,DONNEES_SOURCE!$BY35,"")</f>
        <v>4.8</v>
      </c>
      <c r="O36">
        <f>IF(L36=TRUE,DONNEES_SOURCE!$BX35,"")</f>
        <v>4.6666999999999996</v>
      </c>
      <c r="P36">
        <f>IF(L36=TRUE,DONNEES_SOURCE!$AM35,"")</f>
        <v>6</v>
      </c>
      <c r="Q36">
        <f>IF(L36=TRUE,DONNEES_SOURCE!$AY35,"")</f>
        <v>5</v>
      </c>
      <c r="R36">
        <f>IF(L36=TRUE,DONNEES_SOURCE!$BA35,"")</f>
        <v>5</v>
      </c>
      <c r="S36">
        <f>IF(L36=TRUE,DONNEES_SOURCE!$BB35,"")</f>
        <v>6</v>
      </c>
      <c r="T36">
        <f>IF(L36=TRUE,DONNEES_SOURCE!$BS35,"")</f>
        <v>2</v>
      </c>
      <c r="U36">
        <v>34</v>
      </c>
      <c r="V36">
        <f>IF(L36=TRUE,DONNEES_SOURCE!$BW35,"")</f>
        <v>5.5</v>
      </c>
    </row>
    <row r="37" spans="1:22" x14ac:dyDescent="0.25">
      <c r="L37" t="b">
        <f>DONNEES_SOURCE!$CA36</f>
        <v>1</v>
      </c>
      <c r="M37">
        <f>IF(L37=TRUE,DONNEES_SOURCE!$CB36,"")</f>
        <v>5</v>
      </c>
      <c r="N37">
        <f>IF(L37=TRUE,DONNEES_SOURCE!$BY36,"")</f>
        <v>3.6</v>
      </c>
      <c r="O37">
        <f>IF(L37=TRUE,DONNEES_SOURCE!$BX36,"")</f>
        <v>4.6666999999999996</v>
      </c>
      <c r="P37">
        <f>IF(L37=TRUE,DONNEES_SOURCE!$AM36,"")</f>
        <v>7</v>
      </c>
      <c r="Q37">
        <f>IF(L37=TRUE,DONNEES_SOURCE!$AY36,"")</f>
        <v>2</v>
      </c>
      <c r="R37">
        <f>IF(L37=TRUE,DONNEES_SOURCE!$BA36,"")</f>
        <v>6</v>
      </c>
      <c r="S37">
        <f>IF(L37=TRUE,DONNEES_SOURCE!$BB36,"")</f>
        <v>4</v>
      </c>
      <c r="T37">
        <f>IF(L37=TRUE,DONNEES_SOURCE!$BS36,"")</f>
        <v>3</v>
      </c>
      <c r="U37">
        <v>35</v>
      </c>
      <c r="V37">
        <f>IF(L37=TRUE,DONNEES_SOURCE!$BW36,"")</f>
        <v>7</v>
      </c>
    </row>
    <row r="38" spans="1:22" x14ac:dyDescent="0.25">
      <c r="A38" t="s">
        <v>914</v>
      </c>
      <c r="B38" t="str">
        <f>IF(E29&gt;0,"✓ VRAI","✗ FAUX")</f>
        <v>✓ VRAI</v>
      </c>
      <c r="C38" t="str">
        <f>"ρ = "&amp;TEXT(E29,"0,000")</f>
        <v>ρ = 0,282</v>
      </c>
      <c r="L38" t="b">
        <f>DONNEES_SOURCE!$CA37</f>
        <v>1</v>
      </c>
      <c r="M38">
        <f>IF(L38=TRUE,DONNEES_SOURCE!$CB37,"")</f>
        <v>4</v>
      </c>
      <c r="N38">
        <f>IF(L38=TRUE,DONNEES_SOURCE!$BY37,"")</f>
        <v>5.2</v>
      </c>
      <c r="O38">
        <f>IF(L38=TRUE,DONNEES_SOURCE!$BX37,"")</f>
        <v>4.6666999999999996</v>
      </c>
      <c r="P38">
        <f>IF(L38=TRUE,DONNEES_SOURCE!$AM37,"")</f>
        <v>7</v>
      </c>
      <c r="Q38">
        <f>IF(L38=TRUE,DONNEES_SOURCE!$AY37,"")</f>
        <v>6</v>
      </c>
      <c r="R38">
        <f>IF(L38=TRUE,DONNEES_SOURCE!$BA37,"")</f>
        <v>6</v>
      </c>
      <c r="S38">
        <f>IF(L38=TRUE,DONNEES_SOURCE!$BB37,"")</f>
        <v>6</v>
      </c>
      <c r="T38">
        <f>IF(L38=TRUE,DONNEES_SOURCE!$BS37,"")</f>
        <v>4</v>
      </c>
      <c r="U38">
        <v>36</v>
      </c>
      <c r="V38">
        <f>IF(L38=TRUE,DONNEES_SOURCE!$BW37,"")</f>
        <v>7</v>
      </c>
    </row>
    <row r="39" spans="1:22" x14ac:dyDescent="0.25">
      <c r="A39" t="s">
        <v>915</v>
      </c>
      <c r="B39" t="str">
        <f>IF(E30&lt;0,"✓ VRAI","✗ FAUX")</f>
        <v>✓ VRAI</v>
      </c>
      <c r="C39" t="str">
        <f>"ρ = "&amp;TEXT(E30,"0,000")</f>
        <v>ρ = -0,271</v>
      </c>
      <c r="L39" t="b">
        <f>DONNEES_SOURCE!$CA38</f>
        <v>1</v>
      </c>
      <c r="M39">
        <f>IF(L39=TRUE,DONNEES_SOURCE!$CB38,"")</f>
        <v>5</v>
      </c>
      <c r="N39">
        <f>IF(L39=TRUE,DONNEES_SOURCE!$BY38,"")</f>
        <v>5</v>
      </c>
      <c r="O39">
        <f>IF(L39=TRUE,DONNEES_SOURCE!$BX38,"")</f>
        <v>5.3333000000000004</v>
      </c>
      <c r="P39">
        <f>IF(L39=TRUE,DONNEES_SOURCE!$AM38,"")</f>
        <v>6</v>
      </c>
      <c r="Q39">
        <f>IF(L39=TRUE,DONNEES_SOURCE!$AY38,"")</f>
        <v>6</v>
      </c>
      <c r="R39">
        <f>IF(L39=TRUE,DONNEES_SOURCE!$BA38,"")</f>
        <v>5</v>
      </c>
      <c r="S39">
        <f>IF(L39=TRUE,DONNEES_SOURCE!$BB38,"")</f>
        <v>5</v>
      </c>
      <c r="T39">
        <f>IF(L39=TRUE,DONNEES_SOURCE!$BS38,"")</f>
        <v>3</v>
      </c>
      <c r="U39">
        <v>37</v>
      </c>
      <c r="V39">
        <f>IF(L39=TRUE,DONNEES_SOURCE!$BW38,"")</f>
        <v>5.5</v>
      </c>
    </row>
    <row r="40" spans="1:22" x14ac:dyDescent="0.25">
      <c r="A40" t="s">
        <v>916</v>
      </c>
      <c r="B40" t="str">
        <f>IF(OR(H29&lt;0.1,H30&lt;0.1),"✓ VRAI","✗ FAUX")</f>
        <v>✓ VRAI</v>
      </c>
      <c r="C40" t="str">
        <f>"p(Q24)="&amp;TEXT(H29,"0,000")&amp;" ; p(Q25_inv)="&amp;TEXT(H30,"0,000")</f>
        <v>p(Q24)=0,021 ; p(Q25_inv)=0,027</v>
      </c>
      <c r="L40" t="b">
        <f>DONNEES_SOURCE!$CA39</f>
        <v>1</v>
      </c>
      <c r="M40">
        <f>IF(L40=TRUE,DONNEES_SOURCE!$CB39,"")</f>
        <v>6</v>
      </c>
      <c r="N40">
        <f>IF(L40=TRUE,DONNEES_SOURCE!$BY39,"")</f>
        <v>4.2</v>
      </c>
      <c r="O40">
        <f>IF(L40=TRUE,DONNEES_SOURCE!$BX39,"")</f>
        <v>6.3333000000000004</v>
      </c>
      <c r="P40">
        <f>IF(L40=TRUE,DONNEES_SOURCE!$AM39,"")</f>
        <v>7</v>
      </c>
      <c r="Q40">
        <f>IF(L40=TRUE,DONNEES_SOURCE!$AY39,"")</f>
        <v>6</v>
      </c>
      <c r="R40">
        <f>IF(L40=TRUE,DONNEES_SOURCE!$BA39,"")</f>
        <v>5</v>
      </c>
      <c r="S40">
        <f>IF(L40=TRUE,DONNEES_SOURCE!$BB39,"")</f>
        <v>6</v>
      </c>
      <c r="T40">
        <f>IF(L40=TRUE,DONNEES_SOURCE!$BS39,"")</f>
        <v>2</v>
      </c>
      <c r="U40">
        <v>38</v>
      </c>
      <c r="V40">
        <f>IF(L40=TRUE,DONNEES_SOURCE!$BW39,"")</f>
        <v>6.5</v>
      </c>
    </row>
    <row r="41" spans="1:22" x14ac:dyDescent="0.25">
      <c r="L41" t="b">
        <f>DONNEES_SOURCE!$CA40</f>
        <v>1</v>
      </c>
      <c r="M41">
        <f>IF(L41=TRUE,DONNEES_SOURCE!$CB40,"")</f>
        <v>4</v>
      </c>
      <c r="N41">
        <f>IF(L41=TRUE,DONNEES_SOURCE!$BY40,"")</f>
        <v>5.4</v>
      </c>
      <c r="O41">
        <f>IF(L41=TRUE,DONNEES_SOURCE!$BX40,"")</f>
        <v>4.6666999999999996</v>
      </c>
      <c r="P41">
        <f>IF(L41=TRUE,DONNEES_SOURCE!$AM40,"")</f>
        <v>6</v>
      </c>
      <c r="Q41">
        <f>IF(L41=TRUE,DONNEES_SOURCE!$AY40,"")</f>
        <v>5</v>
      </c>
      <c r="R41">
        <f>IF(L41=TRUE,DONNEES_SOURCE!$BA40,"")</f>
        <v>6</v>
      </c>
      <c r="S41">
        <f>IF(L41=TRUE,DONNEES_SOURCE!$BB40,"")</f>
        <v>6</v>
      </c>
      <c r="T41">
        <f>IF(L41=TRUE,DONNEES_SOURCE!$BS40,"")</f>
        <v>4</v>
      </c>
      <c r="U41">
        <v>39</v>
      </c>
      <c r="V41">
        <f>IF(L41=TRUE,DONNEES_SOURCE!$BW40,"")</f>
        <v>5.75</v>
      </c>
    </row>
    <row r="42" spans="1:22" x14ac:dyDescent="0.25">
      <c r="A42" s="71" t="s">
        <v>917</v>
      </c>
      <c r="B42" s="311" t="str">
        <f>IF(AND(E29&gt;0,E30&lt;0,OR(H29&lt;0.1,H30&lt;0.1)),"BIAIS DÉTECTÉ","PAS DE BIAIS CLAIR")</f>
        <v>BIAIS DÉTECTÉ</v>
      </c>
      <c r="C42" s="311"/>
      <c r="D42" s="311"/>
      <c r="L42" t="b">
        <f>DONNEES_SOURCE!$CA41</f>
        <v>1</v>
      </c>
      <c r="M42">
        <f>IF(L42=TRUE,DONNEES_SOURCE!$CB41,"")</f>
        <v>5</v>
      </c>
      <c r="N42">
        <f>IF(L42=TRUE,DONNEES_SOURCE!$BY41,"")</f>
        <v>5.8</v>
      </c>
      <c r="O42">
        <f>IF(L42=TRUE,DONNEES_SOURCE!$BX41,"")</f>
        <v>5.3333000000000004</v>
      </c>
      <c r="P42">
        <f>IF(L42=TRUE,DONNEES_SOURCE!$AM41,"")</f>
        <v>7</v>
      </c>
      <c r="Q42">
        <f>IF(L42=TRUE,DONNEES_SOURCE!$AY41,"")</f>
        <v>5</v>
      </c>
      <c r="R42">
        <f>IF(L42=TRUE,DONNEES_SOURCE!$BA41,"")</f>
        <v>6</v>
      </c>
      <c r="S42">
        <f>IF(L42=TRUE,DONNEES_SOURCE!$BB41,"")</f>
        <v>6</v>
      </c>
      <c r="T42">
        <f>IF(L42=TRUE,DONNEES_SOURCE!$BS41,"")</f>
        <v>5</v>
      </c>
      <c r="U42">
        <v>40</v>
      </c>
      <c r="V42">
        <f>IF(L42=TRUE,DONNEES_SOURCE!$BW41,"")</f>
        <v>6.25</v>
      </c>
    </row>
    <row r="43" spans="1:22" x14ac:dyDescent="0.25">
      <c r="L43" t="b">
        <f>DONNEES_SOURCE!$CA42</f>
        <v>1</v>
      </c>
      <c r="M43">
        <f>IF(L43=TRUE,DONNEES_SOURCE!$CB42,"")</f>
        <v>7</v>
      </c>
      <c r="N43">
        <f>IF(L43=TRUE,DONNEES_SOURCE!$BY42,"")</f>
        <v>3.8</v>
      </c>
      <c r="O43">
        <f>IF(L43=TRUE,DONNEES_SOURCE!$BX42,"")</f>
        <v>6</v>
      </c>
      <c r="P43">
        <f>IF(L43=TRUE,DONNEES_SOURCE!$AM42,"")</f>
        <v>6</v>
      </c>
      <c r="Q43">
        <f>IF(L43=TRUE,DONNEES_SOURCE!$AY42,"")</f>
        <v>7</v>
      </c>
      <c r="R43">
        <f>IF(L43=TRUE,DONNEES_SOURCE!$BA42,"")</f>
        <v>6</v>
      </c>
      <c r="S43">
        <f>IF(L43=TRUE,DONNEES_SOURCE!$BB42,"")</f>
        <v>7</v>
      </c>
      <c r="T43">
        <f>IF(L43=TRUE,DONNEES_SOURCE!$BS42,"")</f>
        <v>1</v>
      </c>
      <c r="U43">
        <v>41</v>
      </c>
      <c r="V43">
        <f>IF(L43=TRUE,DONNEES_SOURCE!$BW42,"")</f>
        <v>4.5</v>
      </c>
    </row>
    <row r="44" spans="1:22" x14ac:dyDescent="0.25">
      <c r="L44" t="b">
        <f>DONNEES_SOURCE!$CA43</f>
        <v>1</v>
      </c>
      <c r="M44">
        <f>IF(L44=TRUE,DONNEES_SOURCE!$CB43,"")</f>
        <v>5</v>
      </c>
      <c r="N44">
        <f>IF(L44=TRUE,DONNEES_SOURCE!$BY43,"")</f>
        <v>5.8</v>
      </c>
      <c r="O44">
        <f>IF(L44=TRUE,DONNEES_SOURCE!$BX43,"")</f>
        <v>6</v>
      </c>
      <c r="P44">
        <f>IF(L44=TRUE,DONNEES_SOURCE!$AM43,"")</f>
        <v>7</v>
      </c>
      <c r="Q44">
        <f>IF(L44=TRUE,DONNEES_SOURCE!$AY43,"")</f>
        <v>7</v>
      </c>
      <c r="R44">
        <f>IF(L44=TRUE,DONNEES_SOURCE!$BA43,"")</f>
        <v>5</v>
      </c>
      <c r="S44">
        <f>IF(L44=TRUE,DONNEES_SOURCE!$BB43,"")</f>
        <v>7</v>
      </c>
      <c r="T44">
        <f>IF(L44=TRUE,DONNEES_SOURCE!$BS43,"")</f>
        <v>6</v>
      </c>
      <c r="U44">
        <v>42</v>
      </c>
      <c r="V44">
        <f>IF(L44=TRUE,DONNEES_SOURCE!$BW43,"")</f>
        <v>6.75</v>
      </c>
    </row>
    <row r="45" spans="1:22" x14ac:dyDescent="0.25">
      <c r="A45" s="294" t="s">
        <v>918</v>
      </c>
      <c r="B45" s="254"/>
      <c r="C45" s="254"/>
      <c r="D45" s="254"/>
      <c r="E45" s="254"/>
      <c r="F45" s="254"/>
      <c r="G45" s="254"/>
      <c r="H45" s="254"/>
      <c r="I45" s="254"/>
      <c r="J45" s="254"/>
      <c r="L45" t="b">
        <f>DONNEES_SOURCE!$CA44</f>
        <v>1</v>
      </c>
      <c r="M45">
        <f>IF(L45=TRUE,DONNEES_SOURCE!$CB44,"")</f>
        <v>5</v>
      </c>
      <c r="N45">
        <f>IF(L45=TRUE,DONNEES_SOURCE!$BY44,"")</f>
        <v>5.4</v>
      </c>
      <c r="O45">
        <f>IF(L45=TRUE,DONNEES_SOURCE!$BX44,"")</f>
        <v>4.3333000000000004</v>
      </c>
      <c r="P45">
        <f>IF(L45=TRUE,DONNEES_SOURCE!$AM44,"")</f>
        <v>6</v>
      </c>
      <c r="Q45">
        <f>IF(L45=TRUE,DONNEES_SOURCE!$AY44,"")</f>
        <v>5</v>
      </c>
      <c r="R45">
        <f>IF(L45=TRUE,DONNEES_SOURCE!$BA44,"")</f>
        <v>5</v>
      </c>
      <c r="S45">
        <f>IF(L45=TRUE,DONNEES_SOURCE!$BB44,"")</f>
        <v>5</v>
      </c>
      <c r="T45">
        <f>IF(L45=TRUE,DONNEES_SOURCE!$BS44,"")</f>
        <v>5</v>
      </c>
      <c r="U45">
        <v>43</v>
      </c>
      <c r="V45">
        <f>IF(L45=TRUE,DONNEES_SOURCE!$BW44,"")</f>
        <v>5.75</v>
      </c>
    </row>
    <row r="46" spans="1:22" x14ac:dyDescent="0.25">
      <c r="L46" t="b">
        <f>DONNEES_SOURCE!$CA45</f>
        <v>1</v>
      </c>
      <c r="M46">
        <f>IF(L46=TRUE,DONNEES_SOURCE!$CB45,"")</f>
        <v>6</v>
      </c>
      <c r="N46">
        <f>IF(L46=TRUE,DONNEES_SOURCE!$BY45,"")</f>
        <v>4.4000000000000004</v>
      </c>
      <c r="O46">
        <f>IF(L46=TRUE,DONNEES_SOURCE!$BX45,"")</f>
        <v>4</v>
      </c>
      <c r="P46">
        <f>IF(L46=TRUE,DONNEES_SOURCE!$AM45,"")</f>
        <v>6</v>
      </c>
      <c r="Q46">
        <f>IF(L46=TRUE,DONNEES_SOURCE!$AY45,"")</f>
        <v>5</v>
      </c>
      <c r="R46">
        <f>IF(L46=TRUE,DONNEES_SOURCE!$BA45,"")</f>
        <v>5</v>
      </c>
      <c r="S46">
        <f>IF(L46=TRUE,DONNEES_SOURCE!$BB45,"")</f>
        <v>5</v>
      </c>
      <c r="T46">
        <f>IF(L46=TRUE,DONNEES_SOURCE!$BS45,"")</f>
        <v>4</v>
      </c>
      <c r="U46">
        <v>44</v>
      </c>
      <c r="V46">
        <f>IF(L46=TRUE,DONNEES_SOURCE!$BW45,"")</f>
        <v>5.25</v>
      </c>
    </row>
    <row r="47" spans="1:22" x14ac:dyDescent="0.25">
      <c r="A47" s="71" t="s">
        <v>919</v>
      </c>
      <c r="L47" t="b">
        <f>DONNEES_SOURCE!$CA46</f>
        <v>1</v>
      </c>
      <c r="M47">
        <f>IF(L47=TRUE,DONNEES_SOURCE!$CB46,"")</f>
        <v>6</v>
      </c>
      <c r="N47">
        <f>IF(L47=TRUE,DONNEES_SOURCE!$BY46,"")</f>
        <v>6.4</v>
      </c>
      <c r="O47">
        <f>IF(L47=TRUE,DONNEES_SOURCE!$BX46,"")</f>
        <v>6.3333000000000004</v>
      </c>
      <c r="P47">
        <f>IF(L47=TRUE,DONNEES_SOURCE!$AM46,"")</f>
        <v>7</v>
      </c>
      <c r="Q47">
        <f>IF(L47=TRUE,DONNEES_SOURCE!$AY46,"")</f>
        <v>7</v>
      </c>
      <c r="R47">
        <f>IF(L47=TRUE,DONNEES_SOURCE!$BA46,"")</f>
        <v>7</v>
      </c>
      <c r="S47">
        <f>IF(L47=TRUE,DONNEES_SOURCE!$BB46,"")</f>
        <v>7</v>
      </c>
      <c r="T47">
        <f>IF(L47=TRUE,DONNEES_SOURCE!$BS46,"")</f>
        <v>5</v>
      </c>
      <c r="U47">
        <v>45</v>
      </c>
      <c r="V47">
        <f>IF(L47=TRUE,DONNEES_SOURCE!$BW46,"")</f>
        <v>5.5</v>
      </c>
    </row>
    <row r="48" spans="1:22" x14ac:dyDescent="0.25">
      <c r="L48" t="b">
        <f>DONNEES_SOURCE!$CA47</f>
        <v>1</v>
      </c>
      <c r="M48">
        <f>IF(L48=TRUE,DONNEES_SOURCE!$CB47,"")</f>
        <v>4</v>
      </c>
      <c r="N48">
        <f>IF(L48=TRUE,DONNEES_SOURCE!$BY47,"")</f>
        <v>3.6</v>
      </c>
      <c r="O48">
        <f>IF(L48=TRUE,DONNEES_SOURCE!$BX47,"")</f>
        <v>4.3333000000000004</v>
      </c>
      <c r="P48">
        <f>IF(L48=TRUE,DONNEES_SOURCE!$AM47,"")</f>
        <v>5</v>
      </c>
      <c r="Q48">
        <f>IF(L48=TRUE,DONNEES_SOURCE!$AY47,"")</f>
        <v>5</v>
      </c>
      <c r="R48">
        <f>IF(L48=TRUE,DONNEES_SOURCE!$BA47,"")</f>
        <v>2</v>
      </c>
      <c r="S48">
        <f>IF(L48=TRUE,DONNEES_SOURCE!$BB47,"")</f>
        <v>5</v>
      </c>
      <c r="T48">
        <f>IF(L48=TRUE,DONNEES_SOURCE!$BS47,"")</f>
        <v>3</v>
      </c>
      <c r="U48">
        <v>46</v>
      </c>
      <c r="V48">
        <f>IF(L48=TRUE,DONNEES_SOURCE!$BW47,"")</f>
        <v>5.5</v>
      </c>
    </row>
    <row r="49" spans="1:22" x14ac:dyDescent="0.25">
      <c r="A49" t="s">
        <v>920</v>
      </c>
      <c r="B49" t="str">
        <f>IF(AND(E27&gt;0,H27&lt;0.05),"CONFIRMÉ","NON CONFIRMÉ")</f>
        <v>CONFIRMÉ</v>
      </c>
      <c r="C49" t="str">
        <f>"(ρ="&amp;TEXT(E27,"0,00")&amp;", p="&amp;TEXT(H27,"0,000")&amp;")"</f>
        <v>(ρ=0,28, p=0,023)</v>
      </c>
      <c r="L49" t="b">
        <f>DONNEES_SOURCE!$CA48</f>
        <v>1</v>
      </c>
      <c r="M49">
        <f>IF(L49=TRUE,DONNEES_SOURCE!$CB48,"")</f>
        <v>5</v>
      </c>
      <c r="N49">
        <f>IF(L49=TRUE,DONNEES_SOURCE!$BY48,"")</f>
        <v>5.6</v>
      </c>
      <c r="O49">
        <f>IF(L49=TRUE,DONNEES_SOURCE!$BX48,"")</f>
        <v>3.3332999999999999</v>
      </c>
      <c r="P49">
        <f>IF(L49=TRUE,DONNEES_SOURCE!$AM48,"")</f>
        <v>6</v>
      </c>
      <c r="Q49">
        <f>IF(L49=TRUE,DONNEES_SOURCE!$AY48,"")</f>
        <v>4</v>
      </c>
      <c r="R49">
        <f>IF(L49=TRUE,DONNEES_SOURCE!$BA48,"")</f>
        <v>6</v>
      </c>
      <c r="S49">
        <f>IF(L49=TRUE,DONNEES_SOURCE!$BB48,"")</f>
        <v>7</v>
      </c>
      <c r="T49">
        <f>IF(L49=TRUE,DONNEES_SOURCE!$BS48,"")</f>
        <v>4</v>
      </c>
      <c r="U49">
        <v>47</v>
      </c>
      <c r="V49">
        <f>IF(L49=TRUE,DONNEES_SOURCE!$BW48,"")</f>
        <v>6</v>
      </c>
    </row>
    <row r="50" spans="1:22" x14ac:dyDescent="0.25">
      <c r="A50" s="254" t="s">
        <v>921</v>
      </c>
      <c r="B50" s="254"/>
      <c r="C50" s="254"/>
      <c r="D50" s="254"/>
      <c r="E50" s="254"/>
      <c r="F50" s="254"/>
      <c r="G50" s="254"/>
      <c r="H50" s="254"/>
      <c r="I50" s="254"/>
      <c r="J50" s="254"/>
      <c r="L50" t="b">
        <f>DONNEES_SOURCE!$CA49</f>
        <v>1</v>
      </c>
      <c r="M50">
        <f>IF(L50=TRUE,DONNEES_SOURCE!$CB49,"")</f>
        <v>5</v>
      </c>
      <c r="N50">
        <f>IF(L50=TRUE,DONNEES_SOURCE!$BY49,"")</f>
        <v>6.2</v>
      </c>
      <c r="O50">
        <f>IF(L50=TRUE,DONNEES_SOURCE!$BX49,"")</f>
        <v>5.3333000000000004</v>
      </c>
      <c r="P50">
        <f>IF(L50=TRUE,DONNEES_SOURCE!$AM49,"")</f>
        <v>7</v>
      </c>
      <c r="Q50">
        <f>IF(L50=TRUE,DONNEES_SOURCE!$AY49,"")</f>
        <v>6</v>
      </c>
      <c r="R50">
        <f>IF(L50=TRUE,DONNEES_SOURCE!$BA49,"")</f>
        <v>6</v>
      </c>
      <c r="S50">
        <f>IF(L50=TRUE,DONNEES_SOURCE!$BB49,"")</f>
        <v>7</v>
      </c>
      <c r="T50">
        <f>IF(L50=TRUE,DONNEES_SOURCE!$BS49,"")</f>
        <v>5</v>
      </c>
      <c r="U50">
        <v>48</v>
      </c>
      <c r="V50">
        <f>IF(L50=TRUE,DONNEES_SOURCE!$BW49,"")</f>
        <v>5.25</v>
      </c>
    </row>
    <row r="51" spans="1:22" x14ac:dyDescent="0.25">
      <c r="L51" t="b">
        <f>DONNEES_SOURCE!$CA50</f>
        <v>1</v>
      </c>
      <c r="M51">
        <f>IF(L51=TRUE,DONNEES_SOURCE!$CB50,"")</f>
        <v>5</v>
      </c>
      <c r="N51">
        <f>IF(L51=TRUE,DONNEES_SOURCE!$BY50,"")</f>
        <v>5</v>
      </c>
      <c r="O51">
        <f>IF(L51=TRUE,DONNEES_SOURCE!$BX50,"")</f>
        <v>5</v>
      </c>
      <c r="P51">
        <f>IF(L51=TRUE,DONNEES_SOURCE!$AM50,"")</f>
        <v>7</v>
      </c>
      <c r="Q51">
        <f>IF(L51=TRUE,DONNEES_SOURCE!$AY50,"")</f>
        <v>5</v>
      </c>
      <c r="R51">
        <f>IF(L51=TRUE,DONNEES_SOURCE!$BA50,"")</f>
        <v>4</v>
      </c>
      <c r="S51">
        <f>IF(L51=TRUE,DONNEES_SOURCE!$BB50,"")</f>
        <v>5</v>
      </c>
      <c r="T51">
        <f>IF(L51=TRUE,DONNEES_SOURCE!$BS50,"")</f>
        <v>3</v>
      </c>
      <c r="U51">
        <v>49</v>
      </c>
      <c r="V51">
        <f>IF(L51=TRUE,DONNEES_SOURCE!$BW50,"")</f>
        <v>4.25</v>
      </c>
    </row>
    <row r="52" spans="1:22" x14ac:dyDescent="0.25">
      <c r="A52" t="s">
        <v>922</v>
      </c>
      <c r="B52" t="str">
        <f>IF(AND(E28&gt;0,H28&lt;0.1),"TENDANCE","NS")</f>
        <v>TENDANCE</v>
      </c>
      <c r="C52" t="str">
        <f>"(ρ="&amp;TEXT(E28,"0,00")&amp;", p="&amp;TEXT(H28,"0,000")&amp;")"</f>
        <v>(ρ=0,31, p=0,010)</v>
      </c>
      <c r="L52" t="b">
        <f>DONNEES_SOURCE!$CA51</f>
        <v>1</v>
      </c>
      <c r="M52">
        <f>IF(L52=TRUE,DONNEES_SOURCE!$CB51,"")</f>
        <v>5</v>
      </c>
      <c r="N52">
        <f>IF(L52=TRUE,DONNEES_SOURCE!$BY51,"")</f>
        <v>4.2</v>
      </c>
      <c r="O52">
        <f>IF(L52=TRUE,DONNEES_SOURCE!$BX51,"")</f>
        <v>4.6666999999999996</v>
      </c>
      <c r="P52">
        <f>IF(L52=TRUE,DONNEES_SOURCE!$AM51,"")</f>
        <v>7</v>
      </c>
      <c r="Q52">
        <f>IF(L52=TRUE,DONNEES_SOURCE!$AY51,"")</f>
        <v>5</v>
      </c>
      <c r="R52">
        <f>IF(L52=TRUE,DONNEES_SOURCE!$BA51,"")</f>
        <v>3</v>
      </c>
      <c r="S52">
        <f>IF(L52=TRUE,DONNEES_SOURCE!$BB51,"")</f>
        <v>5</v>
      </c>
      <c r="T52">
        <f>IF(L52=TRUE,DONNEES_SOURCE!$BS51,"")</f>
        <v>5</v>
      </c>
      <c r="U52">
        <v>50</v>
      </c>
      <c r="V52">
        <f>IF(L52=TRUE,DONNEES_SOURCE!$BW51,"")</f>
        <v>5.5</v>
      </c>
    </row>
    <row r="53" spans="1:22" x14ac:dyDescent="0.25">
      <c r="A53" s="254" t="s">
        <v>923</v>
      </c>
      <c r="B53" s="254"/>
      <c r="C53" s="254"/>
      <c r="D53" s="254"/>
      <c r="E53" s="254"/>
      <c r="F53" s="254"/>
      <c r="G53" s="254"/>
      <c r="H53" s="254"/>
      <c r="I53" s="254"/>
      <c r="J53" s="254"/>
      <c r="L53" t="b">
        <f>DONNEES_SOURCE!$CA52</f>
        <v>1</v>
      </c>
      <c r="M53">
        <f>IF(L53=TRUE,DONNEES_SOURCE!$CB52,"")</f>
        <v>4</v>
      </c>
      <c r="N53">
        <f>IF(L53=TRUE,DONNEES_SOURCE!$BY52,"")</f>
        <v>4.2</v>
      </c>
      <c r="O53">
        <f>IF(L53=TRUE,DONNEES_SOURCE!$BX52,"")</f>
        <v>4.3333000000000004</v>
      </c>
      <c r="P53">
        <f>IF(L53=TRUE,DONNEES_SOURCE!$AM52,"")</f>
        <v>7</v>
      </c>
      <c r="Q53">
        <f>IF(L53=TRUE,DONNEES_SOURCE!$AY52,"")</f>
        <v>5</v>
      </c>
      <c r="R53">
        <f>IF(L53=TRUE,DONNEES_SOURCE!$BA52,"")</f>
        <v>6</v>
      </c>
      <c r="S53">
        <f>IF(L53=TRUE,DONNEES_SOURCE!$BB52,"")</f>
        <v>6</v>
      </c>
      <c r="T53">
        <f>IF(L53=TRUE,DONNEES_SOURCE!$BS52,"")</f>
        <v>1</v>
      </c>
      <c r="U53">
        <v>51</v>
      </c>
      <c r="V53">
        <f>IF(L53=TRUE,DONNEES_SOURCE!$BW52,"")</f>
        <v>6.25</v>
      </c>
    </row>
    <row r="54" spans="1:22" x14ac:dyDescent="0.25">
      <c r="L54" t="b">
        <f>DONNEES_SOURCE!$CA53</f>
        <v>1</v>
      </c>
      <c r="M54">
        <f>IF(L54=TRUE,DONNEES_SOURCE!$CB53,"")</f>
        <v>7</v>
      </c>
      <c r="N54">
        <f>IF(L54=TRUE,DONNEES_SOURCE!$BY53,"")</f>
        <v>6.2</v>
      </c>
      <c r="O54">
        <f>IF(L54=TRUE,DONNEES_SOURCE!$BX53,"")</f>
        <v>4.6666999999999996</v>
      </c>
      <c r="P54">
        <f>IF(L54=TRUE,DONNEES_SOURCE!$AM53,"")</f>
        <v>7</v>
      </c>
      <c r="Q54">
        <f>IF(L54=TRUE,DONNEES_SOURCE!$AY53,"")</f>
        <v>5</v>
      </c>
      <c r="R54">
        <f>IF(L54=TRUE,DONNEES_SOURCE!$BA53,"")</f>
        <v>7</v>
      </c>
      <c r="S54">
        <f>IF(L54=TRUE,DONNEES_SOURCE!$BB53,"")</f>
        <v>6</v>
      </c>
      <c r="T54">
        <f>IF(L54=TRUE,DONNEES_SOURCE!$BS53,"")</f>
        <v>4</v>
      </c>
      <c r="U54">
        <v>52</v>
      </c>
      <c r="V54">
        <f>IF(L54=TRUE,DONNEES_SOURCE!$BW53,"")</f>
        <v>5.5</v>
      </c>
    </row>
    <row r="55" spans="1:22" x14ac:dyDescent="0.25">
      <c r="A55" t="s">
        <v>924</v>
      </c>
      <c r="B55" t="str">
        <f>B42</f>
        <v>BIAIS DÉTECTÉ</v>
      </c>
      <c r="L55" t="b">
        <f>DONNEES_SOURCE!$CA54</f>
        <v>1</v>
      </c>
      <c r="M55">
        <f>IF(L55=TRUE,DONNEES_SOURCE!$CB54,"")</f>
        <v>7</v>
      </c>
      <c r="N55">
        <f>IF(L55=TRUE,DONNEES_SOURCE!$BY54,"")</f>
        <v>5.2</v>
      </c>
      <c r="O55">
        <f>IF(L55=TRUE,DONNEES_SOURCE!$BX54,"")</f>
        <v>4.6666999999999996</v>
      </c>
      <c r="P55">
        <f>IF(L55=TRUE,DONNEES_SOURCE!$AM54,"")</f>
        <v>7</v>
      </c>
      <c r="Q55">
        <f>IF(L55=TRUE,DONNEES_SOURCE!$AY54,"")</f>
        <v>5</v>
      </c>
      <c r="R55">
        <f>IF(L55=TRUE,DONNEES_SOURCE!$BA54,"")</f>
        <v>6</v>
      </c>
      <c r="S55">
        <f>IF(L55=TRUE,DONNEES_SOURCE!$BB54,"")</f>
        <v>6</v>
      </c>
      <c r="T55">
        <f>IF(L55=TRUE,DONNEES_SOURCE!$BS54,"")</f>
        <v>3</v>
      </c>
      <c r="U55">
        <v>53</v>
      </c>
      <c r="V55">
        <f>IF(L55=TRUE,DONNEES_SOURCE!$BW54,"")</f>
        <v>4.75</v>
      </c>
    </row>
    <row r="56" spans="1:22" x14ac:dyDescent="0.25">
      <c r="A56" s="254" t="s">
        <v>925</v>
      </c>
      <c r="B56" s="254"/>
      <c r="C56" s="254"/>
      <c r="D56" s="254"/>
      <c r="E56" s="254"/>
      <c r="F56" s="254"/>
      <c r="G56" s="254"/>
      <c r="H56" s="254"/>
      <c r="I56" s="254"/>
      <c r="J56" s="254"/>
      <c r="L56" t="b">
        <f>DONNEES_SOURCE!$CA55</f>
        <v>1</v>
      </c>
      <c r="M56">
        <f>IF(L56=TRUE,DONNEES_SOURCE!$CB55,"")</f>
        <v>5</v>
      </c>
      <c r="N56">
        <f>IF(L56=TRUE,DONNEES_SOURCE!$BY55,"")</f>
        <v>6.2</v>
      </c>
      <c r="O56">
        <f>IF(L56=TRUE,DONNEES_SOURCE!$BX55,"")</f>
        <v>6</v>
      </c>
      <c r="P56">
        <f>IF(L56=TRUE,DONNEES_SOURCE!$AM55,"")</f>
        <v>6</v>
      </c>
      <c r="Q56">
        <f>IF(L56=TRUE,DONNEES_SOURCE!$AY55,"")</f>
        <v>6</v>
      </c>
      <c r="R56">
        <f>IF(L56=TRUE,DONNEES_SOURCE!$BA55,"")</f>
        <v>7</v>
      </c>
      <c r="S56">
        <f>IF(L56=TRUE,DONNEES_SOURCE!$BB55,"")</f>
        <v>7</v>
      </c>
      <c r="T56">
        <f>IF(L56=TRUE,DONNEES_SOURCE!$BS55,"")</f>
        <v>3</v>
      </c>
      <c r="U56">
        <v>54</v>
      </c>
      <c r="V56">
        <f>IF(L56=TRUE,DONNEES_SOURCE!$BW55,"")</f>
        <v>4.5</v>
      </c>
    </row>
    <row r="57" spans="1:22" x14ac:dyDescent="0.25">
      <c r="L57" t="b">
        <f>DONNEES_SOURCE!$CA56</f>
        <v>1</v>
      </c>
      <c r="M57">
        <f>IF(L57=TRUE,DONNEES_SOURCE!$CB56,"")</f>
        <v>5</v>
      </c>
      <c r="N57">
        <f>IF(L57=TRUE,DONNEES_SOURCE!$BY56,"")</f>
        <v>5</v>
      </c>
      <c r="O57">
        <f>IF(L57=TRUE,DONNEES_SOURCE!$BX56,"")</f>
        <v>5</v>
      </c>
      <c r="P57">
        <f>IF(L57=TRUE,DONNEES_SOURCE!$AM56,"")</f>
        <v>6</v>
      </c>
      <c r="Q57">
        <f>IF(L57=TRUE,DONNEES_SOURCE!$AY56,"")</f>
        <v>5</v>
      </c>
      <c r="R57">
        <f>IF(L57=TRUE,DONNEES_SOURCE!$BA56,"")</f>
        <v>5</v>
      </c>
      <c r="S57">
        <f>IF(L57=TRUE,DONNEES_SOURCE!$BB56,"")</f>
        <v>6</v>
      </c>
      <c r="T57">
        <f>IF(L57=TRUE,DONNEES_SOURCE!$BS56,"")</f>
        <v>3</v>
      </c>
      <c r="U57">
        <v>55</v>
      </c>
      <c r="V57">
        <f>IF(L57=TRUE,DONNEES_SOURCE!$BW56,"")</f>
        <v>4.25</v>
      </c>
    </row>
    <row r="58" spans="1:22" x14ac:dyDescent="0.25">
      <c r="L58" t="b">
        <f>DONNEES_SOURCE!$CA57</f>
        <v>1</v>
      </c>
      <c r="M58">
        <f>IF(L58=TRUE,DONNEES_SOURCE!$CB57,"")</f>
        <v>6</v>
      </c>
      <c r="N58">
        <f>IF(L58=TRUE,DONNEES_SOURCE!$BY57,"")</f>
        <v>6.2</v>
      </c>
      <c r="O58">
        <f>IF(L58=TRUE,DONNEES_SOURCE!$BX57,"")</f>
        <v>4.6666999999999996</v>
      </c>
      <c r="P58">
        <f>IF(L58=TRUE,DONNEES_SOURCE!$AM57,"")</f>
        <v>6</v>
      </c>
      <c r="Q58">
        <f>IF(L58=TRUE,DONNEES_SOURCE!$AY57,"")</f>
        <v>5</v>
      </c>
      <c r="R58">
        <f>IF(L58=TRUE,DONNEES_SOURCE!$BA57,"")</f>
        <v>6</v>
      </c>
      <c r="S58">
        <f>IF(L58=TRUE,DONNEES_SOURCE!$BB57,"")</f>
        <v>5</v>
      </c>
      <c r="T58">
        <f>IF(L58=TRUE,DONNEES_SOURCE!$BS57,"")</f>
        <v>7</v>
      </c>
      <c r="U58">
        <v>56</v>
      </c>
      <c r="V58">
        <f>IF(L58=TRUE,DONNEES_SOURCE!$BW57,"")</f>
        <v>5.75</v>
      </c>
    </row>
    <row r="59" spans="1:22" x14ac:dyDescent="0.25">
      <c r="A59" s="225" t="s">
        <v>926</v>
      </c>
      <c r="L59" t="b">
        <f>DONNEES_SOURCE!$CA58</f>
        <v>1</v>
      </c>
      <c r="M59">
        <f>IF(L59=TRUE,DONNEES_SOURCE!$CB58,"")</f>
        <v>5</v>
      </c>
      <c r="N59">
        <f>IF(L59=TRUE,DONNEES_SOURCE!$BY58,"")</f>
        <v>5.2</v>
      </c>
      <c r="O59">
        <f>IF(L59=TRUE,DONNEES_SOURCE!$BX58,"")</f>
        <v>4.6666999999999996</v>
      </c>
      <c r="P59">
        <f>IF(L59=TRUE,DONNEES_SOURCE!$AM58,"")</f>
        <v>7</v>
      </c>
      <c r="Q59">
        <f>IF(L59=TRUE,DONNEES_SOURCE!$AY58,"")</f>
        <v>5</v>
      </c>
      <c r="R59">
        <f>IF(L59=TRUE,DONNEES_SOURCE!$BA58,"")</f>
        <v>6</v>
      </c>
      <c r="S59">
        <f>IF(L59=TRUE,DONNEES_SOURCE!$BB58,"")</f>
        <v>7</v>
      </c>
      <c r="T59">
        <f>IF(L59=TRUE,DONNEES_SOURCE!$BS58,"")</f>
        <v>4</v>
      </c>
      <c r="U59">
        <v>57</v>
      </c>
      <c r="V59">
        <f>IF(L59=TRUE,DONNEES_SOURCE!$BW58,"")</f>
        <v>6.5</v>
      </c>
    </row>
    <row r="60" spans="1:22" x14ac:dyDescent="0.25">
      <c r="A60" t="s">
        <v>927</v>
      </c>
      <c r="B60" t="str">
        <f>IF(AND(E19&gt;0,H19&lt;0.05),"CONFIRMÉE","INFIRMÉE")</f>
        <v>INFIRMÉE</v>
      </c>
      <c r="C60" t="str">
        <f>"(ρ="&amp;TEXT(E19,"0,00")&amp;", p="&amp;TEXT(H19,"0,000")&amp;")"</f>
        <v>(ρ=0,19, p=0,124)</v>
      </c>
      <c r="L60" t="b">
        <f>DONNEES_SOURCE!$CA59</f>
        <v>1</v>
      </c>
      <c r="M60">
        <f>IF(L60=TRUE,DONNEES_SOURCE!$CB59,"")</f>
        <v>4</v>
      </c>
      <c r="N60">
        <f>IF(L60=TRUE,DONNEES_SOURCE!$BY59,"")</f>
        <v>5.4</v>
      </c>
      <c r="O60">
        <f>IF(L60=TRUE,DONNEES_SOURCE!$BX59,"")</f>
        <v>4</v>
      </c>
      <c r="P60">
        <f>IF(L60=TRUE,DONNEES_SOURCE!$AM59,"")</f>
        <v>7</v>
      </c>
      <c r="Q60">
        <f>IF(L60=TRUE,DONNEES_SOURCE!$AY59,"")</f>
        <v>5</v>
      </c>
      <c r="R60">
        <f>IF(L60=TRUE,DONNEES_SOURCE!$BA59,"")</f>
        <v>6</v>
      </c>
      <c r="S60">
        <f>IF(L60=TRUE,DONNEES_SOURCE!$BB59,"")</f>
        <v>7</v>
      </c>
      <c r="T60">
        <f>IF(L60=TRUE,DONNEES_SOURCE!$BS59,"")</f>
        <v>3</v>
      </c>
      <c r="U60">
        <v>58</v>
      </c>
      <c r="V60">
        <f>IF(L60=TRUE,DONNEES_SOURCE!$BW59,"")</f>
        <v>6.5</v>
      </c>
    </row>
    <row r="61" spans="1:22" x14ac:dyDescent="0.25">
      <c r="A61" t="s">
        <v>928</v>
      </c>
      <c r="B61" t="str">
        <f>IF(AND(E20&lt;0,H20&lt;0.05),"CONFIRMÉE","INFIRMÉE")</f>
        <v>INFIRMÉE</v>
      </c>
      <c r="C61" t="str">
        <f>"(ρ="&amp;TEXT(E20,"0,00")&amp;", p="&amp;TEXT(H20,"0,000")&amp;")"</f>
        <v>(ρ=0,11, p=0,364)</v>
      </c>
      <c r="L61" t="b">
        <f>DONNEES_SOURCE!$CA60</f>
        <v>1</v>
      </c>
      <c r="M61">
        <f>IF(L61=TRUE,DONNEES_SOURCE!$CB60,"")</f>
        <v>6</v>
      </c>
      <c r="N61">
        <f>IF(L61=TRUE,DONNEES_SOURCE!$BY60,"")</f>
        <v>7</v>
      </c>
      <c r="O61">
        <f>IF(L61=TRUE,DONNEES_SOURCE!$BX60,"")</f>
        <v>7</v>
      </c>
      <c r="P61">
        <f>IF(L61=TRUE,DONNEES_SOURCE!$AM60,"")</f>
        <v>7</v>
      </c>
      <c r="Q61">
        <f>IF(L61=TRUE,DONNEES_SOURCE!$AY60,"")</f>
        <v>7</v>
      </c>
      <c r="R61">
        <f>IF(L61=TRUE,DONNEES_SOURCE!$BA60,"")</f>
        <v>7</v>
      </c>
      <c r="S61">
        <f>IF(L61=TRUE,DONNEES_SOURCE!$BB60,"")</f>
        <v>7</v>
      </c>
      <c r="T61">
        <f>IF(L61=TRUE,DONNEES_SOURCE!$BS60,"")</f>
        <v>7</v>
      </c>
      <c r="U61">
        <v>59</v>
      </c>
      <c r="V61">
        <f>IF(L61=TRUE,DONNEES_SOURCE!$BW60,"")</f>
        <v>4.75</v>
      </c>
    </row>
    <row r="62" spans="1:22" x14ac:dyDescent="0.25">
      <c r="L62" t="b">
        <f>DONNEES_SOURCE!$CA61</f>
        <v>1</v>
      </c>
      <c r="M62">
        <f>IF(L62=TRUE,DONNEES_SOURCE!$CB61,"")</f>
        <v>5</v>
      </c>
      <c r="N62">
        <f>IF(L62=TRUE,DONNEES_SOURCE!$BY61,"")</f>
        <v>4.4000000000000004</v>
      </c>
      <c r="O62">
        <f>IF(L62=TRUE,DONNEES_SOURCE!$BX61,"")</f>
        <v>4.6666999999999996</v>
      </c>
      <c r="P62">
        <f>IF(L62=TRUE,DONNEES_SOURCE!$AM61,"")</f>
        <v>4</v>
      </c>
      <c r="Q62">
        <f>IF(L62=TRUE,DONNEES_SOURCE!$AY61,"")</f>
        <v>5</v>
      </c>
      <c r="R62">
        <f>IF(L62=TRUE,DONNEES_SOURCE!$BA61,"")</f>
        <v>4</v>
      </c>
      <c r="S62">
        <f>IF(L62=TRUE,DONNEES_SOURCE!$BB61,"")</f>
        <v>6</v>
      </c>
      <c r="T62">
        <f>IF(L62=TRUE,DONNEES_SOURCE!$BS61,"")</f>
        <v>2</v>
      </c>
      <c r="U62">
        <v>60</v>
      </c>
      <c r="V62">
        <f>IF(L62=TRUE,DONNEES_SOURCE!$BW61,"")</f>
        <v>5.75</v>
      </c>
    </row>
    <row r="63" spans="1:22" x14ac:dyDescent="0.25">
      <c r="A63" s="309" t="s">
        <v>929</v>
      </c>
      <c r="B63" s="254"/>
      <c r="C63" s="254"/>
      <c r="D63" s="254"/>
      <c r="E63" s="254"/>
      <c r="F63" s="254"/>
      <c r="G63" s="254"/>
      <c r="H63" s="254"/>
      <c r="I63" s="254"/>
      <c r="J63" s="254"/>
      <c r="L63" t="b">
        <f>DONNEES_SOURCE!$CA62</f>
        <v>1</v>
      </c>
      <c r="M63">
        <f>IF(L63=TRUE,DONNEES_SOURCE!$CB62,"")</f>
        <v>4</v>
      </c>
      <c r="N63">
        <f>IF(L63=TRUE,DONNEES_SOURCE!$BY62,"")</f>
        <v>5.2</v>
      </c>
      <c r="O63">
        <f>IF(L63=TRUE,DONNEES_SOURCE!$BX62,"")</f>
        <v>5.3333000000000004</v>
      </c>
      <c r="P63">
        <f>IF(L63=TRUE,DONNEES_SOURCE!$AM62,"")</f>
        <v>6</v>
      </c>
      <c r="Q63">
        <f>IF(L63=TRUE,DONNEES_SOURCE!$AY62,"")</f>
        <v>6</v>
      </c>
      <c r="R63">
        <f>IF(L63=TRUE,DONNEES_SOURCE!$BA62,"")</f>
        <v>5</v>
      </c>
      <c r="S63">
        <f>IF(L63=TRUE,DONNEES_SOURCE!$BB62,"")</f>
        <v>6</v>
      </c>
      <c r="T63">
        <f>IF(L63=TRUE,DONNEES_SOURCE!$BS62,"")</f>
        <v>3</v>
      </c>
      <c r="U63">
        <v>61</v>
      </c>
      <c r="V63">
        <f>IF(L63=TRUE,DONNEES_SOURCE!$BW62,"")</f>
        <v>5.25</v>
      </c>
    </row>
    <row r="64" spans="1:22" x14ac:dyDescent="0.25">
      <c r="A64" s="309" t="s">
        <v>930</v>
      </c>
      <c r="B64" s="254"/>
      <c r="C64" s="254"/>
      <c r="D64" s="254"/>
      <c r="E64" s="254"/>
      <c r="F64" s="254"/>
      <c r="G64" s="254"/>
      <c r="H64" s="254"/>
      <c r="I64" s="254"/>
      <c r="J64" s="254"/>
      <c r="L64" t="b">
        <f>DONNEES_SOURCE!$CA63</f>
        <v>1</v>
      </c>
      <c r="M64">
        <f>IF(L64=TRUE,DONNEES_SOURCE!$CB63,"")</f>
        <v>5</v>
      </c>
      <c r="N64">
        <f>IF(L64=TRUE,DONNEES_SOURCE!$BY63,"")</f>
        <v>6.4</v>
      </c>
      <c r="O64">
        <f>IF(L64=TRUE,DONNEES_SOURCE!$BX63,"")</f>
        <v>2.3332999999999999</v>
      </c>
      <c r="P64">
        <f>IF(L64=TRUE,DONNEES_SOURCE!$AM63,"")</f>
        <v>7</v>
      </c>
      <c r="Q64">
        <f>IF(L64=TRUE,DONNEES_SOURCE!$AY63,"")</f>
        <v>2</v>
      </c>
      <c r="R64">
        <f>IF(L64=TRUE,DONNEES_SOURCE!$BA63,"")</f>
        <v>7</v>
      </c>
      <c r="S64">
        <f>IF(L64=TRUE,DONNEES_SOURCE!$BB63,"")</f>
        <v>7</v>
      </c>
      <c r="T64">
        <f>IF(L64=TRUE,DONNEES_SOURCE!$BS63,"")</f>
        <v>4</v>
      </c>
      <c r="U64">
        <v>62</v>
      </c>
      <c r="V64">
        <f>IF(L64=TRUE,DONNEES_SOURCE!$BW63,"")</f>
        <v>7</v>
      </c>
    </row>
    <row r="65" spans="12:22" x14ac:dyDescent="0.25">
      <c r="L65" t="b">
        <f>DONNEES_SOURCE!$CA64</f>
        <v>1</v>
      </c>
      <c r="M65">
        <f>IF(L65=TRUE,DONNEES_SOURCE!$CB64,"")</f>
        <v>3</v>
      </c>
      <c r="N65">
        <f>IF(L65=TRUE,DONNEES_SOURCE!$BY64,"")</f>
        <v>5.2</v>
      </c>
      <c r="O65">
        <f>IF(L65=TRUE,DONNEES_SOURCE!$BX64,"")</f>
        <v>4.6666999999999996</v>
      </c>
      <c r="P65">
        <f>IF(L65=TRUE,DONNEES_SOURCE!$AM64,"")</f>
        <v>7</v>
      </c>
      <c r="Q65">
        <f>IF(L65=TRUE,DONNEES_SOURCE!$AY64,"")</f>
        <v>6</v>
      </c>
      <c r="R65">
        <f>IF(L65=TRUE,DONNEES_SOURCE!$BA64,"")</f>
        <v>7</v>
      </c>
      <c r="S65">
        <f>IF(L65=TRUE,DONNEES_SOURCE!$BB64,"")</f>
        <v>6</v>
      </c>
      <c r="T65">
        <f>IF(L65=TRUE,DONNEES_SOURCE!$BS64,"")</f>
        <v>3</v>
      </c>
      <c r="U65">
        <v>63</v>
      </c>
      <c r="V65">
        <f>IF(L65=TRUE,DONNEES_SOURCE!$BW64,"")</f>
        <v>6.5</v>
      </c>
    </row>
    <row r="66" spans="12:22" x14ac:dyDescent="0.25">
      <c r="L66" t="b">
        <f>DONNEES_SOURCE!$CA65</f>
        <v>1</v>
      </c>
      <c r="M66">
        <f>IF(L66=TRUE,DONNEES_SOURCE!$CB65,"")</f>
        <v>5</v>
      </c>
      <c r="N66">
        <f>IF(L66=TRUE,DONNEES_SOURCE!$BY65,"")</f>
        <v>4.8</v>
      </c>
      <c r="O66">
        <f>IF(L66=TRUE,DONNEES_SOURCE!$BX65,"")</f>
        <v>4.3333000000000004</v>
      </c>
      <c r="P66">
        <f>IF(L66=TRUE,DONNEES_SOURCE!$AM65,"")</f>
        <v>7</v>
      </c>
      <c r="Q66">
        <f>IF(L66=TRUE,DONNEES_SOURCE!$AY65,"")</f>
        <v>6</v>
      </c>
      <c r="R66">
        <f>IF(L66=TRUE,DONNEES_SOURCE!$BA65,"")</f>
        <v>6</v>
      </c>
      <c r="S66">
        <f>IF(L66=TRUE,DONNEES_SOURCE!$BB65,"")</f>
        <v>7</v>
      </c>
      <c r="T66">
        <f>IF(L66=TRUE,DONNEES_SOURCE!$BS65,"")</f>
        <v>3</v>
      </c>
      <c r="U66">
        <v>64</v>
      </c>
      <c r="V66">
        <f>IF(L66=TRUE,DONNEES_SOURCE!$BW65,"")</f>
        <v>5.25</v>
      </c>
    </row>
    <row r="67" spans="12:22" x14ac:dyDescent="0.25">
      <c r="L67" t="b">
        <f>DONNEES_SOURCE!$CA66</f>
        <v>1</v>
      </c>
      <c r="M67">
        <f>IF(L67=TRUE,DONNEES_SOURCE!$CB66,"")</f>
        <v>5</v>
      </c>
      <c r="N67">
        <f>IF(L67=TRUE,DONNEES_SOURCE!$BY66,"")</f>
        <v>4.2</v>
      </c>
      <c r="O67">
        <f>IF(L67=TRUE,DONNEES_SOURCE!$BX66,"")</f>
        <v>4</v>
      </c>
      <c r="P67">
        <f>IF(L67=TRUE,DONNEES_SOURCE!$AM66,"")</f>
        <v>6</v>
      </c>
      <c r="Q67">
        <f>IF(L67=TRUE,DONNEES_SOURCE!$AY66,"")</f>
        <v>4</v>
      </c>
      <c r="R67">
        <f>IF(L67=TRUE,DONNEES_SOURCE!$BA66,"")</f>
        <v>5</v>
      </c>
      <c r="S67">
        <f>IF(L67=TRUE,DONNEES_SOURCE!$BB66,"")</f>
        <v>2</v>
      </c>
      <c r="T67">
        <f>IF(L67=TRUE,DONNEES_SOURCE!$BS66,"")</f>
        <v>4</v>
      </c>
      <c r="U67">
        <v>65</v>
      </c>
      <c r="V67">
        <f>IF(L67=TRUE,DONNEES_SOURCE!$BW66,"")</f>
        <v>6</v>
      </c>
    </row>
    <row r="68" spans="12:22" x14ac:dyDescent="0.25">
      <c r="L68" t="b">
        <f>DONNEES_SOURCE!$CA67</f>
        <v>1</v>
      </c>
      <c r="M68">
        <f>IF(L68=TRUE,DONNEES_SOURCE!$CB67,"")</f>
        <v>4</v>
      </c>
      <c r="N68">
        <f>IF(L68=TRUE,DONNEES_SOURCE!$BY67,"")</f>
        <v>5.2</v>
      </c>
      <c r="O68">
        <f>IF(L68=TRUE,DONNEES_SOURCE!$BX67,"")</f>
        <v>3.6667000000000001</v>
      </c>
      <c r="P68">
        <f>IF(L68=TRUE,DONNEES_SOURCE!$AM67,"")</f>
        <v>6</v>
      </c>
      <c r="Q68">
        <f>IF(L68=TRUE,DONNEES_SOURCE!$AY67,"")</f>
        <v>4</v>
      </c>
      <c r="R68">
        <f>IF(L68=TRUE,DONNEES_SOURCE!$BA67,"")</f>
        <v>6</v>
      </c>
      <c r="S68">
        <f>IF(L68=TRUE,DONNEES_SOURCE!$BB67,"")</f>
        <v>4</v>
      </c>
      <c r="T68">
        <f>IF(L68=TRUE,DONNEES_SOURCE!$BS67,"")</f>
        <v>4</v>
      </c>
      <c r="U68">
        <v>66</v>
      </c>
      <c r="V68">
        <f>IF(L68=TRUE,DONNEES_SOURCE!$BW67,"")</f>
        <v>5.5</v>
      </c>
    </row>
    <row r="69" spans="12:22" x14ac:dyDescent="0.25">
      <c r="L69" t="b">
        <f>DONNEES_SOURCE!$CA68</f>
        <v>1</v>
      </c>
      <c r="M69">
        <f>IF(L69=TRUE,DONNEES_SOURCE!$CB68,"")</f>
        <v>6</v>
      </c>
      <c r="N69">
        <f>IF(L69=TRUE,DONNEES_SOURCE!$BY68,"")</f>
        <v>5</v>
      </c>
      <c r="O69">
        <f>IF(L69=TRUE,DONNEES_SOURCE!$BX68,"")</f>
        <v>5.3333000000000004</v>
      </c>
      <c r="P69">
        <f>IF(L69=TRUE,DONNEES_SOURCE!$AM68,"")</f>
        <v>7</v>
      </c>
      <c r="Q69">
        <f>IF(L69=TRUE,DONNEES_SOURCE!$AY68,"")</f>
        <v>7</v>
      </c>
      <c r="R69">
        <f>IF(L69=TRUE,DONNEES_SOURCE!$BA68,"")</f>
        <v>7</v>
      </c>
      <c r="S69">
        <f>IF(L69=TRUE,DONNEES_SOURCE!$BB68,"")</f>
        <v>4</v>
      </c>
      <c r="T69">
        <f>IF(L69=TRUE,DONNEES_SOURCE!$BS68,"")</f>
        <v>1</v>
      </c>
      <c r="U69">
        <v>67</v>
      </c>
      <c r="V69">
        <f>IF(L69=TRUE,DONNEES_SOURCE!$BW68,"")</f>
        <v>6.25</v>
      </c>
    </row>
    <row r="70" spans="12:22" x14ac:dyDescent="0.25">
      <c r="L70">
        <f>DONNEES_SOURCE!$CA69</f>
        <v>0</v>
      </c>
      <c r="M70" t="str">
        <f>IF(L70=TRUE,DONNEES_SOURCE!$CB69,"")</f>
        <v/>
      </c>
      <c r="N70" t="str">
        <f>IF(L70=TRUE,DONNEES_SOURCE!$BY69,"")</f>
        <v/>
      </c>
      <c r="O70" t="str">
        <f>IF(L70=TRUE,DONNEES_SOURCE!$BX69,"")</f>
        <v/>
      </c>
      <c r="P70" t="str">
        <f>IF(L70=TRUE,DONNEES_SOURCE!$AM69,"")</f>
        <v/>
      </c>
      <c r="Q70" t="str">
        <f>IF(L70=TRUE,DONNEES_SOURCE!$AY69,"")</f>
        <v/>
      </c>
      <c r="R70" t="str">
        <f>IF(L70=TRUE,DONNEES_SOURCE!$BA69,"")</f>
        <v/>
      </c>
      <c r="S70" t="str">
        <f>IF(L70=TRUE,DONNEES_SOURCE!$BB69,"")</f>
        <v/>
      </c>
      <c r="T70" t="str">
        <f>IF(L70=TRUE,DONNEES_SOURCE!$BS69,"")</f>
        <v/>
      </c>
      <c r="U70">
        <v>68</v>
      </c>
      <c r="V70" t="str">
        <f>IF(L70=TRUE,DONNEES_SOURCE!$BW69,"")</f>
        <v/>
      </c>
    </row>
    <row r="71" spans="12:22" x14ac:dyDescent="0.25">
      <c r="L71">
        <f>DONNEES_SOURCE!$CA70</f>
        <v>0</v>
      </c>
      <c r="M71" t="str">
        <f>IF(L71=TRUE,DONNEES_SOURCE!$CB70,"")</f>
        <v/>
      </c>
      <c r="N71" t="str">
        <f>IF(L71=TRUE,DONNEES_SOURCE!$BY70,"")</f>
        <v/>
      </c>
      <c r="O71" t="str">
        <f>IF(L71=TRUE,DONNEES_SOURCE!$BX70,"")</f>
        <v/>
      </c>
      <c r="P71" t="str">
        <f>IF(L71=TRUE,DONNEES_SOURCE!$AM70,"")</f>
        <v/>
      </c>
      <c r="Q71" t="str">
        <f>IF(L71=TRUE,DONNEES_SOURCE!$AY70,"")</f>
        <v/>
      </c>
      <c r="R71" t="str">
        <f>IF(L71=TRUE,DONNEES_SOURCE!$BA70,"")</f>
        <v/>
      </c>
      <c r="S71" t="str">
        <f>IF(L71=TRUE,DONNEES_SOURCE!$BB70,"")</f>
        <v/>
      </c>
      <c r="T71" t="str">
        <f>IF(L71=TRUE,DONNEES_SOURCE!$BS70,"")</f>
        <v/>
      </c>
      <c r="U71">
        <v>69</v>
      </c>
      <c r="V71" t="str">
        <f>IF(L71=TRUE,DONNEES_SOURCE!$BW70,"")</f>
        <v/>
      </c>
    </row>
    <row r="72" spans="12:22" x14ac:dyDescent="0.25">
      <c r="L72">
        <f>DONNEES_SOURCE!$CA71</f>
        <v>0</v>
      </c>
      <c r="M72" t="str">
        <f>IF(L72=TRUE,DONNEES_SOURCE!$CB71,"")</f>
        <v/>
      </c>
      <c r="N72" t="str">
        <f>IF(L72=TRUE,DONNEES_SOURCE!$BY71,"")</f>
        <v/>
      </c>
      <c r="O72" t="str">
        <f>IF(L72=TRUE,DONNEES_SOURCE!$BX71,"")</f>
        <v/>
      </c>
      <c r="P72" t="str">
        <f>IF(L72=TRUE,DONNEES_SOURCE!$AM71,"")</f>
        <v/>
      </c>
      <c r="Q72" t="str">
        <f>IF(L72=TRUE,DONNEES_SOURCE!$AY71,"")</f>
        <v/>
      </c>
      <c r="R72" t="str">
        <f>IF(L72=TRUE,DONNEES_SOURCE!$BA71,"")</f>
        <v/>
      </c>
      <c r="S72" t="str">
        <f>IF(L72=TRUE,DONNEES_SOURCE!$BB71,"")</f>
        <v/>
      </c>
      <c r="T72" t="str">
        <f>IF(L72=TRUE,DONNEES_SOURCE!$BS71,"")</f>
        <v/>
      </c>
      <c r="U72">
        <v>70</v>
      </c>
      <c r="V72" t="str">
        <f>IF(L72=TRUE,DONNEES_SOURCE!$BW71,"")</f>
        <v/>
      </c>
    </row>
    <row r="73" spans="12:22" x14ac:dyDescent="0.25">
      <c r="L73">
        <f>DONNEES_SOURCE!$CA72</f>
        <v>0</v>
      </c>
      <c r="M73" t="str">
        <f>IF(L73=TRUE,DONNEES_SOURCE!$CB72,"")</f>
        <v/>
      </c>
      <c r="N73" t="str">
        <f>IF(L73=TRUE,DONNEES_SOURCE!$BY72,"")</f>
        <v/>
      </c>
      <c r="O73" t="str">
        <f>IF(L73=TRUE,DONNEES_SOURCE!$BX72,"")</f>
        <v/>
      </c>
      <c r="P73" t="str">
        <f>IF(L73=TRUE,DONNEES_SOURCE!$AM72,"")</f>
        <v/>
      </c>
      <c r="Q73" t="str">
        <f>IF(L73=TRUE,DONNEES_SOURCE!$AY72,"")</f>
        <v/>
      </c>
      <c r="R73" t="str">
        <f>IF(L73=TRUE,DONNEES_SOURCE!$BA72,"")</f>
        <v/>
      </c>
      <c r="S73" t="str">
        <f>IF(L73=TRUE,DONNEES_SOURCE!$BB72,"")</f>
        <v/>
      </c>
      <c r="T73" t="str">
        <f>IF(L73=TRUE,DONNEES_SOURCE!$BS72,"")</f>
        <v/>
      </c>
      <c r="U73">
        <v>71</v>
      </c>
      <c r="V73" t="str">
        <f>IF(L73=TRUE,DONNEES_SOURCE!$BW72,"")</f>
        <v/>
      </c>
    </row>
    <row r="74" spans="12:22" x14ac:dyDescent="0.25">
      <c r="L74">
        <f>DONNEES_SOURCE!$CA73</f>
        <v>0</v>
      </c>
      <c r="M74" t="str">
        <f>IF(L74=TRUE,DONNEES_SOURCE!$CB73,"")</f>
        <v/>
      </c>
      <c r="N74" t="str">
        <f>IF(L74=TRUE,DONNEES_SOURCE!$BY73,"")</f>
        <v/>
      </c>
      <c r="O74" t="str">
        <f>IF(L74=TRUE,DONNEES_SOURCE!$BX73,"")</f>
        <v/>
      </c>
      <c r="P74" t="str">
        <f>IF(L74=TRUE,DONNEES_SOURCE!$AM73,"")</f>
        <v/>
      </c>
      <c r="Q74" t="str">
        <f>IF(L74=TRUE,DONNEES_SOURCE!$AY73,"")</f>
        <v/>
      </c>
      <c r="R74" t="str">
        <f>IF(L74=TRUE,DONNEES_SOURCE!$BA73,"")</f>
        <v/>
      </c>
      <c r="S74" t="str">
        <f>IF(L74=TRUE,DONNEES_SOURCE!$BB73,"")</f>
        <v/>
      </c>
      <c r="T74" t="str">
        <f>IF(L74=TRUE,DONNEES_SOURCE!$BS73,"")</f>
        <v/>
      </c>
      <c r="U74">
        <v>72</v>
      </c>
      <c r="V74" t="str">
        <f>IF(L74=TRUE,DONNEES_SOURCE!$BW73,"")</f>
        <v/>
      </c>
    </row>
    <row r="75" spans="12:22" x14ac:dyDescent="0.25">
      <c r="L75">
        <f>DONNEES_SOURCE!$CA74</f>
        <v>0</v>
      </c>
      <c r="M75" t="str">
        <f>IF(L75=TRUE,DONNEES_SOURCE!$CB74,"")</f>
        <v/>
      </c>
      <c r="N75" t="str">
        <f>IF(L75=TRUE,DONNEES_SOURCE!$BY74,"")</f>
        <v/>
      </c>
      <c r="O75" t="str">
        <f>IF(L75=TRUE,DONNEES_SOURCE!$BX74,"")</f>
        <v/>
      </c>
      <c r="P75" t="str">
        <f>IF(L75=TRUE,DONNEES_SOURCE!$AM74,"")</f>
        <v/>
      </c>
      <c r="Q75" t="str">
        <f>IF(L75=TRUE,DONNEES_SOURCE!$AY74,"")</f>
        <v/>
      </c>
      <c r="R75" t="str">
        <f>IF(L75=TRUE,DONNEES_SOURCE!$BA74,"")</f>
        <v/>
      </c>
      <c r="S75" t="str">
        <f>IF(L75=TRUE,DONNEES_SOURCE!$BB74,"")</f>
        <v/>
      </c>
      <c r="T75" t="str">
        <f>IF(L75=TRUE,DONNEES_SOURCE!$BS74,"")</f>
        <v/>
      </c>
      <c r="U75">
        <v>73</v>
      </c>
      <c r="V75" t="str">
        <f>IF(L75=TRUE,DONNEES_SOURCE!$BW74,"")</f>
        <v/>
      </c>
    </row>
    <row r="76" spans="12:22" x14ac:dyDescent="0.25">
      <c r="L76">
        <f>DONNEES_SOURCE!$CA75</f>
        <v>0</v>
      </c>
      <c r="M76" t="str">
        <f>IF(L76=TRUE,DONNEES_SOURCE!$CB75,"")</f>
        <v/>
      </c>
      <c r="N76" t="str">
        <f>IF(L76=TRUE,DONNEES_SOURCE!$BY75,"")</f>
        <v/>
      </c>
      <c r="O76" t="str">
        <f>IF(L76=TRUE,DONNEES_SOURCE!$BX75,"")</f>
        <v/>
      </c>
      <c r="P76" t="str">
        <f>IF(L76=TRUE,DONNEES_SOURCE!$AM75,"")</f>
        <v/>
      </c>
      <c r="Q76" t="str">
        <f>IF(L76=TRUE,DONNEES_SOURCE!$AY75,"")</f>
        <v/>
      </c>
      <c r="R76" t="str">
        <f>IF(L76=TRUE,DONNEES_SOURCE!$BA75,"")</f>
        <v/>
      </c>
      <c r="S76" t="str">
        <f>IF(L76=TRUE,DONNEES_SOURCE!$BB75,"")</f>
        <v/>
      </c>
      <c r="T76" t="str">
        <f>IF(L76=TRUE,DONNEES_SOURCE!$BS75,"")</f>
        <v/>
      </c>
      <c r="U76">
        <v>74</v>
      </c>
      <c r="V76" t="str">
        <f>IF(L76=TRUE,DONNEES_SOURCE!$BW75,"")</f>
        <v/>
      </c>
    </row>
    <row r="77" spans="12:22" x14ac:dyDescent="0.25">
      <c r="L77">
        <f>DONNEES_SOURCE!$CA76</f>
        <v>0</v>
      </c>
      <c r="M77" t="str">
        <f>IF(L77=TRUE,DONNEES_SOURCE!$CB76,"")</f>
        <v/>
      </c>
      <c r="N77" t="str">
        <f>IF(L77=TRUE,DONNEES_SOURCE!$BY76,"")</f>
        <v/>
      </c>
      <c r="O77" t="str">
        <f>IF(L77=TRUE,DONNEES_SOURCE!$BX76,"")</f>
        <v/>
      </c>
      <c r="P77" t="str">
        <f>IF(L77=TRUE,DONNEES_SOURCE!$AM76,"")</f>
        <v/>
      </c>
      <c r="Q77" t="str">
        <f>IF(L77=TRUE,DONNEES_SOURCE!$AY76,"")</f>
        <v/>
      </c>
      <c r="R77" t="str">
        <f>IF(L77=TRUE,DONNEES_SOURCE!$BA76,"")</f>
        <v/>
      </c>
      <c r="S77" t="str">
        <f>IF(L77=TRUE,DONNEES_SOURCE!$BB76,"")</f>
        <v/>
      </c>
      <c r="T77" t="str">
        <f>IF(L77=TRUE,DONNEES_SOURCE!$BS76,"")</f>
        <v/>
      </c>
      <c r="U77">
        <v>75</v>
      </c>
      <c r="V77" t="str">
        <f>IF(L77=TRUE,DONNEES_SOURCE!$BW76,"")</f>
        <v/>
      </c>
    </row>
    <row r="78" spans="12:22" x14ac:dyDescent="0.25">
      <c r="L78">
        <f>DONNEES_SOURCE!$CA77</f>
        <v>0</v>
      </c>
      <c r="M78" t="str">
        <f>IF(L78=TRUE,DONNEES_SOURCE!$CB77,"")</f>
        <v/>
      </c>
      <c r="N78" t="str">
        <f>IF(L78=TRUE,DONNEES_SOURCE!$BY77,"")</f>
        <v/>
      </c>
      <c r="O78" t="str">
        <f>IF(L78=TRUE,DONNEES_SOURCE!$BX77,"")</f>
        <v/>
      </c>
      <c r="P78" t="str">
        <f>IF(L78=TRUE,DONNEES_SOURCE!$AM77,"")</f>
        <v/>
      </c>
      <c r="Q78" t="str">
        <f>IF(L78=TRUE,DONNEES_SOURCE!$AY77,"")</f>
        <v/>
      </c>
      <c r="R78" t="str">
        <f>IF(L78=TRUE,DONNEES_SOURCE!$BA77,"")</f>
        <v/>
      </c>
      <c r="S78" t="str">
        <f>IF(L78=TRUE,DONNEES_SOURCE!$BB77,"")</f>
        <v/>
      </c>
      <c r="T78" t="str">
        <f>IF(L78=TRUE,DONNEES_SOURCE!$BS77,"")</f>
        <v/>
      </c>
      <c r="U78">
        <v>76</v>
      </c>
      <c r="V78" t="str">
        <f>IF(L78=TRUE,DONNEES_SOURCE!$BW77,"")</f>
        <v/>
      </c>
    </row>
    <row r="79" spans="12:22" x14ac:dyDescent="0.25">
      <c r="L79">
        <f>DONNEES_SOURCE!$CA78</f>
        <v>0</v>
      </c>
      <c r="M79" t="str">
        <f>IF(L79=TRUE,DONNEES_SOURCE!$CB78,"")</f>
        <v/>
      </c>
      <c r="N79" t="str">
        <f>IF(L79=TRUE,DONNEES_SOURCE!$BY78,"")</f>
        <v/>
      </c>
      <c r="O79" t="str">
        <f>IF(L79=TRUE,DONNEES_SOURCE!$BX78,"")</f>
        <v/>
      </c>
      <c r="P79" t="str">
        <f>IF(L79=TRUE,DONNEES_SOURCE!$AM78,"")</f>
        <v/>
      </c>
      <c r="Q79" t="str">
        <f>IF(L79=TRUE,DONNEES_SOURCE!$AY78,"")</f>
        <v/>
      </c>
      <c r="R79" t="str">
        <f>IF(L79=TRUE,DONNEES_SOURCE!$BA78,"")</f>
        <v/>
      </c>
      <c r="S79" t="str">
        <f>IF(L79=TRUE,DONNEES_SOURCE!$BB78,"")</f>
        <v/>
      </c>
      <c r="T79" t="str">
        <f>IF(L79=TRUE,DONNEES_SOURCE!$BS78,"")</f>
        <v/>
      </c>
      <c r="U79">
        <v>77</v>
      </c>
      <c r="V79" t="str">
        <f>IF(L79=TRUE,DONNEES_SOURCE!$BW78,"")</f>
        <v/>
      </c>
    </row>
    <row r="80" spans="12:22" x14ac:dyDescent="0.25">
      <c r="L80">
        <f>DONNEES_SOURCE!$CA79</f>
        <v>0</v>
      </c>
      <c r="M80" t="str">
        <f>IF(L80=TRUE,DONNEES_SOURCE!$CB79,"")</f>
        <v/>
      </c>
      <c r="N80" t="str">
        <f>IF(L80=TRUE,DONNEES_SOURCE!$BY79,"")</f>
        <v/>
      </c>
      <c r="O80" t="str">
        <f>IF(L80=TRUE,DONNEES_SOURCE!$BX79,"")</f>
        <v/>
      </c>
      <c r="P80" t="str">
        <f>IF(L80=TRUE,DONNEES_SOURCE!$AM79,"")</f>
        <v/>
      </c>
      <c r="Q80" t="str">
        <f>IF(L80=TRUE,DONNEES_SOURCE!$AY79,"")</f>
        <v/>
      </c>
      <c r="R80" t="str">
        <f>IF(L80=TRUE,DONNEES_SOURCE!$BA79,"")</f>
        <v/>
      </c>
      <c r="S80" t="str">
        <f>IF(L80=TRUE,DONNEES_SOURCE!$BB79,"")</f>
        <v/>
      </c>
      <c r="T80" t="str">
        <f>IF(L80=TRUE,DONNEES_SOURCE!$BS79,"")</f>
        <v/>
      </c>
      <c r="U80">
        <v>78</v>
      </c>
      <c r="V80" t="str">
        <f>IF(L80=TRUE,DONNEES_SOURCE!$BW79,"")</f>
        <v/>
      </c>
    </row>
    <row r="81" spans="12:22" x14ac:dyDescent="0.25">
      <c r="L81">
        <f>DONNEES_SOURCE!$CA80</f>
        <v>0</v>
      </c>
      <c r="M81" t="str">
        <f>IF(L81=TRUE,DONNEES_SOURCE!$CB80,"")</f>
        <v/>
      </c>
      <c r="N81" t="str">
        <f>IF(L81=TRUE,DONNEES_SOURCE!$BY80,"")</f>
        <v/>
      </c>
      <c r="O81" t="str">
        <f>IF(L81=TRUE,DONNEES_SOURCE!$BX80,"")</f>
        <v/>
      </c>
      <c r="P81" t="str">
        <f>IF(L81=TRUE,DONNEES_SOURCE!$AM80,"")</f>
        <v/>
      </c>
      <c r="Q81" t="str">
        <f>IF(L81=TRUE,DONNEES_SOURCE!$AY80,"")</f>
        <v/>
      </c>
      <c r="R81" t="str">
        <f>IF(L81=TRUE,DONNEES_SOURCE!$BA80,"")</f>
        <v/>
      </c>
      <c r="S81" t="str">
        <f>IF(L81=TRUE,DONNEES_SOURCE!$BB80,"")</f>
        <v/>
      </c>
      <c r="T81" t="str">
        <f>IF(L81=TRUE,DONNEES_SOURCE!$BS80,"")</f>
        <v/>
      </c>
      <c r="U81">
        <v>79</v>
      </c>
      <c r="V81" t="str">
        <f>IF(L81=TRUE,DONNEES_SOURCE!$BW80,"")</f>
        <v/>
      </c>
    </row>
    <row r="82" spans="12:22" x14ac:dyDescent="0.25">
      <c r="L82">
        <f>DONNEES_SOURCE!$CA81</f>
        <v>0</v>
      </c>
      <c r="M82" t="str">
        <f>IF(L82=TRUE,DONNEES_SOURCE!$CB81,"")</f>
        <v/>
      </c>
      <c r="N82" t="str">
        <f>IF(L82=TRUE,DONNEES_SOURCE!$BY81,"")</f>
        <v/>
      </c>
      <c r="O82" t="str">
        <f>IF(L82=TRUE,DONNEES_SOURCE!$BX81,"")</f>
        <v/>
      </c>
      <c r="P82" t="str">
        <f>IF(L82=TRUE,DONNEES_SOURCE!$AM81,"")</f>
        <v/>
      </c>
      <c r="Q82" t="str">
        <f>IF(L82=TRUE,DONNEES_SOURCE!$AY81,"")</f>
        <v/>
      </c>
      <c r="R82" t="str">
        <f>IF(L82=TRUE,DONNEES_SOURCE!$BA81,"")</f>
        <v/>
      </c>
      <c r="S82" t="str">
        <f>IF(L82=TRUE,DONNEES_SOURCE!$BB81,"")</f>
        <v/>
      </c>
      <c r="T82" t="str">
        <f>IF(L82=TRUE,DONNEES_SOURCE!$BS81,"")</f>
        <v/>
      </c>
      <c r="U82">
        <v>80</v>
      </c>
      <c r="V82" t="str">
        <f>IF(L82=TRUE,DONNEES_SOURCE!$BW81,"")</f>
        <v/>
      </c>
    </row>
    <row r="83" spans="12:22" x14ac:dyDescent="0.25">
      <c r="L83">
        <f>DONNEES_SOURCE!$CA82</f>
        <v>0</v>
      </c>
      <c r="M83" t="str">
        <f>IF(L83=TRUE,DONNEES_SOURCE!$CB82,"")</f>
        <v/>
      </c>
      <c r="N83" t="str">
        <f>IF(L83=TRUE,DONNEES_SOURCE!$BY82,"")</f>
        <v/>
      </c>
      <c r="O83" t="str">
        <f>IF(L83=TRUE,DONNEES_SOURCE!$BX82,"")</f>
        <v/>
      </c>
      <c r="P83" t="str">
        <f>IF(L83=TRUE,DONNEES_SOURCE!$AM82,"")</f>
        <v/>
      </c>
      <c r="Q83" t="str">
        <f>IF(L83=TRUE,DONNEES_SOURCE!$AY82,"")</f>
        <v/>
      </c>
      <c r="R83" t="str">
        <f>IF(L83=TRUE,DONNEES_SOURCE!$BA82,"")</f>
        <v/>
      </c>
      <c r="S83" t="str">
        <f>IF(L83=TRUE,DONNEES_SOURCE!$BB82,"")</f>
        <v/>
      </c>
      <c r="T83" t="str">
        <f>IF(L83=TRUE,DONNEES_SOURCE!$BS82,"")</f>
        <v/>
      </c>
      <c r="U83">
        <v>81</v>
      </c>
      <c r="V83" t="str">
        <f>IF(L83=TRUE,DONNEES_SOURCE!$BW82,"")</f>
        <v/>
      </c>
    </row>
    <row r="84" spans="12:22" x14ac:dyDescent="0.25">
      <c r="L84">
        <f>DONNEES_SOURCE!$CA83</f>
        <v>0</v>
      </c>
      <c r="M84" t="str">
        <f>IF(L84=TRUE,DONNEES_SOURCE!$CB83,"")</f>
        <v/>
      </c>
      <c r="N84" t="str">
        <f>IF(L84=TRUE,DONNEES_SOURCE!$BY83,"")</f>
        <v/>
      </c>
      <c r="O84" t="str">
        <f>IF(L84=TRUE,DONNEES_SOURCE!$BX83,"")</f>
        <v/>
      </c>
      <c r="P84" t="str">
        <f>IF(L84=TRUE,DONNEES_SOURCE!$AM83,"")</f>
        <v/>
      </c>
      <c r="Q84" t="str">
        <f>IF(L84=TRUE,DONNEES_SOURCE!$AY83,"")</f>
        <v/>
      </c>
      <c r="R84" t="str">
        <f>IF(L84=TRUE,DONNEES_SOURCE!$BA83,"")</f>
        <v/>
      </c>
      <c r="S84" t="str">
        <f>IF(L84=TRUE,DONNEES_SOURCE!$BB83,"")</f>
        <v/>
      </c>
      <c r="T84" t="str">
        <f>IF(L84=TRUE,DONNEES_SOURCE!$BS83,"")</f>
        <v/>
      </c>
      <c r="U84">
        <v>82</v>
      </c>
      <c r="V84" t="str">
        <f>IF(L84=TRUE,DONNEES_SOURCE!$BW83,"")</f>
        <v/>
      </c>
    </row>
    <row r="85" spans="12:22" x14ac:dyDescent="0.25">
      <c r="L85">
        <f>DONNEES_SOURCE!$CA84</f>
        <v>0</v>
      </c>
      <c r="M85" t="str">
        <f>IF(L85=TRUE,DONNEES_SOURCE!$CB84,"")</f>
        <v/>
      </c>
      <c r="N85" t="str">
        <f>IF(L85=TRUE,DONNEES_SOURCE!$BY84,"")</f>
        <v/>
      </c>
      <c r="O85" t="str">
        <f>IF(L85=TRUE,DONNEES_SOURCE!$BX84,"")</f>
        <v/>
      </c>
      <c r="P85" t="str">
        <f>IF(L85=TRUE,DONNEES_SOURCE!$AM84,"")</f>
        <v/>
      </c>
      <c r="Q85" t="str">
        <f>IF(L85=TRUE,DONNEES_SOURCE!$AY84,"")</f>
        <v/>
      </c>
      <c r="R85" t="str">
        <f>IF(L85=TRUE,DONNEES_SOURCE!$BA84,"")</f>
        <v/>
      </c>
      <c r="S85" t="str">
        <f>IF(L85=TRUE,DONNEES_SOURCE!$BB84,"")</f>
        <v/>
      </c>
      <c r="T85" t="str">
        <f>IF(L85=TRUE,DONNEES_SOURCE!$BS84,"")</f>
        <v/>
      </c>
      <c r="U85">
        <v>83</v>
      </c>
      <c r="V85" t="str">
        <f>IF(L85=TRUE,DONNEES_SOURCE!$BW84,"")</f>
        <v/>
      </c>
    </row>
    <row r="86" spans="12:22" x14ac:dyDescent="0.25">
      <c r="L86">
        <f>DONNEES_SOURCE!$CA85</f>
        <v>0</v>
      </c>
      <c r="M86" t="str">
        <f>IF(L86=TRUE,DONNEES_SOURCE!$CB85,"")</f>
        <v/>
      </c>
      <c r="N86" t="str">
        <f>IF(L86=TRUE,DONNEES_SOURCE!$BY85,"")</f>
        <v/>
      </c>
      <c r="O86" t="str">
        <f>IF(L86=TRUE,DONNEES_SOURCE!$BX85,"")</f>
        <v/>
      </c>
      <c r="P86" t="str">
        <f>IF(L86=TRUE,DONNEES_SOURCE!$AM85,"")</f>
        <v/>
      </c>
      <c r="Q86" t="str">
        <f>IF(L86=TRUE,DONNEES_SOURCE!$AY85,"")</f>
        <v/>
      </c>
      <c r="R86" t="str">
        <f>IF(L86=TRUE,DONNEES_SOURCE!$BA85,"")</f>
        <v/>
      </c>
      <c r="S86" t="str">
        <f>IF(L86=TRUE,DONNEES_SOURCE!$BB85,"")</f>
        <v/>
      </c>
      <c r="T86" t="str">
        <f>IF(L86=TRUE,DONNEES_SOURCE!$BS85,"")</f>
        <v/>
      </c>
      <c r="U86">
        <v>84</v>
      </c>
      <c r="V86" t="str">
        <f>IF(L86=TRUE,DONNEES_SOURCE!$BW85,"")</f>
        <v/>
      </c>
    </row>
    <row r="87" spans="12:22" x14ac:dyDescent="0.25">
      <c r="L87">
        <f>DONNEES_SOURCE!$CA86</f>
        <v>0</v>
      </c>
      <c r="M87" t="str">
        <f>IF(L87=TRUE,DONNEES_SOURCE!$CB86,"")</f>
        <v/>
      </c>
      <c r="N87" t="str">
        <f>IF(L87=TRUE,DONNEES_SOURCE!$BY86,"")</f>
        <v/>
      </c>
      <c r="O87" t="str">
        <f>IF(L87=TRUE,DONNEES_SOURCE!$BX86,"")</f>
        <v/>
      </c>
      <c r="P87" t="str">
        <f>IF(L87=TRUE,DONNEES_SOURCE!$AM86,"")</f>
        <v/>
      </c>
      <c r="Q87" t="str">
        <f>IF(L87=TRUE,DONNEES_SOURCE!$AY86,"")</f>
        <v/>
      </c>
      <c r="R87" t="str">
        <f>IF(L87=TRUE,DONNEES_SOURCE!$BA86,"")</f>
        <v/>
      </c>
      <c r="S87" t="str">
        <f>IF(L87=TRUE,DONNEES_SOURCE!$BB86,"")</f>
        <v/>
      </c>
      <c r="T87" t="str">
        <f>IF(L87=TRUE,DONNEES_SOURCE!$BS86,"")</f>
        <v/>
      </c>
      <c r="U87">
        <v>85</v>
      </c>
      <c r="V87" t="str">
        <f>IF(L87=TRUE,DONNEES_SOURCE!$BW86,"")</f>
        <v/>
      </c>
    </row>
    <row r="88" spans="12:22" x14ac:dyDescent="0.25">
      <c r="L88">
        <f>DONNEES_SOURCE!$CA87</f>
        <v>0</v>
      </c>
      <c r="M88" t="str">
        <f>IF(L88=TRUE,DONNEES_SOURCE!$CB87,"")</f>
        <v/>
      </c>
      <c r="N88" t="str">
        <f>IF(L88=TRUE,DONNEES_SOURCE!$BY87,"")</f>
        <v/>
      </c>
      <c r="O88" t="str">
        <f>IF(L88=TRUE,DONNEES_SOURCE!$BX87,"")</f>
        <v/>
      </c>
      <c r="P88" t="str">
        <f>IF(L88=TRUE,DONNEES_SOURCE!$AM87,"")</f>
        <v/>
      </c>
      <c r="Q88" t="str">
        <f>IF(L88=TRUE,DONNEES_SOURCE!$AY87,"")</f>
        <v/>
      </c>
      <c r="R88" t="str">
        <f>IF(L88=TRUE,DONNEES_SOURCE!$BA87,"")</f>
        <v/>
      </c>
      <c r="S88" t="str">
        <f>IF(L88=TRUE,DONNEES_SOURCE!$BB87,"")</f>
        <v/>
      </c>
      <c r="T88" t="str">
        <f>IF(L88=TRUE,DONNEES_SOURCE!$BS87,"")</f>
        <v/>
      </c>
      <c r="U88">
        <v>86</v>
      </c>
      <c r="V88" t="str">
        <f>IF(L88=TRUE,DONNEES_SOURCE!$BW87,"")</f>
        <v/>
      </c>
    </row>
    <row r="89" spans="12:22" x14ac:dyDescent="0.25">
      <c r="L89">
        <f>DONNEES_SOURCE!$CA88</f>
        <v>0</v>
      </c>
      <c r="M89" t="str">
        <f>IF(L89=TRUE,DONNEES_SOURCE!$CB88,"")</f>
        <v/>
      </c>
      <c r="N89" t="str">
        <f>IF(L89=TRUE,DONNEES_SOURCE!$BY88,"")</f>
        <v/>
      </c>
      <c r="O89" t="str">
        <f>IF(L89=TRUE,DONNEES_SOURCE!$BX88,"")</f>
        <v/>
      </c>
      <c r="P89" t="str">
        <f>IF(L89=TRUE,DONNEES_SOURCE!$AM88,"")</f>
        <v/>
      </c>
      <c r="Q89" t="str">
        <f>IF(L89=TRUE,DONNEES_SOURCE!$AY88,"")</f>
        <v/>
      </c>
      <c r="R89" t="str">
        <f>IF(L89=TRUE,DONNEES_SOURCE!$BA88,"")</f>
        <v/>
      </c>
      <c r="S89" t="str">
        <f>IF(L89=TRUE,DONNEES_SOURCE!$BB88,"")</f>
        <v/>
      </c>
      <c r="T89" t="str">
        <f>IF(L89=TRUE,DONNEES_SOURCE!$BS88,"")</f>
        <v/>
      </c>
      <c r="U89">
        <v>87</v>
      </c>
      <c r="V89" t="str">
        <f>IF(L89=TRUE,DONNEES_SOURCE!$BW88,"")</f>
        <v/>
      </c>
    </row>
    <row r="90" spans="12:22" x14ac:dyDescent="0.25">
      <c r="L90">
        <f>DONNEES_SOURCE!$CA89</f>
        <v>0</v>
      </c>
      <c r="M90" t="str">
        <f>IF(L90=TRUE,DONNEES_SOURCE!$CB89,"")</f>
        <v/>
      </c>
      <c r="N90" t="str">
        <f>IF(L90=TRUE,DONNEES_SOURCE!$BY89,"")</f>
        <v/>
      </c>
      <c r="O90" t="str">
        <f>IF(L90=TRUE,DONNEES_SOURCE!$BX89,"")</f>
        <v/>
      </c>
      <c r="P90" t="str">
        <f>IF(L90=TRUE,DONNEES_SOURCE!$AM89,"")</f>
        <v/>
      </c>
      <c r="Q90" t="str">
        <f>IF(L90=TRUE,DONNEES_SOURCE!$AY89,"")</f>
        <v/>
      </c>
      <c r="R90" t="str">
        <f>IF(L90=TRUE,DONNEES_SOURCE!$BA89,"")</f>
        <v/>
      </c>
      <c r="S90" t="str">
        <f>IF(L90=TRUE,DONNEES_SOURCE!$BB89,"")</f>
        <v/>
      </c>
      <c r="T90" t="str">
        <f>IF(L90=TRUE,DONNEES_SOURCE!$BS89,"")</f>
        <v/>
      </c>
      <c r="U90">
        <v>88</v>
      </c>
      <c r="V90" t="str">
        <f>IF(L90=TRUE,DONNEES_SOURCE!$BW89,"")</f>
        <v/>
      </c>
    </row>
    <row r="91" spans="12:22" x14ac:dyDescent="0.25">
      <c r="L91">
        <f>DONNEES_SOURCE!$CA90</f>
        <v>0</v>
      </c>
      <c r="M91" t="str">
        <f>IF(L91=TRUE,DONNEES_SOURCE!$CB90,"")</f>
        <v/>
      </c>
      <c r="N91" t="str">
        <f>IF(L91=TRUE,DONNEES_SOURCE!$BY90,"")</f>
        <v/>
      </c>
      <c r="O91" t="str">
        <f>IF(L91=TRUE,DONNEES_SOURCE!$BX90,"")</f>
        <v/>
      </c>
      <c r="P91" t="str">
        <f>IF(L91=TRUE,DONNEES_SOURCE!$AM90,"")</f>
        <v/>
      </c>
      <c r="Q91" t="str">
        <f>IF(L91=TRUE,DONNEES_SOURCE!$AY90,"")</f>
        <v/>
      </c>
      <c r="R91" t="str">
        <f>IF(L91=TRUE,DONNEES_SOURCE!$BA90,"")</f>
        <v/>
      </c>
      <c r="S91" t="str">
        <f>IF(L91=TRUE,DONNEES_SOURCE!$BB90,"")</f>
        <v/>
      </c>
      <c r="T91" t="str">
        <f>IF(L91=TRUE,DONNEES_SOURCE!$BS90,"")</f>
        <v/>
      </c>
      <c r="U91">
        <v>89</v>
      </c>
      <c r="V91" t="str">
        <f>IF(L91=TRUE,DONNEES_SOURCE!$BW90,"")</f>
        <v/>
      </c>
    </row>
    <row r="92" spans="12:22" x14ac:dyDescent="0.25">
      <c r="L92">
        <f>DONNEES_SOURCE!$CA91</f>
        <v>0</v>
      </c>
      <c r="M92" t="str">
        <f>IF(L92=TRUE,DONNEES_SOURCE!$CB91,"")</f>
        <v/>
      </c>
      <c r="N92" t="str">
        <f>IF(L92=TRUE,DONNEES_SOURCE!$BY91,"")</f>
        <v/>
      </c>
      <c r="O92" t="str">
        <f>IF(L92=TRUE,DONNEES_SOURCE!$BX91,"")</f>
        <v/>
      </c>
      <c r="P92" t="str">
        <f>IF(L92=TRUE,DONNEES_SOURCE!$AM91,"")</f>
        <v/>
      </c>
      <c r="Q92" t="str">
        <f>IF(L92=TRUE,DONNEES_SOURCE!$AY91,"")</f>
        <v/>
      </c>
      <c r="R92" t="str">
        <f>IF(L92=TRUE,DONNEES_SOURCE!$BA91,"")</f>
        <v/>
      </c>
      <c r="S92" t="str">
        <f>IF(L92=TRUE,DONNEES_SOURCE!$BB91,"")</f>
        <v/>
      </c>
      <c r="T92" t="str">
        <f>IF(L92=TRUE,DONNEES_SOURCE!$BS91,"")</f>
        <v/>
      </c>
      <c r="U92">
        <v>90</v>
      </c>
      <c r="V92" t="str">
        <f>IF(L92=TRUE,DONNEES_SOURCE!$BW91,"")</f>
        <v/>
      </c>
    </row>
    <row r="93" spans="12:22" x14ac:dyDescent="0.25">
      <c r="L93">
        <f>DONNEES_SOURCE!$CA92</f>
        <v>0</v>
      </c>
      <c r="M93" t="str">
        <f>IF(L93=TRUE,DONNEES_SOURCE!$CB92,"")</f>
        <v/>
      </c>
      <c r="N93" t="str">
        <f>IF(L93=TRUE,DONNEES_SOURCE!$BY92,"")</f>
        <v/>
      </c>
      <c r="O93" t="str">
        <f>IF(L93=TRUE,DONNEES_SOURCE!$BX92,"")</f>
        <v/>
      </c>
      <c r="P93" t="str">
        <f>IF(L93=TRUE,DONNEES_SOURCE!$AM92,"")</f>
        <v/>
      </c>
      <c r="Q93" t="str">
        <f>IF(L93=TRUE,DONNEES_SOURCE!$AY92,"")</f>
        <v/>
      </c>
      <c r="R93" t="str">
        <f>IF(L93=TRUE,DONNEES_SOURCE!$BA92,"")</f>
        <v/>
      </c>
      <c r="S93" t="str">
        <f>IF(L93=TRUE,DONNEES_SOURCE!$BB92,"")</f>
        <v/>
      </c>
      <c r="T93" t="str">
        <f>IF(L93=TRUE,DONNEES_SOURCE!$BS92,"")</f>
        <v/>
      </c>
      <c r="U93">
        <v>91</v>
      </c>
      <c r="V93" t="str">
        <f>IF(L93=TRUE,DONNEES_SOURCE!$BW92,"")</f>
        <v/>
      </c>
    </row>
    <row r="94" spans="12:22" x14ac:dyDescent="0.25">
      <c r="L94">
        <f>DONNEES_SOURCE!$CA93</f>
        <v>0</v>
      </c>
      <c r="M94" t="str">
        <f>IF(L94=TRUE,DONNEES_SOURCE!$CB93,"")</f>
        <v/>
      </c>
      <c r="N94" t="str">
        <f>IF(L94=TRUE,DONNEES_SOURCE!$BY93,"")</f>
        <v/>
      </c>
      <c r="O94" t="str">
        <f>IF(L94=TRUE,DONNEES_SOURCE!$BX93,"")</f>
        <v/>
      </c>
      <c r="P94" t="str">
        <f>IF(L94=TRUE,DONNEES_SOURCE!$AM93,"")</f>
        <v/>
      </c>
      <c r="Q94" t="str">
        <f>IF(L94=TRUE,DONNEES_SOURCE!$AY93,"")</f>
        <v/>
      </c>
      <c r="R94" t="str">
        <f>IF(L94=TRUE,DONNEES_SOURCE!$BA93,"")</f>
        <v/>
      </c>
      <c r="S94" t="str">
        <f>IF(L94=TRUE,DONNEES_SOURCE!$BB93,"")</f>
        <v/>
      </c>
      <c r="T94" t="str">
        <f>IF(L94=TRUE,DONNEES_SOURCE!$BS93,"")</f>
        <v/>
      </c>
      <c r="U94">
        <v>92</v>
      </c>
      <c r="V94" t="str">
        <f>IF(L94=TRUE,DONNEES_SOURCE!$BW93,"")</f>
        <v/>
      </c>
    </row>
    <row r="95" spans="12:22" x14ac:dyDescent="0.25">
      <c r="L95">
        <f>DONNEES_SOURCE!$CA94</f>
        <v>0</v>
      </c>
      <c r="M95" t="str">
        <f>IF(L95=TRUE,DONNEES_SOURCE!$CB94,"")</f>
        <v/>
      </c>
      <c r="N95" t="str">
        <f>IF(L95=TRUE,DONNEES_SOURCE!$BY94,"")</f>
        <v/>
      </c>
      <c r="O95" t="str">
        <f>IF(L95=TRUE,DONNEES_SOURCE!$BX94,"")</f>
        <v/>
      </c>
      <c r="P95" t="str">
        <f>IF(L95=TRUE,DONNEES_SOURCE!$AM94,"")</f>
        <v/>
      </c>
      <c r="Q95" t="str">
        <f>IF(L95=TRUE,DONNEES_SOURCE!$AY94,"")</f>
        <v/>
      </c>
      <c r="R95" t="str">
        <f>IF(L95=TRUE,DONNEES_SOURCE!$BA94,"")</f>
        <v/>
      </c>
      <c r="S95" t="str">
        <f>IF(L95=TRUE,DONNEES_SOURCE!$BB94,"")</f>
        <v/>
      </c>
      <c r="T95" t="str">
        <f>IF(L95=TRUE,DONNEES_SOURCE!$BS94,"")</f>
        <v/>
      </c>
      <c r="U95">
        <v>93</v>
      </c>
      <c r="V95" t="str">
        <f>IF(L95=TRUE,DONNEES_SOURCE!$BW94,"")</f>
        <v/>
      </c>
    </row>
    <row r="96" spans="12:22" x14ac:dyDescent="0.25">
      <c r="L96">
        <f>DONNEES_SOURCE!$CA95</f>
        <v>0</v>
      </c>
      <c r="M96" t="str">
        <f>IF(L96=TRUE,DONNEES_SOURCE!$CB95,"")</f>
        <v/>
      </c>
      <c r="N96" t="str">
        <f>IF(L96=TRUE,DONNEES_SOURCE!$BY95,"")</f>
        <v/>
      </c>
      <c r="O96" t="str">
        <f>IF(L96=TRUE,DONNEES_SOURCE!$BX95,"")</f>
        <v/>
      </c>
      <c r="P96" t="str">
        <f>IF(L96=TRUE,DONNEES_SOURCE!$AM95,"")</f>
        <v/>
      </c>
      <c r="Q96" t="str">
        <f>IF(L96=TRUE,DONNEES_SOURCE!$AY95,"")</f>
        <v/>
      </c>
      <c r="R96" t="str">
        <f>IF(L96=TRUE,DONNEES_SOURCE!$BA95,"")</f>
        <v/>
      </c>
      <c r="S96" t="str">
        <f>IF(L96=TRUE,DONNEES_SOURCE!$BB95,"")</f>
        <v/>
      </c>
      <c r="T96" t="str">
        <f>IF(L96=TRUE,DONNEES_SOURCE!$BS95,"")</f>
        <v/>
      </c>
      <c r="U96">
        <v>94</v>
      </c>
      <c r="V96" t="str">
        <f>IF(L96=TRUE,DONNEES_SOURCE!$BW95,"")</f>
        <v/>
      </c>
    </row>
    <row r="97" spans="12:22" x14ac:dyDescent="0.25">
      <c r="L97">
        <f>DONNEES_SOURCE!$CA96</f>
        <v>0</v>
      </c>
      <c r="M97" t="str">
        <f>IF(L97=TRUE,DONNEES_SOURCE!$CB96,"")</f>
        <v/>
      </c>
      <c r="N97" t="str">
        <f>IF(L97=TRUE,DONNEES_SOURCE!$BY96,"")</f>
        <v/>
      </c>
      <c r="O97" t="str">
        <f>IF(L97=TRUE,DONNEES_SOURCE!$BX96,"")</f>
        <v/>
      </c>
      <c r="P97" t="str">
        <f>IF(L97=TRUE,DONNEES_SOURCE!$AM96,"")</f>
        <v/>
      </c>
      <c r="Q97" t="str">
        <f>IF(L97=TRUE,DONNEES_SOURCE!$AY96,"")</f>
        <v/>
      </c>
      <c r="R97" t="str">
        <f>IF(L97=TRUE,DONNEES_SOURCE!$BA96,"")</f>
        <v/>
      </c>
      <c r="S97" t="str">
        <f>IF(L97=TRUE,DONNEES_SOURCE!$BB96,"")</f>
        <v/>
      </c>
      <c r="T97" t="str">
        <f>IF(L97=TRUE,DONNEES_SOURCE!$BS96,"")</f>
        <v/>
      </c>
      <c r="U97">
        <v>95</v>
      </c>
      <c r="V97" t="str">
        <f>IF(L97=TRUE,DONNEES_SOURCE!$BW96,"")</f>
        <v/>
      </c>
    </row>
    <row r="98" spans="12:22" x14ac:dyDescent="0.25">
      <c r="L98">
        <f>DONNEES_SOURCE!$CA97</f>
        <v>0</v>
      </c>
      <c r="M98" t="str">
        <f>IF(L98=TRUE,DONNEES_SOURCE!$CB97,"")</f>
        <v/>
      </c>
      <c r="N98" t="str">
        <f>IF(L98=TRUE,DONNEES_SOURCE!$BY97,"")</f>
        <v/>
      </c>
      <c r="O98" t="str">
        <f>IF(L98=TRUE,DONNEES_SOURCE!$BX97,"")</f>
        <v/>
      </c>
      <c r="P98" t="str">
        <f>IF(L98=TRUE,DONNEES_SOURCE!$AM97,"")</f>
        <v/>
      </c>
      <c r="Q98" t="str">
        <f>IF(L98=TRUE,DONNEES_SOURCE!$AY97,"")</f>
        <v/>
      </c>
      <c r="R98" t="str">
        <f>IF(L98=TRUE,DONNEES_SOURCE!$BA97,"")</f>
        <v/>
      </c>
      <c r="S98" t="str">
        <f>IF(L98=TRUE,DONNEES_SOURCE!$BB97,"")</f>
        <v/>
      </c>
      <c r="T98" t="str">
        <f>IF(L98=TRUE,DONNEES_SOURCE!$BS97,"")</f>
        <v/>
      </c>
      <c r="U98">
        <v>96</v>
      </c>
      <c r="V98" t="str">
        <f>IF(L98=TRUE,DONNEES_SOURCE!$BW97,"")</f>
        <v/>
      </c>
    </row>
    <row r="99" spans="12:22" x14ac:dyDescent="0.25">
      <c r="L99">
        <f>DONNEES_SOURCE!$CA98</f>
        <v>0</v>
      </c>
      <c r="M99" t="str">
        <f>IF(L99=TRUE,DONNEES_SOURCE!$CB98,"")</f>
        <v/>
      </c>
      <c r="N99" t="str">
        <f>IF(L99=TRUE,DONNEES_SOURCE!$BY98,"")</f>
        <v/>
      </c>
      <c r="O99" t="str">
        <f>IF(L99=TRUE,DONNEES_SOURCE!$BX98,"")</f>
        <v/>
      </c>
      <c r="P99" t="str">
        <f>IF(L99=TRUE,DONNEES_SOURCE!$AM98,"")</f>
        <v/>
      </c>
      <c r="Q99" t="str">
        <f>IF(L99=TRUE,DONNEES_SOURCE!$AY98,"")</f>
        <v/>
      </c>
      <c r="R99" t="str">
        <f>IF(L99=TRUE,DONNEES_SOURCE!$BA98,"")</f>
        <v/>
      </c>
      <c r="S99" t="str">
        <f>IF(L99=TRUE,DONNEES_SOURCE!$BB98,"")</f>
        <v/>
      </c>
      <c r="T99" t="str">
        <f>IF(L99=TRUE,DONNEES_SOURCE!$BS98,"")</f>
        <v/>
      </c>
      <c r="U99">
        <v>97</v>
      </c>
      <c r="V99" t="str">
        <f>IF(L99=TRUE,DONNEES_SOURCE!$BW98,"")</f>
        <v/>
      </c>
    </row>
    <row r="100" spans="12:22" x14ac:dyDescent="0.25">
      <c r="L100">
        <f>DONNEES_SOURCE!$CA99</f>
        <v>0</v>
      </c>
      <c r="M100" t="str">
        <f>IF(L100=TRUE,DONNEES_SOURCE!$CB99,"")</f>
        <v/>
      </c>
      <c r="N100" t="str">
        <f>IF(L100=TRUE,DONNEES_SOURCE!$BY99,"")</f>
        <v/>
      </c>
      <c r="O100" t="str">
        <f>IF(L100=TRUE,DONNEES_SOURCE!$BX99,"")</f>
        <v/>
      </c>
      <c r="P100" t="str">
        <f>IF(L100=TRUE,DONNEES_SOURCE!$AM99,"")</f>
        <v/>
      </c>
      <c r="Q100" t="str">
        <f>IF(L100=TRUE,DONNEES_SOURCE!$AY99,"")</f>
        <v/>
      </c>
      <c r="R100" t="str">
        <f>IF(L100=TRUE,DONNEES_SOURCE!$BA99,"")</f>
        <v/>
      </c>
      <c r="S100" t="str">
        <f>IF(L100=TRUE,DONNEES_SOURCE!$BB99,"")</f>
        <v/>
      </c>
      <c r="T100" t="str">
        <f>IF(L100=TRUE,DONNEES_SOURCE!$BS99,"")</f>
        <v/>
      </c>
      <c r="U100">
        <v>98</v>
      </c>
      <c r="V100" t="str">
        <f>IF(L100=TRUE,DONNEES_SOURCE!$BW99,"")</f>
        <v/>
      </c>
    </row>
    <row r="101" spans="12:22" x14ac:dyDescent="0.25">
      <c r="L101">
        <f>DONNEES_SOURCE!$CA100</f>
        <v>0</v>
      </c>
      <c r="M101" t="str">
        <f>IF(L101=TRUE,DONNEES_SOURCE!$CB100,"")</f>
        <v/>
      </c>
      <c r="N101" t="str">
        <f>IF(L101=TRUE,DONNEES_SOURCE!$BY100,"")</f>
        <v/>
      </c>
      <c r="O101" t="str">
        <f>IF(L101=TRUE,DONNEES_SOURCE!$BX100,"")</f>
        <v/>
      </c>
      <c r="P101" t="str">
        <f>IF(L101=TRUE,DONNEES_SOURCE!$AM100,"")</f>
        <v/>
      </c>
      <c r="Q101" t="str">
        <f>IF(L101=TRUE,DONNEES_SOURCE!$AY100,"")</f>
        <v/>
      </c>
      <c r="R101" t="str">
        <f>IF(L101=TRUE,DONNEES_SOURCE!$BA100,"")</f>
        <v/>
      </c>
      <c r="S101" t="str">
        <f>IF(L101=TRUE,DONNEES_SOURCE!$BB100,"")</f>
        <v/>
      </c>
      <c r="T101" t="str">
        <f>IF(L101=TRUE,DONNEES_SOURCE!$BS100,"")</f>
        <v/>
      </c>
      <c r="U101">
        <v>99</v>
      </c>
      <c r="V101" t="str">
        <f>IF(L101=TRUE,DONNEES_SOURCE!$BW100,"")</f>
        <v/>
      </c>
    </row>
    <row r="102" spans="12:22" x14ac:dyDescent="0.25">
      <c r="L102">
        <f>DONNEES_SOURCE!$CA101</f>
        <v>0</v>
      </c>
      <c r="M102" t="str">
        <f>IF(L102=TRUE,DONNEES_SOURCE!$CB101,"")</f>
        <v/>
      </c>
      <c r="N102" t="str">
        <f>IF(L102=TRUE,DONNEES_SOURCE!$BY101,"")</f>
        <v/>
      </c>
      <c r="O102" t="str">
        <f>IF(L102=TRUE,DONNEES_SOURCE!$BX101,"")</f>
        <v/>
      </c>
      <c r="P102" t="str">
        <f>IF(L102=TRUE,DONNEES_SOURCE!$AM101,"")</f>
        <v/>
      </c>
      <c r="Q102" t="str">
        <f>IF(L102=TRUE,DONNEES_SOURCE!$AY101,"")</f>
        <v/>
      </c>
      <c r="R102" t="str">
        <f>IF(L102=TRUE,DONNEES_SOURCE!$BA101,"")</f>
        <v/>
      </c>
      <c r="S102" t="str">
        <f>IF(L102=TRUE,DONNEES_SOURCE!$BB101,"")</f>
        <v/>
      </c>
      <c r="T102" t="str">
        <f>IF(L102=TRUE,DONNEES_SOURCE!$BS101,"")</f>
        <v/>
      </c>
      <c r="U102">
        <v>100</v>
      </c>
      <c r="V102" t="str">
        <f>IF(L102=TRUE,DONNEES_SOURCE!$BW101,"")</f>
        <v/>
      </c>
    </row>
  </sheetData>
  <mergeCells count="17">
    <mergeCell ref="A50:J50"/>
    <mergeCell ref="A53:J53"/>
    <mergeCell ref="A56:J56"/>
    <mergeCell ref="A63:J63"/>
    <mergeCell ref="A64:J64"/>
    <mergeCell ref="A45:J45"/>
    <mergeCell ref="A1:J1"/>
    <mergeCell ref="L1:U1"/>
    <mergeCell ref="A3:J3"/>
    <mergeCell ref="A4:J4"/>
    <mergeCell ref="A15:J15"/>
    <mergeCell ref="A16:J16"/>
    <mergeCell ref="A23:J23"/>
    <mergeCell ref="A24:J24"/>
    <mergeCell ref="A33:J33"/>
    <mergeCell ref="A34:J34"/>
    <mergeCell ref="B42:D4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45FB-1254-4FDB-B041-500BA3CC72BD}">
  <sheetPr codeName="Feuil6"/>
  <dimension ref="A1:D100"/>
  <sheetViews>
    <sheetView workbookViewId="0">
      <selection activeCell="L23" sqref="L23"/>
    </sheetView>
  </sheetViews>
  <sheetFormatPr baseColWidth="10" defaultRowHeight="15" x14ac:dyDescent="0.25"/>
  <sheetData>
    <row r="1" spans="1:4" x14ac:dyDescent="0.25">
      <c r="A1" t="str" cm="1">
        <f t="array" ref="A1:D1">DONNEES_SOURCE!AQ1:AT1</f>
        <v>Q16 . Quel est le niveau d'importance de ce risque pour votre travail? [Hallucinations : Production d'informations fausses mais crédibles.]</v>
      </c>
      <c r="B1" t="str">
        <v>Q16 . Quel est le niveau d'importance de ce risque pour votre travail? [Confidentialité : Risque de fuite ou d'usage illicite de données clients.]</v>
      </c>
      <c r="C1" t="str">
        <v>Q16 . Quel est le niveau d'importance de ce risque pour votre travail? [Boîte noire : Opacité des algorithmes et difficulté à justifier un résultat.]</v>
      </c>
      <c r="D1" t="str">
        <v>Q16 . Quel est le niveau d'importance de ce risque pour votre travail? [Responsabilité : Risque d'assumer seul les erreurs commises par l'IA.]</v>
      </c>
    </row>
    <row r="2" spans="1:4" x14ac:dyDescent="0.25">
      <c r="A2" cm="1">
        <f t="array" ref="A2:D100">VALUE(LEFT(DONNEES_SOURCE!AQ2:AT100,1))</f>
        <v>5</v>
      </c>
      <c r="B2">
        <v>5</v>
      </c>
      <c r="C2">
        <v>4</v>
      </c>
      <c r="D2">
        <v>5</v>
      </c>
    </row>
    <row r="3" spans="1:4" x14ac:dyDescent="0.25">
      <c r="A3">
        <v>5</v>
      </c>
      <c r="B3">
        <v>4</v>
      </c>
      <c r="C3">
        <v>4</v>
      </c>
      <c r="D3">
        <v>5</v>
      </c>
    </row>
    <row r="4" spans="1:4" x14ac:dyDescent="0.25">
      <c r="A4">
        <v>4</v>
      </c>
      <c r="B4">
        <v>4</v>
      </c>
      <c r="C4">
        <v>4</v>
      </c>
      <c r="D4">
        <v>4</v>
      </c>
    </row>
    <row r="5" spans="1:4" x14ac:dyDescent="0.25">
      <c r="A5">
        <v>3</v>
      </c>
      <c r="B5">
        <v>5</v>
      </c>
      <c r="C5">
        <v>4</v>
      </c>
      <c r="D5">
        <v>4</v>
      </c>
    </row>
    <row r="6" spans="1:4" x14ac:dyDescent="0.25">
      <c r="A6">
        <v>5</v>
      </c>
      <c r="B6">
        <v>5</v>
      </c>
      <c r="C6">
        <v>5</v>
      </c>
      <c r="D6">
        <v>5</v>
      </c>
    </row>
    <row r="7" spans="1:4" x14ac:dyDescent="0.25">
      <c r="A7">
        <v>5</v>
      </c>
      <c r="B7">
        <v>5</v>
      </c>
      <c r="C7">
        <v>5</v>
      </c>
      <c r="D7">
        <v>5</v>
      </c>
    </row>
    <row r="8" spans="1:4" x14ac:dyDescent="0.25">
      <c r="A8">
        <v>5</v>
      </c>
      <c r="B8">
        <v>5</v>
      </c>
      <c r="C8">
        <v>4</v>
      </c>
      <c r="D8">
        <v>3</v>
      </c>
    </row>
    <row r="9" spans="1:4" x14ac:dyDescent="0.25">
      <c r="A9">
        <v>5</v>
      </c>
      <c r="B9">
        <v>5</v>
      </c>
      <c r="C9">
        <v>4</v>
      </c>
      <c r="D9">
        <v>3</v>
      </c>
    </row>
    <row r="10" spans="1:4" x14ac:dyDescent="0.25">
      <c r="A10">
        <v>4</v>
      </c>
      <c r="B10">
        <v>4</v>
      </c>
      <c r="C10">
        <v>4</v>
      </c>
      <c r="D10">
        <v>4</v>
      </c>
    </row>
    <row r="11" spans="1:4" x14ac:dyDescent="0.25">
      <c r="A11">
        <v>3</v>
      </c>
      <c r="B11">
        <v>5</v>
      </c>
      <c r="C11">
        <v>1</v>
      </c>
      <c r="D11">
        <v>4</v>
      </c>
    </row>
    <row r="12" spans="1:4" x14ac:dyDescent="0.25">
      <c r="A12">
        <v>5</v>
      </c>
      <c r="B12">
        <v>5</v>
      </c>
      <c r="C12">
        <v>5</v>
      </c>
      <c r="D12">
        <v>5</v>
      </c>
    </row>
    <row r="13" spans="1:4" x14ac:dyDescent="0.25">
      <c r="A13">
        <v>5</v>
      </c>
      <c r="B13">
        <v>5</v>
      </c>
      <c r="C13">
        <v>4</v>
      </c>
      <c r="D13">
        <v>4</v>
      </c>
    </row>
    <row r="14" spans="1:4" x14ac:dyDescent="0.25">
      <c r="A14">
        <v>4</v>
      </c>
      <c r="B14">
        <v>5</v>
      </c>
      <c r="C14">
        <v>3</v>
      </c>
      <c r="D14">
        <v>5</v>
      </c>
    </row>
    <row r="15" spans="1:4" x14ac:dyDescent="0.25">
      <c r="A15">
        <v>5</v>
      </c>
      <c r="B15">
        <v>5</v>
      </c>
      <c r="C15">
        <v>3</v>
      </c>
      <c r="D15">
        <v>3</v>
      </c>
    </row>
    <row r="16" spans="1:4" x14ac:dyDescent="0.25">
      <c r="A16">
        <v>4</v>
      </c>
      <c r="B16">
        <v>5</v>
      </c>
      <c r="C16">
        <v>3</v>
      </c>
      <c r="D16">
        <v>4</v>
      </c>
    </row>
    <row r="17" spans="1:4" x14ac:dyDescent="0.25">
      <c r="A17">
        <v>5</v>
      </c>
      <c r="B17">
        <v>5</v>
      </c>
      <c r="C17">
        <v>4</v>
      </c>
      <c r="D17">
        <v>4</v>
      </c>
    </row>
    <row r="18" spans="1:4" x14ac:dyDescent="0.25">
      <c r="A18">
        <v>5</v>
      </c>
      <c r="B18">
        <v>5</v>
      </c>
      <c r="C18">
        <v>4</v>
      </c>
      <c r="D18">
        <v>3</v>
      </c>
    </row>
    <row r="19" spans="1:4" x14ac:dyDescent="0.25">
      <c r="A19">
        <v>4</v>
      </c>
      <c r="B19">
        <v>5</v>
      </c>
      <c r="C19">
        <v>3</v>
      </c>
      <c r="D19">
        <v>1</v>
      </c>
    </row>
    <row r="20" spans="1:4" x14ac:dyDescent="0.25">
      <c r="A20">
        <v>3</v>
      </c>
      <c r="B20">
        <v>3</v>
      </c>
      <c r="C20">
        <v>1</v>
      </c>
      <c r="D20">
        <v>1</v>
      </c>
    </row>
    <row r="21" spans="1:4" x14ac:dyDescent="0.25">
      <c r="A21">
        <v>5</v>
      </c>
      <c r="B21">
        <v>5</v>
      </c>
      <c r="C21">
        <v>5</v>
      </c>
      <c r="D21">
        <v>5</v>
      </c>
    </row>
    <row r="22" spans="1:4" x14ac:dyDescent="0.25">
      <c r="A22">
        <v>3</v>
      </c>
      <c r="B22">
        <v>3</v>
      </c>
      <c r="C22">
        <v>3</v>
      </c>
      <c r="D22">
        <v>3</v>
      </c>
    </row>
    <row r="23" spans="1:4" x14ac:dyDescent="0.25">
      <c r="A23">
        <v>3</v>
      </c>
      <c r="B23">
        <v>2</v>
      </c>
      <c r="C23">
        <v>3</v>
      </c>
      <c r="D23">
        <v>4</v>
      </c>
    </row>
    <row r="24" spans="1:4" x14ac:dyDescent="0.25">
      <c r="A24">
        <v>4</v>
      </c>
      <c r="B24">
        <v>4</v>
      </c>
      <c r="C24">
        <v>3</v>
      </c>
      <c r="D24">
        <v>4</v>
      </c>
    </row>
    <row r="25" spans="1:4" x14ac:dyDescent="0.25">
      <c r="A25">
        <v>5</v>
      </c>
      <c r="B25">
        <v>2</v>
      </c>
      <c r="C25">
        <v>2</v>
      </c>
      <c r="D25">
        <v>4</v>
      </c>
    </row>
    <row r="26" spans="1:4" x14ac:dyDescent="0.25">
      <c r="A26">
        <v>5</v>
      </c>
      <c r="B26">
        <v>4</v>
      </c>
      <c r="C26">
        <v>3</v>
      </c>
      <c r="D26">
        <v>3</v>
      </c>
    </row>
    <row r="27" spans="1:4" x14ac:dyDescent="0.25">
      <c r="A27">
        <v>3</v>
      </c>
      <c r="B27">
        <v>3</v>
      </c>
      <c r="C27">
        <v>3</v>
      </c>
      <c r="D27">
        <v>4</v>
      </c>
    </row>
    <row r="28" spans="1:4" x14ac:dyDescent="0.25">
      <c r="A28">
        <v>5</v>
      </c>
      <c r="B28">
        <v>5</v>
      </c>
      <c r="C28">
        <v>3</v>
      </c>
      <c r="D28">
        <v>3</v>
      </c>
    </row>
    <row r="29" spans="1:4" x14ac:dyDescent="0.25">
      <c r="A29">
        <v>4</v>
      </c>
      <c r="B29">
        <v>5</v>
      </c>
      <c r="C29">
        <v>3</v>
      </c>
      <c r="D29">
        <v>4</v>
      </c>
    </row>
    <row r="30" spans="1:4" x14ac:dyDescent="0.25">
      <c r="A30">
        <v>4</v>
      </c>
      <c r="B30">
        <v>5</v>
      </c>
      <c r="C30">
        <v>5</v>
      </c>
      <c r="D30">
        <v>3</v>
      </c>
    </row>
    <row r="31" spans="1:4" x14ac:dyDescent="0.25">
      <c r="A31">
        <v>4</v>
      </c>
      <c r="B31">
        <v>5</v>
      </c>
      <c r="C31">
        <v>4</v>
      </c>
      <c r="D31">
        <v>3</v>
      </c>
    </row>
    <row r="32" spans="1:4" x14ac:dyDescent="0.25">
      <c r="A32">
        <v>5</v>
      </c>
      <c r="B32">
        <v>5</v>
      </c>
      <c r="C32">
        <v>5</v>
      </c>
      <c r="D32">
        <v>5</v>
      </c>
    </row>
    <row r="33" spans="1:4" x14ac:dyDescent="0.25">
      <c r="A33">
        <v>4</v>
      </c>
      <c r="B33">
        <v>2</v>
      </c>
      <c r="C33">
        <v>3</v>
      </c>
      <c r="D33">
        <v>3</v>
      </c>
    </row>
    <row r="34" spans="1:4" x14ac:dyDescent="0.25">
      <c r="A34">
        <v>4</v>
      </c>
      <c r="B34">
        <v>5</v>
      </c>
      <c r="C34">
        <v>4</v>
      </c>
      <c r="D34">
        <v>3</v>
      </c>
    </row>
    <row r="35" spans="1:4" x14ac:dyDescent="0.25">
      <c r="A35">
        <v>5</v>
      </c>
      <c r="B35">
        <v>5</v>
      </c>
      <c r="C35">
        <v>4</v>
      </c>
      <c r="D35">
        <v>4</v>
      </c>
    </row>
    <row r="36" spans="1:4" x14ac:dyDescent="0.25">
      <c r="A36">
        <v>5</v>
      </c>
      <c r="B36">
        <v>5</v>
      </c>
      <c r="C36">
        <v>5</v>
      </c>
      <c r="D36">
        <v>5</v>
      </c>
    </row>
    <row r="37" spans="1:4" x14ac:dyDescent="0.25">
      <c r="A37">
        <v>4</v>
      </c>
      <c r="B37">
        <v>5</v>
      </c>
      <c r="C37">
        <v>4</v>
      </c>
      <c r="D37">
        <v>4</v>
      </c>
    </row>
    <row r="38" spans="1:4" x14ac:dyDescent="0.25">
      <c r="A38">
        <v>4</v>
      </c>
      <c r="B38">
        <v>5</v>
      </c>
      <c r="C38">
        <v>3</v>
      </c>
      <c r="D38">
        <v>3</v>
      </c>
    </row>
    <row r="39" spans="1:4" x14ac:dyDescent="0.25">
      <c r="A39">
        <v>5</v>
      </c>
      <c r="B39">
        <v>4</v>
      </c>
      <c r="C39">
        <v>4</v>
      </c>
      <c r="D39">
        <v>5</v>
      </c>
    </row>
    <row r="40" spans="1:4" x14ac:dyDescent="0.25">
      <c r="A40">
        <v>2</v>
      </c>
      <c r="B40">
        <v>4</v>
      </c>
      <c r="C40">
        <v>3</v>
      </c>
      <c r="D40">
        <v>2</v>
      </c>
    </row>
    <row r="41" spans="1:4" x14ac:dyDescent="0.25">
      <c r="A41">
        <v>5</v>
      </c>
      <c r="B41">
        <v>5</v>
      </c>
      <c r="C41">
        <v>3</v>
      </c>
      <c r="D41">
        <v>3</v>
      </c>
    </row>
    <row r="42" spans="1:4" x14ac:dyDescent="0.25">
      <c r="A42">
        <v>5</v>
      </c>
      <c r="B42">
        <v>1</v>
      </c>
      <c r="C42">
        <v>2</v>
      </c>
      <c r="D42">
        <v>5</v>
      </c>
    </row>
    <row r="43" spans="1:4" x14ac:dyDescent="0.25">
      <c r="A43">
        <v>5</v>
      </c>
      <c r="B43">
        <v>5</v>
      </c>
      <c r="C43">
        <v>5</v>
      </c>
      <c r="D43">
        <v>5</v>
      </c>
    </row>
    <row r="44" spans="1:4" x14ac:dyDescent="0.25">
      <c r="A44">
        <v>4</v>
      </c>
      <c r="B44">
        <v>4</v>
      </c>
      <c r="C44">
        <v>4</v>
      </c>
      <c r="D44">
        <v>4</v>
      </c>
    </row>
    <row r="45" spans="1:4" x14ac:dyDescent="0.25">
      <c r="A45">
        <v>4</v>
      </c>
      <c r="B45">
        <v>3</v>
      </c>
      <c r="C45">
        <v>4</v>
      </c>
      <c r="D45">
        <v>4</v>
      </c>
    </row>
    <row r="46" spans="1:4" x14ac:dyDescent="0.25">
      <c r="A46">
        <v>4</v>
      </c>
      <c r="B46">
        <v>5</v>
      </c>
      <c r="C46">
        <v>4</v>
      </c>
      <c r="D46">
        <v>3</v>
      </c>
    </row>
    <row r="47" spans="1:4" x14ac:dyDescent="0.25">
      <c r="A47">
        <v>4</v>
      </c>
      <c r="B47">
        <v>2</v>
      </c>
      <c r="C47">
        <v>4</v>
      </c>
      <c r="D47">
        <v>4</v>
      </c>
    </row>
    <row r="48" spans="1:4" x14ac:dyDescent="0.25">
      <c r="A48">
        <v>5</v>
      </c>
      <c r="B48">
        <v>5</v>
      </c>
      <c r="C48">
        <v>3</v>
      </c>
      <c r="D48">
        <v>3</v>
      </c>
    </row>
    <row r="49" spans="1:4" x14ac:dyDescent="0.25">
      <c r="A49">
        <v>5</v>
      </c>
      <c r="B49">
        <v>5</v>
      </c>
      <c r="C49">
        <v>5</v>
      </c>
      <c r="D49">
        <v>5</v>
      </c>
    </row>
    <row r="50" spans="1:4" x14ac:dyDescent="0.25">
      <c r="A50">
        <v>5</v>
      </c>
      <c r="B50">
        <v>5</v>
      </c>
      <c r="C50">
        <v>3</v>
      </c>
      <c r="D50">
        <v>5</v>
      </c>
    </row>
    <row r="51" spans="1:4" x14ac:dyDescent="0.25">
      <c r="A51">
        <v>5</v>
      </c>
      <c r="B51">
        <v>5</v>
      </c>
      <c r="C51">
        <v>3</v>
      </c>
      <c r="D51">
        <v>4</v>
      </c>
    </row>
    <row r="52" spans="1:4" x14ac:dyDescent="0.25">
      <c r="A52">
        <v>5</v>
      </c>
      <c r="B52">
        <v>3</v>
      </c>
      <c r="C52">
        <v>3</v>
      </c>
      <c r="D52">
        <v>5</v>
      </c>
    </row>
    <row r="53" spans="1:4" x14ac:dyDescent="0.25">
      <c r="A53">
        <v>5</v>
      </c>
      <c r="B53">
        <v>5</v>
      </c>
      <c r="C53">
        <v>3</v>
      </c>
      <c r="D53">
        <v>5</v>
      </c>
    </row>
    <row r="54" spans="1:4" x14ac:dyDescent="0.25">
      <c r="A54">
        <v>4</v>
      </c>
      <c r="B54">
        <v>3</v>
      </c>
      <c r="C54">
        <v>3</v>
      </c>
      <c r="D54">
        <v>5</v>
      </c>
    </row>
    <row r="55" spans="1:4" x14ac:dyDescent="0.25">
      <c r="A55">
        <v>5</v>
      </c>
      <c r="B55">
        <v>5</v>
      </c>
      <c r="C55">
        <v>4</v>
      </c>
      <c r="D55">
        <v>4</v>
      </c>
    </row>
    <row r="56" spans="1:4" x14ac:dyDescent="0.25">
      <c r="A56">
        <v>4</v>
      </c>
      <c r="B56">
        <v>5</v>
      </c>
      <c r="C56">
        <v>4</v>
      </c>
      <c r="D56">
        <v>4</v>
      </c>
    </row>
    <row r="57" spans="1:4" x14ac:dyDescent="0.25">
      <c r="A57">
        <v>5</v>
      </c>
      <c r="B57">
        <v>4</v>
      </c>
      <c r="C57">
        <v>4</v>
      </c>
      <c r="D57">
        <v>3</v>
      </c>
    </row>
    <row r="58" spans="1:4" x14ac:dyDescent="0.25">
      <c r="A58">
        <v>5</v>
      </c>
      <c r="B58">
        <v>5</v>
      </c>
      <c r="C58">
        <v>5</v>
      </c>
      <c r="D58">
        <v>5</v>
      </c>
    </row>
    <row r="59" spans="1:4" x14ac:dyDescent="0.25">
      <c r="A59">
        <v>4</v>
      </c>
      <c r="B59">
        <v>5</v>
      </c>
      <c r="C59">
        <v>4</v>
      </c>
      <c r="D59">
        <v>4</v>
      </c>
    </row>
    <row r="60" spans="1:4" x14ac:dyDescent="0.25">
      <c r="A60">
        <v>1</v>
      </c>
      <c r="B60">
        <v>5</v>
      </c>
      <c r="C60">
        <v>1</v>
      </c>
      <c r="D60">
        <v>1</v>
      </c>
    </row>
    <row r="61" spans="1:4" x14ac:dyDescent="0.25">
      <c r="A61">
        <v>5</v>
      </c>
      <c r="B61">
        <v>5</v>
      </c>
      <c r="C61">
        <v>5</v>
      </c>
      <c r="D61">
        <v>5</v>
      </c>
    </row>
    <row r="62" spans="1:4" x14ac:dyDescent="0.25">
      <c r="A62">
        <v>4</v>
      </c>
      <c r="B62">
        <v>5</v>
      </c>
      <c r="C62">
        <v>4</v>
      </c>
      <c r="D62">
        <v>4</v>
      </c>
    </row>
    <row r="63" spans="1:4" x14ac:dyDescent="0.25">
      <c r="A63">
        <v>4</v>
      </c>
      <c r="B63">
        <v>5</v>
      </c>
      <c r="C63">
        <v>3</v>
      </c>
      <c r="D63">
        <v>5</v>
      </c>
    </row>
    <row r="64" spans="1:4" x14ac:dyDescent="0.25">
      <c r="A64">
        <v>4</v>
      </c>
      <c r="B64">
        <v>5</v>
      </c>
      <c r="C64">
        <v>5</v>
      </c>
      <c r="D64">
        <v>4</v>
      </c>
    </row>
    <row r="65" spans="1:4" x14ac:dyDescent="0.25">
      <c r="A65">
        <v>4</v>
      </c>
      <c r="B65">
        <v>5</v>
      </c>
      <c r="C65">
        <v>4</v>
      </c>
      <c r="D65">
        <v>1</v>
      </c>
    </row>
    <row r="66" spans="1:4" x14ac:dyDescent="0.25">
      <c r="A66">
        <v>5</v>
      </c>
      <c r="B66">
        <v>5</v>
      </c>
      <c r="C66">
        <v>3</v>
      </c>
      <c r="D66">
        <v>5</v>
      </c>
    </row>
    <row r="67" spans="1:4" x14ac:dyDescent="0.25">
      <c r="A67">
        <v>4</v>
      </c>
      <c r="B67">
        <v>4</v>
      </c>
      <c r="C67">
        <v>5</v>
      </c>
      <c r="D67">
        <v>4</v>
      </c>
    </row>
    <row r="68" spans="1:4" x14ac:dyDescent="0.25">
      <c r="A68">
        <v>5</v>
      </c>
      <c r="B68">
        <v>5</v>
      </c>
      <c r="C68">
        <v>3</v>
      </c>
      <c r="D68">
        <v>5</v>
      </c>
    </row>
    <row r="69" spans="1:4" x14ac:dyDescent="0.25">
      <c r="A69" t="e">
        <v>#VALUE!</v>
      </c>
      <c r="B69" t="e">
        <v>#VALUE!</v>
      </c>
      <c r="C69" t="e">
        <v>#VALUE!</v>
      </c>
      <c r="D69" t="e">
        <v>#VALUE!</v>
      </c>
    </row>
    <row r="70" spans="1:4" x14ac:dyDescent="0.25">
      <c r="A70" t="e">
        <v>#VALUE!</v>
      </c>
      <c r="B70" t="e">
        <v>#VALUE!</v>
      </c>
      <c r="C70" t="e">
        <v>#VALUE!</v>
      </c>
      <c r="D70" t="e">
        <v>#VALUE!</v>
      </c>
    </row>
    <row r="71" spans="1:4" x14ac:dyDescent="0.25">
      <c r="A71" t="e">
        <v>#VALUE!</v>
      </c>
      <c r="B71" t="e">
        <v>#VALUE!</v>
      </c>
      <c r="C71" t="e">
        <v>#VALUE!</v>
      </c>
      <c r="D71" t="e">
        <v>#VALUE!</v>
      </c>
    </row>
    <row r="72" spans="1:4" x14ac:dyDescent="0.25">
      <c r="A72" t="e">
        <v>#VALUE!</v>
      </c>
      <c r="B72" t="e">
        <v>#VALUE!</v>
      </c>
      <c r="C72" t="e">
        <v>#VALUE!</v>
      </c>
      <c r="D72" t="e">
        <v>#VALUE!</v>
      </c>
    </row>
    <row r="73" spans="1:4" x14ac:dyDescent="0.25">
      <c r="A73" t="e">
        <v>#VALUE!</v>
      </c>
      <c r="B73" t="e">
        <v>#VALUE!</v>
      </c>
      <c r="C73" t="e">
        <v>#VALUE!</v>
      </c>
      <c r="D73" t="e">
        <v>#VALUE!</v>
      </c>
    </row>
    <row r="74" spans="1:4" x14ac:dyDescent="0.25">
      <c r="A74" t="e">
        <v>#VALUE!</v>
      </c>
      <c r="B74" t="e">
        <v>#VALUE!</v>
      </c>
      <c r="C74" t="e">
        <v>#VALUE!</v>
      </c>
      <c r="D74" t="e">
        <v>#VALUE!</v>
      </c>
    </row>
    <row r="75" spans="1:4" x14ac:dyDescent="0.25">
      <c r="A75" t="e">
        <v>#VALUE!</v>
      </c>
      <c r="B75" t="e">
        <v>#VALUE!</v>
      </c>
      <c r="C75" t="e">
        <v>#VALUE!</v>
      </c>
      <c r="D75" t="e">
        <v>#VALUE!</v>
      </c>
    </row>
    <row r="76" spans="1:4" x14ac:dyDescent="0.25">
      <c r="A76" t="e">
        <v>#VALUE!</v>
      </c>
      <c r="B76" t="e">
        <v>#VALUE!</v>
      </c>
      <c r="C76" t="e">
        <v>#VALUE!</v>
      </c>
      <c r="D76" t="e">
        <v>#VALUE!</v>
      </c>
    </row>
    <row r="77" spans="1:4" x14ac:dyDescent="0.25">
      <c r="A77" t="e">
        <v>#VALUE!</v>
      </c>
      <c r="B77" t="e">
        <v>#VALUE!</v>
      </c>
      <c r="C77" t="e">
        <v>#VALUE!</v>
      </c>
      <c r="D77" t="e">
        <v>#VALUE!</v>
      </c>
    </row>
    <row r="78" spans="1:4" x14ac:dyDescent="0.25">
      <c r="A78" t="e">
        <v>#VALUE!</v>
      </c>
      <c r="B78" t="e">
        <v>#VALUE!</v>
      </c>
      <c r="C78" t="e">
        <v>#VALUE!</v>
      </c>
      <c r="D78" t="e">
        <v>#VALUE!</v>
      </c>
    </row>
    <row r="79" spans="1:4" x14ac:dyDescent="0.25">
      <c r="A79" t="e">
        <v>#VALUE!</v>
      </c>
      <c r="B79" t="e">
        <v>#VALUE!</v>
      </c>
      <c r="C79" t="e">
        <v>#VALUE!</v>
      </c>
      <c r="D79" t="e">
        <v>#VALUE!</v>
      </c>
    </row>
    <row r="80" spans="1:4" x14ac:dyDescent="0.25">
      <c r="A80" t="e">
        <v>#VALUE!</v>
      </c>
      <c r="B80" t="e">
        <v>#VALUE!</v>
      </c>
      <c r="C80" t="e">
        <v>#VALUE!</v>
      </c>
      <c r="D80" t="e">
        <v>#VALUE!</v>
      </c>
    </row>
    <row r="81" spans="1:4" x14ac:dyDescent="0.25">
      <c r="A81" t="e">
        <v>#VALUE!</v>
      </c>
      <c r="B81" t="e">
        <v>#VALUE!</v>
      </c>
      <c r="C81" t="e">
        <v>#VALUE!</v>
      </c>
      <c r="D81" t="e">
        <v>#VALUE!</v>
      </c>
    </row>
    <row r="82" spans="1:4" x14ac:dyDescent="0.25">
      <c r="A82" t="e">
        <v>#VALUE!</v>
      </c>
      <c r="B82" t="e">
        <v>#VALUE!</v>
      </c>
      <c r="C82" t="e">
        <v>#VALUE!</v>
      </c>
      <c r="D82" t="e">
        <v>#VALUE!</v>
      </c>
    </row>
    <row r="83" spans="1:4" x14ac:dyDescent="0.25">
      <c r="A83" t="e">
        <v>#VALUE!</v>
      </c>
      <c r="B83" t="e">
        <v>#VALUE!</v>
      </c>
      <c r="C83" t="e">
        <v>#VALUE!</v>
      </c>
      <c r="D83" t="e">
        <v>#VALUE!</v>
      </c>
    </row>
    <row r="84" spans="1:4" x14ac:dyDescent="0.25">
      <c r="A84" t="e">
        <v>#VALUE!</v>
      </c>
      <c r="B84" t="e">
        <v>#VALUE!</v>
      </c>
      <c r="C84" t="e">
        <v>#VALUE!</v>
      </c>
      <c r="D84" t="e">
        <v>#VALUE!</v>
      </c>
    </row>
    <row r="85" spans="1:4" x14ac:dyDescent="0.25">
      <c r="A85" t="e">
        <v>#VALUE!</v>
      </c>
      <c r="B85" t="e">
        <v>#VALUE!</v>
      </c>
      <c r="C85" t="e">
        <v>#VALUE!</v>
      </c>
      <c r="D85" t="e">
        <v>#VALUE!</v>
      </c>
    </row>
    <row r="86" spans="1:4" x14ac:dyDescent="0.25">
      <c r="A86" t="e">
        <v>#VALUE!</v>
      </c>
      <c r="B86" t="e">
        <v>#VALUE!</v>
      </c>
      <c r="C86" t="e">
        <v>#VALUE!</v>
      </c>
      <c r="D86" t="e">
        <v>#VALUE!</v>
      </c>
    </row>
    <row r="87" spans="1:4" x14ac:dyDescent="0.25">
      <c r="A87" t="e">
        <v>#VALUE!</v>
      </c>
      <c r="B87" t="e">
        <v>#VALUE!</v>
      </c>
      <c r="C87" t="e">
        <v>#VALUE!</v>
      </c>
      <c r="D87" t="e">
        <v>#VALUE!</v>
      </c>
    </row>
    <row r="88" spans="1:4" x14ac:dyDescent="0.25">
      <c r="A88" t="e">
        <v>#VALUE!</v>
      </c>
      <c r="B88" t="e">
        <v>#VALUE!</v>
      </c>
      <c r="C88" t="e">
        <v>#VALUE!</v>
      </c>
      <c r="D88" t="e">
        <v>#VALUE!</v>
      </c>
    </row>
    <row r="89" spans="1:4" x14ac:dyDescent="0.25">
      <c r="A89" t="e">
        <v>#VALUE!</v>
      </c>
      <c r="B89" t="e">
        <v>#VALUE!</v>
      </c>
      <c r="C89" t="e">
        <v>#VALUE!</v>
      </c>
      <c r="D89" t="e">
        <v>#VALUE!</v>
      </c>
    </row>
    <row r="90" spans="1:4" x14ac:dyDescent="0.25">
      <c r="A90" t="e">
        <v>#VALUE!</v>
      </c>
      <c r="B90" t="e">
        <v>#VALUE!</v>
      </c>
      <c r="C90" t="e">
        <v>#VALUE!</v>
      </c>
      <c r="D90" t="e">
        <v>#VALUE!</v>
      </c>
    </row>
    <row r="91" spans="1:4" x14ac:dyDescent="0.25">
      <c r="A91" t="e">
        <v>#VALUE!</v>
      </c>
      <c r="B91" t="e">
        <v>#VALUE!</v>
      </c>
      <c r="C91" t="e">
        <v>#VALUE!</v>
      </c>
      <c r="D91" t="e">
        <v>#VALUE!</v>
      </c>
    </row>
    <row r="92" spans="1:4" x14ac:dyDescent="0.25">
      <c r="A92" t="e">
        <v>#VALUE!</v>
      </c>
      <c r="B92" t="e">
        <v>#VALUE!</v>
      </c>
      <c r="C92" t="e">
        <v>#VALUE!</v>
      </c>
      <c r="D92" t="e">
        <v>#VALUE!</v>
      </c>
    </row>
    <row r="93" spans="1:4" x14ac:dyDescent="0.25">
      <c r="A93" t="e">
        <v>#VALUE!</v>
      </c>
      <c r="B93" t="e">
        <v>#VALUE!</v>
      </c>
      <c r="C93" t="e">
        <v>#VALUE!</v>
      </c>
      <c r="D93" t="e">
        <v>#VALUE!</v>
      </c>
    </row>
    <row r="94" spans="1:4" x14ac:dyDescent="0.25">
      <c r="A94" t="e">
        <v>#VALUE!</v>
      </c>
      <c r="B94" t="e">
        <v>#VALUE!</v>
      </c>
      <c r="C94" t="e">
        <v>#VALUE!</v>
      </c>
      <c r="D94" t="e">
        <v>#VALUE!</v>
      </c>
    </row>
    <row r="95" spans="1:4" x14ac:dyDescent="0.25">
      <c r="A95" t="e">
        <v>#VALUE!</v>
      </c>
      <c r="B95" t="e">
        <v>#VALUE!</v>
      </c>
      <c r="C95" t="e">
        <v>#VALUE!</v>
      </c>
      <c r="D95" t="e">
        <v>#VALUE!</v>
      </c>
    </row>
    <row r="96" spans="1:4" x14ac:dyDescent="0.25">
      <c r="A96" t="e">
        <v>#VALUE!</v>
      </c>
      <c r="B96" t="e">
        <v>#VALUE!</v>
      </c>
      <c r="C96" t="e">
        <v>#VALUE!</v>
      </c>
      <c r="D96" t="e">
        <v>#VALUE!</v>
      </c>
    </row>
    <row r="97" spans="1:4" x14ac:dyDescent="0.25">
      <c r="A97" t="e">
        <v>#VALUE!</v>
      </c>
      <c r="B97" t="e">
        <v>#VALUE!</v>
      </c>
      <c r="C97" t="e">
        <v>#VALUE!</v>
      </c>
      <c r="D97" t="e">
        <v>#VALUE!</v>
      </c>
    </row>
    <row r="98" spans="1:4" x14ac:dyDescent="0.25">
      <c r="A98" t="e">
        <v>#VALUE!</v>
      </c>
      <c r="B98" t="e">
        <v>#VALUE!</v>
      </c>
      <c r="C98" t="e">
        <v>#VALUE!</v>
      </c>
      <c r="D98" t="e">
        <v>#VALUE!</v>
      </c>
    </row>
    <row r="99" spans="1:4" x14ac:dyDescent="0.25">
      <c r="A99" t="e">
        <v>#VALUE!</v>
      </c>
      <c r="B99" t="e">
        <v>#VALUE!</v>
      </c>
      <c r="C99" t="e">
        <v>#VALUE!</v>
      </c>
      <c r="D99" t="e">
        <v>#VALUE!</v>
      </c>
    </row>
    <row r="100" spans="1:4" x14ac:dyDescent="0.25">
      <c r="A100" t="e">
        <v>#VALUE!</v>
      </c>
      <c r="B100" t="e">
        <v>#VALUE!</v>
      </c>
      <c r="C100" t="e">
        <v>#VALUE!</v>
      </c>
      <c r="D100" t="e">
        <v>#VALUE!</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2"/>
  <dimension ref="A1:J72"/>
  <sheetViews>
    <sheetView topLeftCell="A15" zoomScale="85" zoomScaleNormal="85" workbookViewId="0">
      <selection activeCell="C24" sqref="C21:C24"/>
    </sheetView>
  </sheetViews>
  <sheetFormatPr baseColWidth="10" defaultRowHeight="15" x14ac:dyDescent="0.25"/>
  <cols>
    <col min="1" max="1" width="46.42578125" customWidth="1"/>
    <col min="2" max="2" width="15.7109375" customWidth="1"/>
    <col min="3" max="3" width="10.7109375" customWidth="1"/>
    <col min="4" max="4" width="12.7109375" customWidth="1"/>
    <col min="5" max="5" width="40.7109375" customWidth="1"/>
  </cols>
  <sheetData>
    <row r="1" spans="1:10" ht="35.1" customHeight="1" x14ac:dyDescent="0.25">
      <c r="A1" s="277" t="s">
        <v>564</v>
      </c>
      <c r="B1" s="254"/>
      <c r="C1" s="254"/>
      <c r="D1" s="254"/>
      <c r="E1" s="254"/>
      <c r="F1" s="254"/>
      <c r="G1" s="254"/>
      <c r="H1" s="254"/>
      <c r="I1" s="254"/>
      <c r="J1" s="254"/>
    </row>
    <row r="3" spans="1:10" ht="24.95" customHeight="1" x14ac:dyDescent="0.25">
      <c r="A3" s="287" t="s">
        <v>565</v>
      </c>
      <c r="B3" s="254"/>
      <c r="C3" s="254"/>
      <c r="D3" s="254"/>
      <c r="E3" s="254"/>
      <c r="F3" s="254"/>
    </row>
    <row r="4" spans="1:10" ht="21.95" customHeight="1" x14ac:dyDescent="0.25">
      <c r="A4" s="52" t="s">
        <v>366</v>
      </c>
      <c r="B4" s="52" t="s">
        <v>338</v>
      </c>
      <c r="C4" s="52" t="s">
        <v>379</v>
      </c>
      <c r="D4" s="52" t="s">
        <v>485</v>
      </c>
      <c r="E4" s="52" t="s">
        <v>566</v>
      </c>
      <c r="F4" s="52" t="s">
        <v>307</v>
      </c>
    </row>
    <row r="5" spans="1:10" s="53" customFormat="1" ht="18" customHeight="1" x14ac:dyDescent="0.25">
      <c r="A5" s="53" t="s">
        <v>140</v>
      </c>
      <c r="B5" s="53" t="s">
        <v>299</v>
      </c>
      <c r="C5" s="53">
        <f>COUNTIFS(DONNEES_SOURCE!$CA$2:$CA$1000,TRUE,DONNEES_SOURCE!$BZ$2:$BZ$1000,"Junior")</f>
        <v>32</v>
      </c>
      <c r="D5" s="53">
        <f>IFERROR(ROUND(AVERAGEIFS(DONNEES_SOURCE!$BY$2:$BY$1000,DONNEES_SOURCE!$CA$2:$CA$1000,TRUE,DONNEES_SOURCE!$BZ$2:$BZ$1000,"Junior"),3),"")</f>
        <v>4.806</v>
      </c>
      <c r="E5" s="53">
        <f t="array" ref="E5">IFERROR(ROUND(STDEV(IF((DONNEES_SOURCE!$CA$2:$CA$1000=TRUE)*(DONNEES_SOURCE!$BZ$2:$BZ$1000="Junior"),DONNEES_SOURCE!$BY$2:$BY$1000)),3),"")</f>
        <v>0.73399999999999999</v>
      </c>
      <c r="F5" s="75" t="s">
        <v>567</v>
      </c>
    </row>
    <row r="6" spans="1:10" s="53" customFormat="1" ht="18" customHeight="1" x14ac:dyDescent="0.25">
      <c r="A6" s="53" t="s">
        <v>140</v>
      </c>
      <c r="B6" s="53" t="s">
        <v>297</v>
      </c>
      <c r="C6" s="53">
        <f>COUNTIFS(DONNEES_SOURCE!$CA$2:$CA$1000,TRUE,DONNEES_SOURCE!$BZ$2:$BZ$1000,"Junior")</f>
        <v>32</v>
      </c>
      <c r="D6" s="53">
        <f>IFERROR(ROUND(AVERAGEIFS(DONNEES_SOURCE!$BW$2:$BW$1000,DONNEES_SOURCE!$CA$2:$CA$1000,TRUE,DONNEES_SOURCE!$BZ$2:$BZ$1000,"Junior"),3),"")</f>
        <v>5.3520000000000003</v>
      </c>
      <c r="E6" s="53">
        <f t="array" ref="E6">IFERROR(ROUND(STDEV(IF((DONNEES_SOURCE!$CA$2:$CA$1000=TRUE)*(DONNEES_SOURCE!$BZ$2:$BZ$1000="Junior"),DONNEES_SOURCE!$BW$2:$BW$1000)),3),"")</f>
        <v>0.93300000000000005</v>
      </c>
      <c r="F6" s="75" t="s">
        <v>567</v>
      </c>
    </row>
    <row r="7" spans="1:10" s="53" customFormat="1" ht="18" customHeight="1" x14ac:dyDescent="0.25">
      <c r="A7" s="53" t="s">
        <v>140</v>
      </c>
      <c r="B7" s="53" t="s">
        <v>498</v>
      </c>
      <c r="C7" s="53">
        <f>COUNTIFS(DONNEES_SOURCE!$CA$2:$CA$1000,TRUE,DONNEES_SOURCE!$BZ$2:$BZ$1000,"Junior")</f>
        <v>32</v>
      </c>
      <c r="D7" s="53" cm="1">
        <f t="array" ref="D7">IFERROR(
  ROUND(
    SUMPRODUCT(
      (DONNEES_SOURCE!$CA$2:$CA$1000=TRUE)
      *(DONNEES_SOURCE!$BZ$2:$BZ$1000="Junior")
      *IFERROR(VALUE(LEFT(DONNEES_SOURCE!$B$2:$B$1000,1)),0)
    )
    /SUMPRODUCT(
      (DONNEES_SOURCE!$CA$2:$CA$1000=TRUE)
      *(DONNEES_SOURCE!$BZ$2:$BZ$1000="Junior")
      *ISNUMBER(VALUE(LEFT(DONNEES_SOURCE!$B$2:$B$1000,1)))
    ),3),"")</f>
        <v>4.9379999999999997</v>
      </c>
      <c r="E7" s="53">
        <f t="array" ref="E7">IFERROR(ROUND(STDEV(IF((DONNEES_SOURCE!$CA$2:$CA$1000=TRUE)*(DONNEES_SOURCE!$BZ$2:$BZ$1000="Junior")*ISNUMBER(VALUE(LEFT(DONNEES_SOURCE!$B$2:$B$1000,1))),VALUE(IFERROR(LEFT(DONNEES_SOURCE!$B$2:$B$1000,1),"")),"")),3),"")</f>
        <v>1.48</v>
      </c>
      <c r="F7" s="75" t="s">
        <v>567</v>
      </c>
    </row>
    <row r="9" spans="1:10" s="56" customFormat="1" ht="18" customHeight="1" x14ac:dyDescent="0.25">
      <c r="A9" s="56" t="s">
        <v>373</v>
      </c>
      <c r="B9" s="56" t="s">
        <v>299</v>
      </c>
      <c r="C9" s="56">
        <f>COUNTIFS(DONNEES_SOURCE!$CA$2:$CA$1000,TRUE,DONNEES_SOURCE!$BZ$2:$BZ$1000,"Senior-Manager")</f>
        <v>17</v>
      </c>
      <c r="D9" s="56">
        <f>IFERROR(ROUND(AVERAGEIFS(DONNEES_SOURCE!$BY$2:$BY$1000,DONNEES_SOURCE!$CA$2:$CA$1000,TRUE,DONNEES_SOURCE!$BZ$2:$BZ$1000,"Senior-Manager"),3),"")</f>
        <v>5.0819999999999999</v>
      </c>
      <c r="E9" s="56">
        <f t="array" ref="E9">IFERROR(ROUND(STDEV(IF((DONNEES_SOURCE!$CA$2:$CA$1000=TRUE)*(DONNEES_SOURCE!$BZ$2:$BZ$1000="Senior-Manager"),DONNEES_SOURCE!$BY$2:$BY$1000)),3),"")</f>
        <v>0.83699999999999997</v>
      </c>
      <c r="F9" s="76" t="s">
        <v>567</v>
      </c>
    </row>
    <row r="10" spans="1:10" s="56" customFormat="1" ht="18" customHeight="1" x14ac:dyDescent="0.25">
      <c r="A10" s="56" t="s">
        <v>373</v>
      </c>
      <c r="B10" s="56" t="s">
        <v>297</v>
      </c>
      <c r="C10" s="56">
        <f>COUNTIFS(DONNEES_SOURCE!$CA$2:$CA$1000,TRUE,DONNEES_SOURCE!$BZ$2:$BZ$1000,"Senior-Manager")</f>
        <v>17</v>
      </c>
      <c r="D10" s="56">
        <f>IFERROR(ROUND(AVERAGEIFS(DONNEES_SOURCE!$BW$2:$BW$1000,DONNEES_SOURCE!$CA$2:$CA$1000,TRUE,DONNEES_SOURCE!$BZ$2:$BZ$1000,"Senior-Manager"),3),"")</f>
        <v>5.5439999999999996</v>
      </c>
      <c r="E10" s="56">
        <f t="array" ref="E10">IFERROR(ROUND(STDEV(IF((DONNEES_SOURCE!$CA$2:$CA$1000=TRUE)*(DONNEES_SOURCE!$BZ$2:$BZ$1000="Senior-Manager"),DONNEES_SOURCE!$BW$2:$BW$1000)),3),"")</f>
        <v>0.88500000000000001</v>
      </c>
      <c r="F10" s="76" t="s">
        <v>567</v>
      </c>
    </row>
    <row r="11" spans="1:10" s="56" customFormat="1" ht="18" customHeight="1" x14ac:dyDescent="0.25">
      <c r="A11" s="56" t="s">
        <v>373</v>
      </c>
      <c r="B11" s="56" t="s">
        <v>498</v>
      </c>
      <c r="C11" s="56">
        <f>COUNTIFS(DONNEES_SOURCE!$CA$2:$CA$1000,TRUE,DONNEES_SOURCE!$BZ$2:$BZ$1000,"Senior-Manager")</f>
        <v>17</v>
      </c>
      <c r="D11" s="56" cm="1">
        <f t="array" ref="D11">IFERROR(
  ROUND(
    SUMPRODUCT(
      (DONNEES_SOURCE!$CA$2:$CA$1000=TRUE)
      *(DONNEES_SOURCE!$BZ$2:$BZ$1000="Senior-Manager")
      *IFERROR(VALUE(LEFT(DONNEES_SOURCE!$B$2:$B$1000,1)),0)
    )
    /SUMPRODUCT(
      (DONNEES_SOURCE!$CA$2:$CA$1000=TRUE)
      *(DONNEES_SOURCE!$BZ$2:$BZ$1000="Senior-Manager")
      *ISNUMBER(VALUE(LEFT(DONNEES_SOURCE!$B$2:$B$1000,1)))
    ),3),"")</f>
        <v>5.2350000000000003</v>
      </c>
      <c r="E11" s="56">
        <f t="array" ref="E11">IFERROR(ROUND(STDEV(IF((DONNEES_SOURCE!$CA$2:$CA$1000=TRUE)*(DONNEES_SOURCE!$BZ$2:$BZ$1000="Senior-Manager")*ISNUMBER(VALUE(LEFT(DONNEES_SOURCE!$B$2:$B$1000,1))),VALUE(IFERROR(LEFT(DONNEES_SOURCE!$B$2:$B$1000,1),"")),"")),3),"")</f>
        <v>1.48</v>
      </c>
      <c r="F11" s="76" t="s">
        <v>567</v>
      </c>
    </row>
    <row r="13" spans="1:10" s="61" customFormat="1" ht="18" customHeight="1" x14ac:dyDescent="0.25">
      <c r="A13" s="61" t="s">
        <v>384</v>
      </c>
      <c r="B13" s="61" t="s">
        <v>299</v>
      </c>
      <c r="C13" s="61">
        <f>COUNTIFS(DONNEES_SOURCE!$CA$2:$CA$1000,TRUE,DONNEES_SOURCE!$BZ$2:$BZ$1000,"Associe")</f>
        <v>18</v>
      </c>
      <c r="D13" s="61">
        <f>IFERROR(ROUND(AVERAGEIFS(DONNEES_SOURCE!$BY$2:$BY$1000,DONNEES_SOURCE!$CA$2:$CA$1000,TRUE,DONNEES_SOURCE!$BZ$2:$BZ$1000,"Associe"),3),"")</f>
        <v>5.1109999999999998</v>
      </c>
      <c r="E13" s="61">
        <f t="array" ref="E13">IFERROR(ROUND(STDEV(IF((DONNEES_SOURCE!$CA$2:$CA$1000=TRUE)*(DONNEES_SOURCE!$BZ$2:$BZ$1000="Associe"),DONNEES_SOURCE!$BY$2:$BY$1000)),3),"")</f>
        <v>0.84599999999999997</v>
      </c>
      <c r="F13" s="77" t="s">
        <v>567</v>
      </c>
    </row>
    <row r="14" spans="1:10" s="61" customFormat="1" ht="18" customHeight="1" x14ac:dyDescent="0.25">
      <c r="A14" s="61" t="s">
        <v>384</v>
      </c>
      <c r="B14" s="61" t="s">
        <v>297</v>
      </c>
      <c r="C14" s="61">
        <f>COUNTIFS(DONNEES_SOURCE!$CA$2:$CA$1000,TRUE,DONNEES_SOURCE!$BZ$2:$BZ$1000,"Associe")</f>
        <v>18</v>
      </c>
      <c r="D14" s="61">
        <f>IFERROR(ROUND(AVERAGEIFS(DONNEES_SOURCE!$BW$2:$BW$1000,DONNEES_SOURCE!$CA$2:$CA$1000,TRUE,DONNEES_SOURCE!$BZ$2:$BZ$1000,"Associe"),3),"")</f>
        <v>5.8609999999999998</v>
      </c>
      <c r="E14" s="61">
        <f t="array" ref="E14">IFERROR(ROUND(STDEV(IF((DONNEES_SOURCE!$CA$2:$CA$1000=TRUE)*(DONNEES_SOURCE!$BZ$2:$BZ$1000="Associe"),DONNEES_SOURCE!$BW$2:$BW$1000)),3),"")</f>
        <v>0.72399999999999998</v>
      </c>
      <c r="F14" s="77" t="s">
        <v>567</v>
      </c>
    </row>
    <row r="15" spans="1:10" s="61" customFormat="1" ht="18" customHeight="1" x14ac:dyDescent="0.25">
      <c r="A15" s="61" t="s">
        <v>384</v>
      </c>
      <c r="B15" s="61" t="s">
        <v>498</v>
      </c>
      <c r="C15" s="61">
        <f>COUNTIFS(DONNEES_SOURCE!$CA$2:$CA$1000,TRUE,DONNEES_SOURCE!$BZ$2:$BZ$1000,"Associe")</f>
        <v>18</v>
      </c>
      <c r="D15" s="244" cm="1">
        <f t="array" ref="D15">IFERROR(
  ROUND(
    SUMPRODUCT(
      (DONNEES_SOURCE!$CA$2:$CA$1000=TRUE)
      *(DONNEES_SOURCE!$BZ$2:$BZ$1000="Associe")
      *IFERROR(VALUE(LEFT(DONNEES_SOURCE!$B$2:$B$1000,1)),0)
    )
    /SUMPRODUCT(
      (DONNEES_SOURCE!$CA$2:$CA$1000=TRUE)
      *(DONNEES_SOURCE!$BZ$2:$BZ$1000="Associe")
      *ISNUMBER(VALUE(LEFT(DONNEES_SOURCE!$B$2:$B$1000,1)))
    ),3),"")</f>
        <v>4.944</v>
      </c>
      <c r="E15" s="61">
        <f t="array" ref="E15">IFERROR(ROUND(STDEV(IF((DONNEES_SOURCE!$CA$2:$CA$1000=TRUE)*(DONNEES_SOURCE!$BZ$2:$BZ$1000="Associe")*ISNUMBER(VALUE(LEFT(DONNEES_SOURCE!$B$2:$B$1000,1))),VALUE(IFERROR(LEFT(DONNEES_SOURCE!$B$2:$B$1000,1),"")),"")),3),"")</f>
        <v>0.93799999999999994</v>
      </c>
      <c r="F15" s="77" t="s">
        <v>567</v>
      </c>
    </row>
    <row r="18" spans="1:5" ht="24.95" customHeight="1" x14ac:dyDescent="0.25">
      <c r="A18" s="287" t="s">
        <v>568</v>
      </c>
      <c r="B18" s="254"/>
      <c r="C18" s="254"/>
      <c r="D18" s="254"/>
      <c r="E18" s="254"/>
    </row>
    <row r="19" spans="1:5" ht="21.95" customHeight="1" x14ac:dyDescent="0.25">
      <c r="A19" s="52" t="s">
        <v>366</v>
      </c>
      <c r="B19" s="52" t="s">
        <v>338</v>
      </c>
      <c r="C19" s="52" t="s">
        <v>379</v>
      </c>
      <c r="D19" s="52" t="s">
        <v>485</v>
      </c>
      <c r="E19" s="52" t="s">
        <v>307</v>
      </c>
    </row>
    <row r="20" spans="1:5" s="53" customFormat="1" ht="18" customHeight="1" x14ac:dyDescent="0.25">
      <c r="A20" s="53" t="s">
        <v>569</v>
      </c>
      <c r="B20" s="53" t="s">
        <v>297</v>
      </c>
      <c r="C20" s="53">
        <f>COUNTIFS(DONNEES_SOURCE!$CA$2:$CA$1000,TRUE,DONNEES_SOURCE!$BN$2:$BN$1000,"Cabinet international")</f>
        <v>37</v>
      </c>
      <c r="D20" s="53">
        <f>IFERROR(ROUND(AVERAGEIFS(DONNEES_SOURCE!$BW$2:$BW$1000,DONNEES_SOURCE!$CA$2:$CA$1000,TRUE,DONNEES_SOURCE!$BN$2:$BN$1000,"Cabinet international"),3),"")</f>
        <v>5.3380000000000001</v>
      </c>
      <c r="E20" s="75" t="s">
        <v>570</v>
      </c>
    </row>
    <row r="21" spans="1:5" s="53" customFormat="1" ht="18" customHeight="1" x14ac:dyDescent="0.25">
      <c r="A21" s="53" t="s">
        <v>569</v>
      </c>
      <c r="B21" s="53" t="s">
        <v>298</v>
      </c>
      <c r="C21" s="53">
        <f>COUNTIFS(DONNEES_SOURCE!$CA$2:$CA$1000,TRUE,DONNEES_SOURCE!$BN$2:$BN$1000,"Cabinet international")</f>
        <v>37</v>
      </c>
      <c r="D21" s="53">
        <f>IFERROR(ROUND(AVERAGEIFS(DONNEES_SOURCE!$BX$2:$BX$1000,DONNEES_SOURCE!$CA$2:$CA$1000,TRUE,DONNEES_SOURCE!$BN$2:$BN$1000,"Cabinet international"),3),"")</f>
        <v>4.7210000000000001</v>
      </c>
      <c r="E21" s="75" t="s">
        <v>570</v>
      </c>
    </row>
    <row r="22" spans="1:5" s="53" customFormat="1" ht="18" customHeight="1" x14ac:dyDescent="0.25">
      <c r="A22" s="53" t="s">
        <v>569</v>
      </c>
      <c r="B22" s="53" t="s">
        <v>299</v>
      </c>
      <c r="C22" s="53">
        <f>COUNTIFS(DONNEES_SOURCE!$CA$2:$CA$1000,TRUE,DONNEES_SOURCE!$BN$2:$BN$1000,"Cabinet international")</f>
        <v>37</v>
      </c>
      <c r="D22" s="53">
        <f>IFERROR(ROUND(AVERAGEIFS(DONNEES_SOURCE!$BY$2:$BY$1000,DONNEES_SOURCE!$CA$2:$CA$1000,TRUE,DONNEES_SOURCE!$BN$2:$BN$1000,"Cabinet international"),3),"")</f>
        <v>4.8109999999999999</v>
      </c>
      <c r="E22" s="75" t="s">
        <v>570</v>
      </c>
    </row>
    <row r="24" spans="1:5" s="69" customFormat="1" ht="18" customHeight="1" x14ac:dyDescent="0.25">
      <c r="A24" s="69" t="s">
        <v>571</v>
      </c>
      <c r="B24" s="69" t="s">
        <v>297</v>
      </c>
      <c r="C24" s="69">
        <f>COUNTIFS(DONNEES_SOURCE!$CA$2:$CA$1000,TRUE,DONNEES_SOURCE!$BN$2:$BN$1000,"&lt;&gt;Cabinet international")</f>
        <v>30</v>
      </c>
      <c r="D24" s="69">
        <f>IFERROR(ROUND(AVERAGEIFS(DONNEES_SOURCE!$BW$2:$BW$1000,DONNEES_SOURCE!$CA$2:$CA$1000,TRUE,DONNEES_SOURCE!$BN$2:$BN$1000,"&lt;&gt;Cabinet international"),3),"")</f>
        <v>5.7830000000000004</v>
      </c>
      <c r="E24" s="78" t="s">
        <v>570</v>
      </c>
    </row>
    <row r="25" spans="1:5" s="69" customFormat="1" ht="18" customHeight="1" x14ac:dyDescent="0.25">
      <c r="A25" s="69" t="s">
        <v>571</v>
      </c>
      <c r="B25" s="69" t="s">
        <v>298</v>
      </c>
      <c r="C25" s="69">
        <f>COUNTIFS(DONNEES_SOURCE!$CA$2:$CA$1000,TRUE,DONNEES_SOURCE!$BN$2:$BN$1000,"&lt;&gt;Cabinet international")</f>
        <v>30</v>
      </c>
      <c r="D25" s="69">
        <f>IFERROR(ROUND(AVERAGEIFS(DONNEES_SOURCE!$BX$2:$BX$1000,DONNEES_SOURCE!$CA$2:$CA$1000,TRUE,DONNEES_SOURCE!$BN$2:$BN$1000,"&lt;&gt;Cabinet international"),3),"")</f>
        <v>4.8559999999999999</v>
      </c>
      <c r="E25" s="78" t="s">
        <v>570</v>
      </c>
    </row>
    <row r="26" spans="1:5" s="69" customFormat="1" ht="18" customHeight="1" x14ac:dyDescent="0.25">
      <c r="A26" s="69" t="s">
        <v>571</v>
      </c>
      <c r="B26" s="69" t="s">
        <v>299</v>
      </c>
      <c r="C26" s="69">
        <f>COUNTIFS(DONNEES_SOURCE!$CA$2:$CA$1000,TRUE,DONNEES_SOURCE!$BN$2:$BN$1000,"&lt;&gt;Cabinet international")</f>
        <v>30</v>
      </c>
      <c r="D26" s="69">
        <f>IFERROR(ROUND(AVERAGEIFS(DONNEES_SOURCE!$BY$2:$BY$1000,DONNEES_SOURCE!$CA$2:$CA$1000,TRUE,DONNEES_SOURCE!$BN$2:$BN$1000,"&lt;&gt;Cabinet international"),3),"")</f>
        <v>5.14</v>
      </c>
      <c r="E26" s="78" t="s">
        <v>570</v>
      </c>
    </row>
    <row r="29" spans="1:5" ht="24.95" customHeight="1" x14ac:dyDescent="0.25">
      <c r="A29" s="287" t="s">
        <v>572</v>
      </c>
      <c r="B29" s="254"/>
      <c r="C29" s="254"/>
      <c r="D29" s="254"/>
      <c r="E29" s="254"/>
    </row>
    <row r="30" spans="1:5" ht="21.95" customHeight="1" x14ac:dyDescent="0.25">
      <c r="A30" s="52" t="s">
        <v>573</v>
      </c>
      <c r="B30" s="52" t="s">
        <v>574</v>
      </c>
      <c r="C30" s="52" t="s">
        <v>379</v>
      </c>
      <c r="D30" s="52" t="s">
        <v>575</v>
      </c>
      <c r="E30" s="52" t="s">
        <v>490</v>
      </c>
    </row>
    <row r="31" spans="1:5" s="53" customFormat="1" ht="20.100000000000001" customHeight="1" x14ac:dyDescent="0.25">
      <c r="A31" s="53" t="s">
        <v>581</v>
      </c>
      <c r="B31" s="53" t="s">
        <v>582</v>
      </c>
      <c r="C31" s="53">
        <f>COUNTIFS(DONNEES_SOURCE!$CA$2:$CA$1000,TRUE,DONNEES_SOURCE!$AS$2:$AS$1000,"&lt;&gt;")</f>
        <v>67</v>
      </c>
      <c r="D31" s="169">
        <f>_xlfn.AGGREGATE(1, 6,'Risques en num'!C:C)</f>
        <v>3.6417910447761193</v>
      </c>
      <c r="E31" s="80" t="s">
        <v>578</v>
      </c>
    </row>
    <row r="32" spans="1:5" s="69" customFormat="1" ht="20.100000000000001" customHeight="1" x14ac:dyDescent="0.25">
      <c r="A32" s="69" t="s">
        <v>583</v>
      </c>
      <c r="B32" s="69" t="s">
        <v>584</v>
      </c>
      <c r="C32" s="69">
        <f>COUNTIFS(DONNEES_SOURCE!$CA$2:$CA$1000,TRUE,DONNEES_SOURCE!$AT$2:$AT$1000,"&lt;&gt;")</f>
        <v>67</v>
      </c>
      <c r="D32" s="170">
        <f>_xlfn.AGGREGATE(1, 6,'Risques en num'!D:D)</f>
        <v>3.8805970149253732</v>
      </c>
      <c r="E32" s="79" t="s">
        <v>578</v>
      </c>
    </row>
    <row r="33" spans="1:5" s="53" customFormat="1" ht="20.100000000000001" customHeight="1" x14ac:dyDescent="0.25">
      <c r="A33" s="53" t="s">
        <v>576</v>
      </c>
      <c r="B33" s="53" t="s">
        <v>577</v>
      </c>
      <c r="C33" s="53">
        <f>COUNTIFS(DONNEES_SOURCE!$CA$2:$CA$1000,TRUE,DONNEES_SOURCE!$AQ$2:$AQ$1000,"&lt;&gt;")</f>
        <v>67</v>
      </c>
      <c r="D33" s="169">
        <f>_xlfn.AGGREGATE(1, 6,'Risques en num'!A:A)</f>
        <v>4.3432835820895521</v>
      </c>
      <c r="E33" s="80" t="s">
        <v>578</v>
      </c>
    </row>
    <row r="34" spans="1:5" s="69" customFormat="1" ht="20.100000000000001" customHeight="1" x14ac:dyDescent="0.25">
      <c r="A34" s="69" t="s">
        <v>579</v>
      </c>
      <c r="B34" s="69" t="s">
        <v>580</v>
      </c>
      <c r="C34" s="69">
        <f>COUNTIFS(DONNEES_SOURCE!$CA$2:$CA$1000,TRUE,DONNEES_SOURCE!$AR$2:$AR$1000,"&lt;&gt;")</f>
        <v>67</v>
      </c>
      <c r="D34" s="170">
        <f>_xlfn.AGGREGATE(1, 6,'Risques en num'!B:B)</f>
        <v>4.4328358208955221</v>
      </c>
      <c r="E34" s="79" t="s">
        <v>578</v>
      </c>
    </row>
    <row r="37" spans="1:5" x14ac:dyDescent="0.25">
      <c r="A37" s="287" t="s">
        <v>650</v>
      </c>
      <c r="B37" s="254"/>
      <c r="C37" s="254"/>
      <c r="D37" s="254"/>
      <c r="E37" s="254"/>
    </row>
    <row r="38" spans="1:5" x14ac:dyDescent="0.25">
      <c r="A38" s="173" t="s">
        <v>393</v>
      </c>
      <c r="B38" s="173" t="s">
        <v>379</v>
      </c>
      <c r="C38" s="174" t="s">
        <v>657</v>
      </c>
      <c r="D38" s="52"/>
      <c r="E38" s="52"/>
    </row>
    <row r="39" spans="1:5" x14ac:dyDescent="0.25">
      <c r="A39" s="175" t="s">
        <v>658</v>
      </c>
      <c r="B39" s="176">
        <f>COUNTIFS(DONNEES_SOURCE!$BE$2:$BE$101,"Oui",DONNEES_SOURCE!$CA$2:$CA$101,TRUE())</f>
        <v>39</v>
      </c>
      <c r="C39" s="177">
        <f>B39/SUM(B39:B41)</f>
        <v>0.58208955223880599</v>
      </c>
    </row>
    <row r="40" spans="1:5" x14ac:dyDescent="0.25">
      <c r="A40" s="178" t="s">
        <v>659</v>
      </c>
      <c r="B40" s="179">
        <f>COUNTIFS(DONNEES_SOURCE!$BE$2:$BE$101,"Non",DONNEES_SOURCE!$CA$2:$CA$101,TRUE())</f>
        <v>24</v>
      </c>
      <c r="C40" s="180">
        <f>B40/SUM(B39:B41)</f>
        <v>0.35820895522388058</v>
      </c>
    </row>
    <row r="41" spans="1:5" x14ac:dyDescent="0.25">
      <c r="A41" s="181" t="s">
        <v>660</v>
      </c>
      <c r="B41" s="182">
        <f>COUNTIFS(DONNEES_SOURCE!$CA$2:$CA$101,TRUE(),DONNEES_SOURCE!$BE$2:$BE$101,"&lt;&gt;Oui",DONNEES_SOURCE!$BE$2:$BE$101,"&lt;&gt;Non")</f>
        <v>4</v>
      </c>
      <c r="C41" s="177">
        <f>B41/SUM(B39:B41)</f>
        <v>5.9701492537313432E-2</v>
      </c>
    </row>
    <row r="42" spans="1:5" x14ac:dyDescent="0.25">
      <c r="A42" s="183" t="s">
        <v>648</v>
      </c>
      <c r="B42" s="184">
        <f>SUM(B39:B41)</f>
        <v>67</v>
      </c>
      <c r="C42" s="185">
        <f>100%</f>
        <v>1</v>
      </c>
    </row>
    <row r="45" spans="1:5" x14ac:dyDescent="0.25">
      <c r="A45" s="287" t="s">
        <v>1146</v>
      </c>
      <c r="B45" s="254"/>
      <c r="C45" s="254"/>
      <c r="D45" s="254"/>
      <c r="E45" s="254"/>
    </row>
    <row r="46" spans="1:5" x14ac:dyDescent="0.25">
      <c r="A46" s="173" t="s">
        <v>393</v>
      </c>
      <c r="B46" s="173" t="s">
        <v>379</v>
      </c>
      <c r="C46" s="174" t="s">
        <v>657</v>
      </c>
      <c r="D46" s="52"/>
      <c r="E46" s="52"/>
    </row>
    <row r="47" spans="1:5" x14ac:dyDescent="0.25">
      <c r="A47" s="175">
        <v>1</v>
      </c>
      <c r="B47" s="176">
        <f>COUNTIFS(DONNEES_SOURCE!$BF$2:$BF$101,A47,DONNEES_SOURCE!$CA$2:$CA$101,TRUE())</f>
        <v>3</v>
      </c>
      <c r="C47" s="177">
        <f>B47/SUM($B$47:$B$53)</f>
        <v>4.4776119402985072E-2</v>
      </c>
    </row>
    <row r="48" spans="1:5" x14ac:dyDescent="0.25">
      <c r="A48" s="178">
        <v>2</v>
      </c>
      <c r="B48" s="176">
        <f>COUNTIFS(DONNEES_SOURCE!$BF$2:$BF$101,A48,DONNEES_SOURCE!$CA$2:$CA$101,TRUE())</f>
        <v>5</v>
      </c>
      <c r="C48" s="177">
        <f t="shared" ref="C48:C53" si="0">B48/SUM($B$47:$B$53)</f>
        <v>7.4626865671641784E-2</v>
      </c>
    </row>
    <row r="49" spans="1:8" x14ac:dyDescent="0.25">
      <c r="A49" s="181">
        <v>3</v>
      </c>
      <c r="B49" s="176">
        <f>COUNTIFS(DONNEES_SOURCE!$BF$2:$BF$101,A49,DONNEES_SOURCE!$CA$2:$CA$101,TRUE())</f>
        <v>2</v>
      </c>
      <c r="C49" s="177">
        <f t="shared" si="0"/>
        <v>2.9850746268656716E-2</v>
      </c>
    </row>
    <row r="50" spans="1:8" x14ac:dyDescent="0.25">
      <c r="A50" s="178">
        <v>4</v>
      </c>
      <c r="B50" s="176">
        <f>COUNTIFS(DONNEES_SOURCE!$BF$2:$BF$101,A50,DONNEES_SOURCE!$CA$2:$CA$101,TRUE())</f>
        <v>7</v>
      </c>
      <c r="C50" s="177">
        <f t="shared" si="0"/>
        <v>0.1044776119402985</v>
      </c>
    </row>
    <row r="51" spans="1:8" x14ac:dyDescent="0.25">
      <c r="A51" s="181">
        <v>5</v>
      </c>
      <c r="B51" s="176">
        <f>COUNTIFS(DONNEES_SOURCE!$BF$2:$BF$101,A51,DONNEES_SOURCE!$CA$2:$CA$101,TRUE())</f>
        <v>17</v>
      </c>
      <c r="C51" s="177">
        <f t="shared" si="0"/>
        <v>0.2537313432835821</v>
      </c>
    </row>
    <row r="52" spans="1:8" x14ac:dyDescent="0.25">
      <c r="A52" s="178">
        <v>6</v>
      </c>
      <c r="B52" s="176">
        <f>COUNTIFS(DONNEES_SOURCE!$BF$2:$BF$101,A52,DONNEES_SOURCE!$CA$2:$CA$101,TRUE())</f>
        <v>15</v>
      </c>
      <c r="C52" s="177">
        <f t="shared" si="0"/>
        <v>0.22388059701492538</v>
      </c>
    </row>
    <row r="53" spans="1:8" x14ac:dyDescent="0.25">
      <c r="A53" s="181">
        <v>7</v>
      </c>
      <c r="B53" s="176">
        <f>COUNTIFS(DONNEES_SOURCE!$BF$2:$BF$101,A53,DONNEES_SOURCE!$CA$2:$CA$101,TRUE())</f>
        <v>18</v>
      </c>
      <c r="C53" s="177">
        <f t="shared" si="0"/>
        <v>0.26865671641791045</v>
      </c>
    </row>
    <row r="54" spans="1:8" x14ac:dyDescent="0.25">
      <c r="A54" s="183" t="s">
        <v>648</v>
      </c>
      <c r="B54" s="184">
        <f>SUM(B47:B53)</f>
        <v>67</v>
      </c>
      <c r="C54" s="185">
        <f>SUM(C47:C53)</f>
        <v>0.99999999999999989</v>
      </c>
    </row>
    <row r="60" spans="1:8" x14ac:dyDescent="0.25">
      <c r="A60" s="287" t="s">
        <v>649</v>
      </c>
      <c r="B60" s="254"/>
      <c r="C60" s="254"/>
      <c r="D60" s="254"/>
      <c r="E60" s="254"/>
    </row>
    <row r="61" spans="1:8" x14ac:dyDescent="0.25">
      <c r="A61" s="162" t="s">
        <v>628</v>
      </c>
      <c r="B61" s="162" t="s">
        <v>547</v>
      </c>
      <c r="C61" s="162" t="s">
        <v>629</v>
      </c>
      <c r="D61" s="162" t="s">
        <v>548</v>
      </c>
      <c r="E61" s="162" t="s">
        <v>549</v>
      </c>
    </row>
    <row r="62" spans="1:8" x14ac:dyDescent="0.25">
      <c r="A62" s="165">
        <f>COUNTIFS(DONNEES_SOURCE!$CA$2:$CA$1000,TRUE,DONNEES_SOURCE!$AU$2:$AU$1000,"&lt;&gt;",DONNEES_SOURCE!$AV$2:$AV$1000,"&lt;&gt;")</f>
        <v>67</v>
      </c>
      <c r="B62" s="165" cm="1">
        <f t="array" ref="B62">CORREL(IF(DONNEES_SOURCE!$CA$2:$CA$101=TRUE(),_xlfn.RANK.AVG(DONNEES_SOURCE!$AU$2:$AU$101,DONNEES_SOURCE!$AU$2:$AU$101)),IF(DONNEES_SOURCE!$CA$2:$CA$101=TRUE(),_xlfn.RANK.AVG(DONNEES_SOURCE!$AV$2:$AV$101,DONNEES_SOURCE!$AV$2:$AV$101)))</f>
        <v>0.30986095476058029</v>
      </c>
      <c r="C62" s="165">
        <f>B62*SQRT((A62-2)/(1-B62^2))</f>
        <v>2.6274994596887522</v>
      </c>
      <c r="D62" s="166">
        <f>TDIST(ABS(C62),A62-2,2)</f>
        <v>1.071894759649065E-2</v>
      </c>
      <c r="E62" s="165" t="str">
        <f t="shared" ref="E62" si="1">IF(D62&lt;0.05,"OUI (p&lt;0.05)","NON (n.s.)")</f>
        <v>OUI (p&lt;0.05)</v>
      </c>
    </row>
    <row r="63" spans="1:8" ht="16.5" x14ac:dyDescent="0.25">
      <c r="A63" s="171"/>
      <c r="C63" s="171"/>
    </row>
    <row r="64" spans="1:8" x14ac:dyDescent="0.25">
      <c r="A64" s="312" t="s">
        <v>661</v>
      </c>
      <c r="B64" s="254"/>
      <c r="C64" s="254"/>
      <c r="D64" s="254"/>
      <c r="E64" s="254"/>
      <c r="F64" s="254"/>
      <c r="G64" s="254"/>
      <c r="H64" s="254"/>
    </row>
    <row r="65" spans="1:3" ht="38.25" x14ac:dyDescent="0.25">
      <c r="A65" s="186" t="s">
        <v>662</v>
      </c>
      <c r="B65" s="186" t="s">
        <v>663</v>
      </c>
      <c r="C65" s="186" t="s">
        <v>664</v>
      </c>
    </row>
    <row r="66" spans="1:3" x14ac:dyDescent="0.25">
      <c r="A66" s="187">
        <v>1</v>
      </c>
      <c r="B66" s="182">
        <f>COUNTIFS(DONNEES_SOURCE!$AU$2:$AU$101,1,DONNEES_SOURCE!$CA$2:$CA$101,TRUE())</f>
        <v>6</v>
      </c>
      <c r="C66" s="182">
        <f>COUNTIFS(DONNEES_SOURCE!$AV$2:$AV$101,1,DONNEES_SOURCE!$CA$2:$CA$101,TRUE())</f>
        <v>1</v>
      </c>
    </row>
    <row r="67" spans="1:3" x14ac:dyDescent="0.25">
      <c r="A67" s="188">
        <v>2</v>
      </c>
      <c r="B67" s="189">
        <f>COUNTIFS(DONNEES_SOURCE!$AU$2:$AU$101,2,DONNEES_SOURCE!$CA$2:$CA$101,TRUE())</f>
        <v>5</v>
      </c>
      <c r="C67" s="189">
        <f>COUNTIFS(DONNEES_SOURCE!$AV$2:$AV$101,2,DONNEES_SOURCE!$CA$2:$CA$101,TRUE())</f>
        <v>0</v>
      </c>
    </row>
    <row r="68" spans="1:3" x14ac:dyDescent="0.25">
      <c r="A68" s="187">
        <v>3</v>
      </c>
      <c r="B68" s="182">
        <f>COUNTIFS(DONNEES_SOURCE!$AU$2:$AU$101,3,DONNEES_SOURCE!$CA$2:$CA$101,TRUE())</f>
        <v>10</v>
      </c>
      <c r="C68" s="182">
        <f>COUNTIFS(DONNEES_SOURCE!$AV$2:$AV$101,3,DONNEES_SOURCE!$CA$2:$CA$101,TRUE())</f>
        <v>5</v>
      </c>
    </row>
    <row r="69" spans="1:3" x14ac:dyDescent="0.25">
      <c r="A69" s="188">
        <v>4</v>
      </c>
      <c r="B69" s="189">
        <f>COUNTIFS(DONNEES_SOURCE!$AU$2:$AU$101,4,DONNEES_SOURCE!$CA$2:$CA$101,TRUE())</f>
        <v>14</v>
      </c>
      <c r="C69" s="189">
        <f>COUNTIFS(DONNEES_SOURCE!$AV$2:$AV$101,4,DONNEES_SOURCE!$CA$2:$CA$101,TRUE())</f>
        <v>7</v>
      </c>
    </row>
    <row r="70" spans="1:3" x14ac:dyDescent="0.25">
      <c r="A70" s="187">
        <v>5</v>
      </c>
      <c r="B70" s="182">
        <f>COUNTIFS(DONNEES_SOURCE!$AU$2:$AU$101,5,DONNEES_SOURCE!$CA$2:$CA$101,TRUE())</f>
        <v>14</v>
      </c>
      <c r="C70" s="182">
        <f>COUNTIFS(DONNEES_SOURCE!$AV$2:$AV$101,5,DONNEES_SOURCE!$CA$2:$CA$101,TRUE())</f>
        <v>12</v>
      </c>
    </row>
    <row r="71" spans="1:3" x14ac:dyDescent="0.25">
      <c r="A71" s="188">
        <v>6</v>
      </c>
      <c r="B71" s="189">
        <f>COUNTIFS(DONNEES_SOURCE!$AU$2:$AU$101,6,DONNEES_SOURCE!$CA$2:$CA$101,TRUE())</f>
        <v>12</v>
      </c>
      <c r="C71" s="189">
        <f>COUNTIFS(DONNEES_SOURCE!$AV$2:$AV$101,6,DONNEES_SOURCE!$CA$2:$CA$101,TRUE())</f>
        <v>14</v>
      </c>
    </row>
    <row r="72" spans="1:3" x14ac:dyDescent="0.25">
      <c r="A72" s="187">
        <v>7</v>
      </c>
      <c r="B72" s="182">
        <f>COUNTIFS(DONNEES_SOURCE!$AU$2:$AU$101,7,DONNEES_SOURCE!$CA$2:$CA$101,TRUE())</f>
        <v>6</v>
      </c>
      <c r="C72" s="182">
        <f>COUNTIFS(DONNEES_SOURCE!$AV$2:$AV$101,7,DONNEES_SOURCE!$CA$2:$CA$101,TRUE())</f>
        <v>28</v>
      </c>
    </row>
  </sheetData>
  <sortState xmlns:xlrd2="http://schemas.microsoft.com/office/spreadsheetml/2017/richdata2" ref="A31:E34">
    <sortCondition ref="D31:D34"/>
  </sortState>
  <mergeCells count="8">
    <mergeCell ref="A64:H64"/>
    <mergeCell ref="A60:E60"/>
    <mergeCell ref="A3:F3"/>
    <mergeCell ref="A1:J1"/>
    <mergeCell ref="A29:E29"/>
    <mergeCell ref="A18:E18"/>
    <mergeCell ref="A37:E37"/>
    <mergeCell ref="A45:E4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C3588-9840-49C2-9B33-909A7485A04E}">
  <dimension ref="A1:J312"/>
  <sheetViews>
    <sheetView topLeftCell="A94" workbookViewId="0">
      <selection activeCell="G103" sqref="G103"/>
    </sheetView>
  </sheetViews>
  <sheetFormatPr baseColWidth="10" defaultRowHeight="15" x14ac:dyDescent="0.25"/>
  <sheetData>
    <row r="1" spans="1:10" ht="409.5" x14ac:dyDescent="0.25">
      <c r="A1" s="243" t="s">
        <v>1443</v>
      </c>
      <c r="J1" s="243" t="s">
        <v>1224</v>
      </c>
    </row>
    <row r="3" spans="1:10" x14ac:dyDescent="0.25">
      <c r="A3" t="s">
        <v>1147</v>
      </c>
      <c r="J3" t="s">
        <v>1147</v>
      </c>
    </row>
    <row r="4" spans="1:10" x14ac:dyDescent="0.25">
      <c r="A4" t="s">
        <v>1148</v>
      </c>
      <c r="J4" t="s">
        <v>1148</v>
      </c>
    </row>
    <row r="5" spans="1:10" x14ac:dyDescent="0.25">
      <c r="A5" t="s">
        <v>1149</v>
      </c>
      <c r="J5" t="s">
        <v>1225</v>
      </c>
    </row>
    <row r="6" spans="1:10" x14ac:dyDescent="0.25">
      <c r="J6" t="s">
        <v>1226</v>
      </c>
    </row>
    <row r="7" spans="1:10" x14ac:dyDescent="0.25">
      <c r="A7" t="s">
        <v>1150</v>
      </c>
    </row>
    <row r="8" spans="1:10" x14ac:dyDescent="0.25">
      <c r="A8" t="s">
        <v>1151</v>
      </c>
      <c r="J8" t="s">
        <v>1150</v>
      </c>
    </row>
    <row r="9" spans="1:10" x14ac:dyDescent="0.25">
      <c r="A9" t="s">
        <v>1150</v>
      </c>
      <c r="J9" t="s">
        <v>1151</v>
      </c>
    </row>
    <row r="10" spans="1:10" x14ac:dyDescent="0.25">
      <c r="A10" t="s">
        <v>1152</v>
      </c>
      <c r="J10" t="s">
        <v>1150</v>
      </c>
    </row>
    <row r="11" spans="1:10" x14ac:dyDescent="0.25">
      <c r="A11" t="s">
        <v>1153</v>
      </c>
      <c r="J11" t="s">
        <v>1152</v>
      </c>
    </row>
    <row r="12" spans="1:10" x14ac:dyDescent="0.25">
      <c r="A12" t="s">
        <v>1154</v>
      </c>
      <c r="J12" t="s">
        <v>1153</v>
      </c>
    </row>
    <row r="13" spans="1:10" x14ac:dyDescent="0.25">
      <c r="A13" t="s">
        <v>1155</v>
      </c>
      <c r="J13" t="s">
        <v>1154</v>
      </c>
    </row>
    <row r="14" spans="1:10" x14ac:dyDescent="0.25">
      <c r="A14" t="s">
        <v>1156</v>
      </c>
      <c r="J14" t="s">
        <v>1227</v>
      </c>
    </row>
    <row r="15" spans="1:10" x14ac:dyDescent="0.25">
      <c r="J15" t="s">
        <v>1228</v>
      </c>
    </row>
    <row r="16" spans="1:10" x14ac:dyDescent="0.25">
      <c r="A16" t="s">
        <v>1157</v>
      </c>
    </row>
    <row r="17" spans="1:10" x14ac:dyDescent="0.25">
      <c r="A17" t="s">
        <v>1158</v>
      </c>
      <c r="J17" t="s">
        <v>1229</v>
      </c>
    </row>
    <row r="18" spans="1:10" x14ac:dyDescent="0.25">
      <c r="A18" t="s">
        <v>1159</v>
      </c>
      <c r="J18" t="s">
        <v>1230</v>
      </c>
    </row>
    <row r="19" spans="1:10" x14ac:dyDescent="0.25">
      <c r="A19" t="s">
        <v>1160</v>
      </c>
    </row>
    <row r="20" spans="1:10" x14ac:dyDescent="0.25">
      <c r="A20" t="s">
        <v>1161</v>
      </c>
      <c r="J20" t="s">
        <v>1150</v>
      </c>
    </row>
    <row r="21" spans="1:10" x14ac:dyDescent="0.25">
      <c r="J21" t="s">
        <v>1231</v>
      </c>
    </row>
    <row r="22" spans="1:10" x14ac:dyDescent="0.25">
      <c r="A22" t="s">
        <v>1162</v>
      </c>
      <c r="J22" t="s">
        <v>1150</v>
      </c>
    </row>
    <row r="23" spans="1:10" x14ac:dyDescent="0.25">
      <c r="A23" t="s">
        <v>1163</v>
      </c>
      <c r="J23" t="s">
        <v>1157</v>
      </c>
    </row>
    <row r="24" spans="1:10" x14ac:dyDescent="0.25">
      <c r="A24" t="s">
        <v>1164</v>
      </c>
      <c r="J24" t="s">
        <v>1232</v>
      </c>
    </row>
    <row r="25" spans="1:10" x14ac:dyDescent="0.25">
      <c r="A25" t="s">
        <v>1165</v>
      </c>
      <c r="J25" t="s">
        <v>1158</v>
      </c>
    </row>
    <row r="26" spans="1:10" x14ac:dyDescent="0.25">
      <c r="J26" t="s">
        <v>1159</v>
      </c>
    </row>
    <row r="27" spans="1:10" x14ac:dyDescent="0.25">
      <c r="A27" t="s">
        <v>1150</v>
      </c>
      <c r="J27" t="s">
        <v>1160</v>
      </c>
    </row>
    <row r="28" spans="1:10" x14ac:dyDescent="0.25">
      <c r="A28" t="s">
        <v>1166</v>
      </c>
      <c r="J28" t="s">
        <v>1161</v>
      </c>
    </row>
    <row r="29" spans="1:10" x14ac:dyDescent="0.25">
      <c r="A29" t="s">
        <v>1150</v>
      </c>
    </row>
    <row r="30" spans="1:10" x14ac:dyDescent="0.25">
      <c r="A30" t="s">
        <v>1167</v>
      </c>
      <c r="J30" t="s">
        <v>1162</v>
      </c>
    </row>
    <row r="31" spans="1:10" x14ac:dyDescent="0.25">
      <c r="A31" t="s">
        <v>1168</v>
      </c>
      <c r="J31" t="s">
        <v>1163</v>
      </c>
    </row>
    <row r="32" spans="1:10" x14ac:dyDescent="0.25">
      <c r="A32" t="s">
        <v>1169</v>
      </c>
      <c r="J32" t="s">
        <v>1164</v>
      </c>
    </row>
    <row r="33" spans="1:10" x14ac:dyDescent="0.25">
      <c r="A33" t="s">
        <v>1170</v>
      </c>
      <c r="J33" t="s">
        <v>1165</v>
      </c>
    </row>
    <row r="35" spans="1:10" x14ac:dyDescent="0.25">
      <c r="A35" t="s">
        <v>1171</v>
      </c>
      <c r="J35" t="s">
        <v>1233</v>
      </c>
    </row>
    <row r="36" spans="1:10" x14ac:dyDescent="0.25">
      <c r="J36" t="s">
        <v>1234</v>
      </c>
    </row>
    <row r="37" spans="1:10" x14ac:dyDescent="0.25">
      <c r="A37" t="s">
        <v>1172</v>
      </c>
    </row>
    <row r="38" spans="1:10" x14ac:dyDescent="0.25">
      <c r="A38" t="s">
        <v>1173</v>
      </c>
      <c r="J38" t="s">
        <v>1235</v>
      </c>
    </row>
    <row r="39" spans="1:10" x14ac:dyDescent="0.25">
      <c r="A39" t="s">
        <v>1174</v>
      </c>
      <c r="J39" t="s">
        <v>1236</v>
      </c>
    </row>
    <row r="41" spans="1:10" x14ac:dyDescent="0.25">
      <c r="A41" t="s">
        <v>1175</v>
      </c>
      <c r="J41" t="s">
        <v>1237</v>
      </c>
    </row>
    <row r="42" spans="1:10" x14ac:dyDescent="0.25">
      <c r="A42" t="s">
        <v>1176</v>
      </c>
      <c r="J42" t="s">
        <v>1238</v>
      </c>
    </row>
    <row r="43" spans="1:10" x14ac:dyDescent="0.25">
      <c r="A43" t="s">
        <v>1177</v>
      </c>
      <c r="J43" t="s">
        <v>1239</v>
      </c>
    </row>
    <row r="44" spans="1:10" x14ac:dyDescent="0.25">
      <c r="A44" t="s">
        <v>1178</v>
      </c>
      <c r="J44" t="s">
        <v>1240</v>
      </c>
    </row>
    <row r="45" spans="1:10" x14ac:dyDescent="0.25">
      <c r="A45" t="s">
        <v>1179</v>
      </c>
      <c r="J45" t="s">
        <v>1241</v>
      </c>
    </row>
    <row r="46" spans="1:10" x14ac:dyDescent="0.25">
      <c r="A46" t="s">
        <v>1180</v>
      </c>
      <c r="J46" t="s">
        <v>1242</v>
      </c>
    </row>
    <row r="47" spans="1:10" x14ac:dyDescent="0.25">
      <c r="A47" t="s">
        <v>1181</v>
      </c>
      <c r="J47" t="s">
        <v>1243</v>
      </c>
    </row>
    <row r="48" spans="1:10" x14ac:dyDescent="0.25">
      <c r="A48" t="s">
        <v>1182</v>
      </c>
      <c r="J48" t="s">
        <v>1244</v>
      </c>
    </row>
    <row r="49" spans="1:10" x14ac:dyDescent="0.25">
      <c r="A49" t="s">
        <v>1183</v>
      </c>
      <c r="J49" t="s">
        <v>1245</v>
      </c>
    </row>
    <row r="50" spans="1:10" x14ac:dyDescent="0.25">
      <c r="A50" t="s">
        <v>1184</v>
      </c>
      <c r="J50" t="s">
        <v>1246</v>
      </c>
    </row>
    <row r="51" spans="1:10" x14ac:dyDescent="0.25">
      <c r="J51" t="s">
        <v>1247</v>
      </c>
    </row>
    <row r="52" spans="1:10" x14ac:dyDescent="0.25">
      <c r="A52" t="s">
        <v>1150</v>
      </c>
      <c r="J52" t="s">
        <v>1248</v>
      </c>
    </row>
    <row r="53" spans="1:10" x14ac:dyDescent="0.25">
      <c r="A53" t="s">
        <v>1185</v>
      </c>
      <c r="J53" t="s">
        <v>1249</v>
      </c>
    </row>
    <row r="54" spans="1:10" x14ac:dyDescent="0.25">
      <c r="A54" t="s">
        <v>1150</v>
      </c>
      <c r="J54" t="s">
        <v>1250</v>
      </c>
    </row>
    <row r="55" spans="1:10" x14ac:dyDescent="0.25">
      <c r="A55" t="s">
        <v>1186</v>
      </c>
      <c r="J55" t="s">
        <v>1251</v>
      </c>
    </row>
    <row r="56" spans="1:10" x14ac:dyDescent="0.25">
      <c r="J56" t="s">
        <v>1252</v>
      </c>
    </row>
    <row r="57" spans="1:10" x14ac:dyDescent="0.25">
      <c r="A57" t="s">
        <v>1187</v>
      </c>
      <c r="J57" t="s">
        <v>1253</v>
      </c>
    </row>
    <row r="58" spans="1:10" x14ac:dyDescent="0.25">
      <c r="A58" t="s">
        <v>1188</v>
      </c>
      <c r="J58" t="s">
        <v>1254</v>
      </c>
    </row>
    <row r="59" spans="1:10" x14ac:dyDescent="0.25">
      <c r="A59" t="s">
        <v>1187</v>
      </c>
    </row>
    <row r="60" spans="1:10" x14ac:dyDescent="0.25">
      <c r="J60" t="s">
        <v>1255</v>
      </c>
    </row>
    <row r="61" spans="1:10" x14ac:dyDescent="0.25">
      <c r="A61" t="s">
        <v>1189</v>
      </c>
      <c r="J61" t="s">
        <v>1256</v>
      </c>
    </row>
    <row r="62" spans="1:10" x14ac:dyDescent="0.25">
      <c r="A62" t="s">
        <v>1190</v>
      </c>
      <c r="J62" t="s">
        <v>1257</v>
      </c>
    </row>
    <row r="63" spans="1:10" x14ac:dyDescent="0.25">
      <c r="A63" t="s">
        <v>1191</v>
      </c>
      <c r="J63" t="s">
        <v>1258</v>
      </c>
    </row>
    <row r="64" spans="1:10" x14ac:dyDescent="0.25">
      <c r="A64" t="s">
        <v>1192</v>
      </c>
      <c r="J64" t="s">
        <v>1259</v>
      </c>
    </row>
    <row r="65" spans="1:10" x14ac:dyDescent="0.25">
      <c r="A65" t="s">
        <v>1193</v>
      </c>
      <c r="J65" t="s">
        <v>1260</v>
      </c>
    </row>
    <row r="67" spans="1:10" x14ac:dyDescent="0.25">
      <c r="A67" t="s">
        <v>1194</v>
      </c>
      <c r="J67" t="s">
        <v>1150</v>
      </c>
    </row>
    <row r="68" spans="1:10" x14ac:dyDescent="0.25">
      <c r="A68" t="s">
        <v>1195</v>
      </c>
      <c r="J68" t="s">
        <v>1261</v>
      </c>
    </row>
    <row r="69" spans="1:10" x14ac:dyDescent="0.25">
      <c r="A69" t="s">
        <v>1196</v>
      </c>
      <c r="J69" t="s">
        <v>1150</v>
      </c>
    </row>
    <row r="70" spans="1:10" x14ac:dyDescent="0.25">
      <c r="A70" t="s">
        <v>1173</v>
      </c>
      <c r="J70" t="s">
        <v>1262</v>
      </c>
    </row>
    <row r="71" spans="1:10" x14ac:dyDescent="0.25">
      <c r="A71" t="s">
        <v>1197</v>
      </c>
      <c r="J71" t="s">
        <v>1263</v>
      </c>
    </row>
    <row r="72" spans="1:10" x14ac:dyDescent="0.25">
      <c r="A72" t="s">
        <v>1198</v>
      </c>
    </row>
    <row r="73" spans="1:10" x14ac:dyDescent="0.25">
      <c r="A73" t="s">
        <v>1199</v>
      </c>
      <c r="J73" t="s">
        <v>1264</v>
      </c>
    </row>
    <row r="74" spans="1:10" x14ac:dyDescent="0.25">
      <c r="J74" t="s">
        <v>1265</v>
      </c>
    </row>
    <row r="75" spans="1:10" x14ac:dyDescent="0.25">
      <c r="A75" t="s">
        <v>1200</v>
      </c>
    </row>
    <row r="76" spans="1:10" x14ac:dyDescent="0.25">
      <c r="A76" t="s">
        <v>1201</v>
      </c>
      <c r="J76" t="s">
        <v>1266</v>
      </c>
    </row>
    <row r="77" spans="1:10" x14ac:dyDescent="0.25">
      <c r="A77" t="s">
        <v>1202</v>
      </c>
      <c r="J77" t="s">
        <v>1267</v>
      </c>
    </row>
    <row r="78" spans="1:10" x14ac:dyDescent="0.25">
      <c r="A78" t="s">
        <v>1203</v>
      </c>
      <c r="J78" t="s">
        <v>1268</v>
      </c>
    </row>
    <row r="79" spans="1:10" x14ac:dyDescent="0.25">
      <c r="A79" t="s">
        <v>1204</v>
      </c>
      <c r="J79" t="s">
        <v>1269</v>
      </c>
    </row>
    <row r="80" spans="1:10" x14ac:dyDescent="0.25">
      <c r="J80" t="s">
        <v>1270</v>
      </c>
    </row>
    <row r="81" spans="1:10" x14ac:dyDescent="0.25">
      <c r="A81" t="s">
        <v>1205</v>
      </c>
      <c r="J81" t="s">
        <v>1271</v>
      </c>
    </row>
    <row r="82" spans="1:10" x14ac:dyDescent="0.25">
      <c r="A82" t="s">
        <v>1206</v>
      </c>
      <c r="J82" t="s">
        <v>1272</v>
      </c>
    </row>
    <row r="83" spans="1:10" x14ac:dyDescent="0.25">
      <c r="A83" t="s">
        <v>1207</v>
      </c>
      <c r="J83" t="s">
        <v>1273</v>
      </c>
    </row>
    <row r="84" spans="1:10" x14ac:dyDescent="0.25">
      <c r="A84" t="s">
        <v>1208</v>
      </c>
      <c r="J84" t="s">
        <v>1274</v>
      </c>
    </row>
    <row r="85" spans="1:10" x14ac:dyDescent="0.25">
      <c r="A85" t="s">
        <v>1209</v>
      </c>
      <c r="J85" t="s">
        <v>1275</v>
      </c>
    </row>
    <row r="86" spans="1:10" x14ac:dyDescent="0.25">
      <c r="A86" t="s">
        <v>1204</v>
      </c>
      <c r="J86" t="s">
        <v>1276</v>
      </c>
    </row>
    <row r="87" spans="1:10" x14ac:dyDescent="0.25">
      <c r="J87" t="s">
        <v>1277</v>
      </c>
    </row>
    <row r="88" spans="1:10" x14ac:dyDescent="0.25">
      <c r="A88" t="s">
        <v>1210</v>
      </c>
      <c r="J88" t="s">
        <v>1278</v>
      </c>
    </row>
    <row r="89" spans="1:10" x14ac:dyDescent="0.25">
      <c r="A89" t="s">
        <v>1211</v>
      </c>
    </row>
    <row r="90" spans="1:10" x14ac:dyDescent="0.25">
      <c r="A90" t="s">
        <v>1206</v>
      </c>
      <c r="J90" t="s">
        <v>1150</v>
      </c>
    </row>
    <row r="91" spans="1:10" x14ac:dyDescent="0.25">
      <c r="A91" t="s">
        <v>1207</v>
      </c>
      <c r="J91" t="s">
        <v>1279</v>
      </c>
    </row>
    <row r="92" spans="1:10" x14ac:dyDescent="0.25">
      <c r="A92" t="s">
        <v>1208</v>
      </c>
      <c r="J92" t="s">
        <v>1150</v>
      </c>
    </row>
    <row r="93" spans="1:10" x14ac:dyDescent="0.25">
      <c r="A93" t="s">
        <v>1212</v>
      </c>
      <c r="J93" t="s">
        <v>1280</v>
      </c>
    </row>
    <row r="94" spans="1:10" x14ac:dyDescent="0.25">
      <c r="A94" t="s">
        <v>1213</v>
      </c>
      <c r="J94" t="s">
        <v>1281</v>
      </c>
    </row>
    <row r="95" spans="1:10" x14ac:dyDescent="0.25">
      <c r="A95" t="s">
        <v>1214</v>
      </c>
      <c r="J95" t="s">
        <v>1280</v>
      </c>
    </row>
    <row r="96" spans="1:10" x14ac:dyDescent="0.25">
      <c r="A96" t="s">
        <v>1204</v>
      </c>
    </row>
    <row r="97" spans="1:10" x14ac:dyDescent="0.25">
      <c r="J97" t="s">
        <v>1282</v>
      </c>
    </row>
    <row r="98" spans="1:10" x14ac:dyDescent="0.25">
      <c r="A98" t="s">
        <v>1215</v>
      </c>
      <c r="J98" t="s">
        <v>1283</v>
      </c>
    </row>
    <row r="99" spans="1:10" x14ac:dyDescent="0.25">
      <c r="A99" t="s">
        <v>1216</v>
      </c>
      <c r="J99" t="s">
        <v>1284</v>
      </c>
    </row>
    <row r="100" spans="1:10" x14ac:dyDescent="0.25">
      <c r="A100" t="s">
        <v>1187</v>
      </c>
      <c r="J100" t="s">
        <v>1285</v>
      </c>
    </row>
    <row r="101" spans="1:10" x14ac:dyDescent="0.25">
      <c r="A101" t="s">
        <v>1217</v>
      </c>
      <c r="J101" t="s">
        <v>1286</v>
      </c>
    </row>
    <row r="102" spans="1:10" x14ac:dyDescent="0.25">
      <c r="A102" t="s">
        <v>1218</v>
      </c>
    </row>
    <row r="103" spans="1:10" x14ac:dyDescent="0.25">
      <c r="A103" t="s">
        <v>1219</v>
      </c>
      <c r="J103" t="s">
        <v>1287</v>
      </c>
    </row>
    <row r="104" spans="1:10" x14ac:dyDescent="0.25">
      <c r="A104" t="s">
        <v>1220</v>
      </c>
      <c r="J104" t="s">
        <v>1288</v>
      </c>
    </row>
    <row r="105" spans="1:10" x14ac:dyDescent="0.25">
      <c r="A105" t="s">
        <v>1221</v>
      </c>
      <c r="J105" t="s">
        <v>1289</v>
      </c>
    </row>
    <row r="106" spans="1:10" x14ac:dyDescent="0.25">
      <c r="A106" t="s">
        <v>1222</v>
      </c>
      <c r="J106" t="s">
        <v>1290</v>
      </c>
    </row>
    <row r="108" spans="1:10" x14ac:dyDescent="0.25">
      <c r="A108" t="s">
        <v>1223</v>
      </c>
      <c r="J108" t="s">
        <v>1291</v>
      </c>
    </row>
    <row r="109" spans="1:10" x14ac:dyDescent="0.25">
      <c r="J109" t="s">
        <v>1292</v>
      </c>
    </row>
    <row r="110" spans="1:10" x14ac:dyDescent="0.25">
      <c r="J110" t="s">
        <v>1293</v>
      </c>
    </row>
    <row r="112" spans="1:10" x14ac:dyDescent="0.25">
      <c r="J112" t="s">
        <v>1294</v>
      </c>
    </row>
    <row r="113" spans="10:10" x14ac:dyDescent="0.25">
      <c r="J113" t="s">
        <v>1295</v>
      </c>
    </row>
    <row r="114" spans="10:10" x14ac:dyDescent="0.25">
      <c r="J114" t="s">
        <v>1296</v>
      </c>
    </row>
    <row r="115" spans="10:10" x14ac:dyDescent="0.25">
      <c r="J115" t="s">
        <v>1297</v>
      </c>
    </row>
    <row r="116" spans="10:10" x14ac:dyDescent="0.25">
      <c r="J116" t="s">
        <v>1298</v>
      </c>
    </row>
    <row r="117" spans="10:10" x14ac:dyDescent="0.25">
      <c r="J117" t="s">
        <v>1299</v>
      </c>
    </row>
    <row r="118" spans="10:10" x14ac:dyDescent="0.25">
      <c r="J118" t="s">
        <v>1300</v>
      </c>
    </row>
    <row r="120" spans="10:10" x14ac:dyDescent="0.25">
      <c r="J120" t="s">
        <v>1301</v>
      </c>
    </row>
    <row r="122" spans="10:10" x14ac:dyDescent="0.25">
      <c r="J122" t="s">
        <v>1302</v>
      </c>
    </row>
    <row r="123" spans="10:10" x14ac:dyDescent="0.25">
      <c r="J123" t="s">
        <v>1303</v>
      </c>
    </row>
    <row r="124" spans="10:10" x14ac:dyDescent="0.25">
      <c r="J124" t="s">
        <v>1304</v>
      </c>
    </row>
    <row r="125" spans="10:10" x14ac:dyDescent="0.25">
      <c r="J125" t="s">
        <v>1305</v>
      </c>
    </row>
    <row r="126" spans="10:10" x14ac:dyDescent="0.25">
      <c r="J126" t="s">
        <v>1306</v>
      </c>
    </row>
    <row r="127" spans="10:10" x14ac:dyDescent="0.25">
      <c r="J127" t="s">
        <v>1307</v>
      </c>
    </row>
    <row r="128" spans="10:10" x14ac:dyDescent="0.25">
      <c r="J128" t="s">
        <v>1308</v>
      </c>
    </row>
    <row r="129" spans="10:10" x14ac:dyDescent="0.25">
      <c r="J129" t="s">
        <v>1309</v>
      </c>
    </row>
    <row r="130" spans="10:10" x14ac:dyDescent="0.25">
      <c r="J130" t="s">
        <v>1310</v>
      </c>
    </row>
    <row r="131" spans="10:10" x14ac:dyDescent="0.25">
      <c r="J131" t="s">
        <v>1170</v>
      </c>
    </row>
    <row r="132" spans="10:10" x14ac:dyDescent="0.25">
      <c r="J132" t="s">
        <v>1311</v>
      </c>
    </row>
    <row r="133" spans="10:10" x14ac:dyDescent="0.25">
      <c r="J133" t="s">
        <v>1312</v>
      </c>
    </row>
    <row r="134" spans="10:10" x14ac:dyDescent="0.25">
      <c r="J134" t="s">
        <v>1313</v>
      </c>
    </row>
    <row r="135" spans="10:10" x14ac:dyDescent="0.25">
      <c r="J135" t="s">
        <v>1314</v>
      </c>
    </row>
    <row r="136" spans="10:10" x14ac:dyDescent="0.25">
      <c r="J136" t="s">
        <v>1315</v>
      </c>
    </row>
    <row r="137" spans="10:10" x14ac:dyDescent="0.25">
      <c r="J137" t="s">
        <v>1316</v>
      </c>
    </row>
    <row r="139" spans="10:10" x14ac:dyDescent="0.25">
      <c r="J139" t="s">
        <v>1317</v>
      </c>
    </row>
    <row r="140" spans="10:10" x14ac:dyDescent="0.25">
      <c r="J140" t="s">
        <v>1318</v>
      </c>
    </row>
    <row r="142" spans="10:10" x14ac:dyDescent="0.25">
      <c r="J142" t="s">
        <v>1150</v>
      </c>
    </row>
    <row r="143" spans="10:10" x14ac:dyDescent="0.25">
      <c r="J143" t="s">
        <v>1319</v>
      </c>
    </row>
    <row r="144" spans="10:10" x14ac:dyDescent="0.25">
      <c r="J144" t="s">
        <v>1150</v>
      </c>
    </row>
    <row r="145" spans="10:10" x14ac:dyDescent="0.25">
      <c r="J145" t="s">
        <v>1320</v>
      </c>
    </row>
    <row r="146" spans="10:10" x14ac:dyDescent="0.25">
      <c r="J146" t="s">
        <v>1321</v>
      </c>
    </row>
    <row r="147" spans="10:10" x14ac:dyDescent="0.25">
      <c r="J147" t="s">
        <v>1280</v>
      </c>
    </row>
    <row r="149" spans="10:10" x14ac:dyDescent="0.25">
      <c r="J149" t="s">
        <v>1322</v>
      </c>
    </row>
    <row r="150" spans="10:10" x14ac:dyDescent="0.25">
      <c r="J150" t="s">
        <v>1323</v>
      </c>
    </row>
    <row r="151" spans="10:10" x14ac:dyDescent="0.25">
      <c r="J151" t="s">
        <v>1324</v>
      </c>
    </row>
    <row r="152" spans="10:10" x14ac:dyDescent="0.25">
      <c r="J152" t="s">
        <v>1325</v>
      </c>
    </row>
    <row r="153" spans="10:10" x14ac:dyDescent="0.25">
      <c r="J153" t="s">
        <v>1326</v>
      </c>
    </row>
    <row r="154" spans="10:10" x14ac:dyDescent="0.25">
      <c r="J154" t="s">
        <v>1327</v>
      </c>
    </row>
    <row r="156" spans="10:10" x14ac:dyDescent="0.25">
      <c r="J156" t="s">
        <v>1328</v>
      </c>
    </row>
    <row r="157" spans="10:10" x14ac:dyDescent="0.25">
      <c r="J157" t="s">
        <v>1329</v>
      </c>
    </row>
    <row r="158" spans="10:10" x14ac:dyDescent="0.25">
      <c r="J158" t="s">
        <v>1330</v>
      </c>
    </row>
    <row r="159" spans="10:10" x14ac:dyDescent="0.25">
      <c r="J159" t="s">
        <v>1331</v>
      </c>
    </row>
    <row r="160" spans="10:10" x14ac:dyDescent="0.25">
      <c r="J160" t="s">
        <v>1332</v>
      </c>
    </row>
    <row r="161" spans="10:10" x14ac:dyDescent="0.25">
      <c r="J161" t="s">
        <v>1333</v>
      </c>
    </row>
    <row r="163" spans="10:10" x14ac:dyDescent="0.25">
      <c r="J163" t="s">
        <v>1334</v>
      </c>
    </row>
    <row r="164" spans="10:10" x14ac:dyDescent="0.25">
      <c r="J164" t="s">
        <v>1335</v>
      </c>
    </row>
    <row r="165" spans="10:10" x14ac:dyDescent="0.25">
      <c r="J165" t="s">
        <v>1336</v>
      </c>
    </row>
    <row r="166" spans="10:10" x14ac:dyDescent="0.25">
      <c r="J166" t="s">
        <v>1337</v>
      </c>
    </row>
    <row r="167" spans="10:10" x14ac:dyDescent="0.25">
      <c r="J167" t="s">
        <v>1338</v>
      </c>
    </row>
    <row r="168" spans="10:10" x14ac:dyDescent="0.25">
      <c r="J168" t="s">
        <v>1339</v>
      </c>
    </row>
    <row r="169" spans="10:10" x14ac:dyDescent="0.25">
      <c r="J169" t="s">
        <v>1340</v>
      </c>
    </row>
    <row r="170" spans="10:10" x14ac:dyDescent="0.25">
      <c r="J170" t="s">
        <v>1341</v>
      </c>
    </row>
    <row r="171" spans="10:10" x14ac:dyDescent="0.25">
      <c r="J171" t="s">
        <v>1342</v>
      </c>
    </row>
    <row r="172" spans="10:10" x14ac:dyDescent="0.25">
      <c r="J172" t="s">
        <v>1343</v>
      </c>
    </row>
    <row r="173" spans="10:10" x14ac:dyDescent="0.25">
      <c r="J173" t="s">
        <v>1344</v>
      </c>
    </row>
    <row r="174" spans="10:10" x14ac:dyDescent="0.25">
      <c r="J174" t="s">
        <v>1345</v>
      </c>
    </row>
    <row r="175" spans="10:10" x14ac:dyDescent="0.25">
      <c r="J175" t="s">
        <v>1346</v>
      </c>
    </row>
    <row r="176" spans="10:10" x14ac:dyDescent="0.25">
      <c r="J176" t="s">
        <v>1347</v>
      </c>
    </row>
    <row r="178" spans="10:10" x14ac:dyDescent="0.25">
      <c r="J178" t="s">
        <v>1348</v>
      </c>
    </row>
    <row r="179" spans="10:10" x14ac:dyDescent="0.25">
      <c r="J179" t="s">
        <v>1349</v>
      </c>
    </row>
    <row r="180" spans="10:10" x14ac:dyDescent="0.25">
      <c r="J180" t="s">
        <v>1350</v>
      </c>
    </row>
    <row r="181" spans="10:10" x14ac:dyDescent="0.25">
      <c r="J181" t="s">
        <v>1351</v>
      </c>
    </row>
    <row r="182" spans="10:10" x14ac:dyDescent="0.25">
      <c r="J182" t="s">
        <v>1352</v>
      </c>
    </row>
    <row r="183" spans="10:10" x14ac:dyDescent="0.25">
      <c r="J183" t="s">
        <v>1353</v>
      </c>
    </row>
    <row r="184" spans="10:10" x14ac:dyDescent="0.25">
      <c r="J184" t="s">
        <v>1345</v>
      </c>
    </row>
    <row r="185" spans="10:10" x14ac:dyDescent="0.25">
      <c r="J185" t="s">
        <v>1354</v>
      </c>
    </row>
    <row r="186" spans="10:10" x14ac:dyDescent="0.25">
      <c r="J186" t="s">
        <v>1347</v>
      </c>
    </row>
    <row r="188" spans="10:10" x14ac:dyDescent="0.25">
      <c r="J188" t="s">
        <v>1355</v>
      </c>
    </row>
    <row r="189" spans="10:10" x14ac:dyDescent="0.25">
      <c r="J189" t="s">
        <v>1356</v>
      </c>
    </row>
    <row r="191" spans="10:10" x14ac:dyDescent="0.25">
      <c r="J191" t="s">
        <v>1150</v>
      </c>
    </row>
    <row r="192" spans="10:10" x14ac:dyDescent="0.25">
      <c r="J192" t="s">
        <v>1357</v>
      </c>
    </row>
    <row r="193" spans="10:10" x14ac:dyDescent="0.25">
      <c r="J193" t="s">
        <v>1150</v>
      </c>
    </row>
    <row r="194" spans="10:10" x14ac:dyDescent="0.25">
      <c r="J194" t="s">
        <v>1320</v>
      </c>
    </row>
    <row r="195" spans="10:10" x14ac:dyDescent="0.25">
      <c r="J195" t="s">
        <v>1358</v>
      </c>
    </row>
    <row r="196" spans="10:10" x14ac:dyDescent="0.25">
      <c r="J196" t="s">
        <v>1280</v>
      </c>
    </row>
    <row r="198" spans="10:10" x14ac:dyDescent="0.25">
      <c r="J198" t="s">
        <v>1359</v>
      </c>
    </row>
    <row r="199" spans="10:10" x14ac:dyDescent="0.25">
      <c r="J199" t="s">
        <v>1360</v>
      </c>
    </row>
    <row r="201" spans="10:10" x14ac:dyDescent="0.25">
      <c r="J201" t="s">
        <v>1361</v>
      </c>
    </row>
    <row r="202" spans="10:10" x14ac:dyDescent="0.25">
      <c r="J202" t="s">
        <v>1362</v>
      </c>
    </row>
    <row r="203" spans="10:10" x14ac:dyDescent="0.25">
      <c r="J203" t="s">
        <v>1363</v>
      </c>
    </row>
    <row r="204" spans="10:10" x14ac:dyDescent="0.25">
      <c r="J204" t="s">
        <v>1364</v>
      </c>
    </row>
    <row r="205" spans="10:10" x14ac:dyDescent="0.25">
      <c r="J205" t="s">
        <v>1365</v>
      </c>
    </row>
    <row r="206" spans="10:10" x14ac:dyDescent="0.25">
      <c r="J206" t="s">
        <v>1343</v>
      </c>
    </row>
    <row r="207" spans="10:10" x14ac:dyDescent="0.25">
      <c r="J207" t="s">
        <v>1366</v>
      </c>
    </row>
    <row r="208" spans="10:10" x14ac:dyDescent="0.25">
      <c r="J208" t="s">
        <v>1367</v>
      </c>
    </row>
    <row r="210" spans="10:10" x14ac:dyDescent="0.25">
      <c r="J210" t="s">
        <v>1368</v>
      </c>
    </row>
    <row r="211" spans="10:10" x14ac:dyDescent="0.25">
      <c r="J211" t="s">
        <v>1369</v>
      </c>
    </row>
    <row r="213" spans="10:10" x14ac:dyDescent="0.25">
      <c r="J213" t="s">
        <v>1370</v>
      </c>
    </row>
    <row r="214" spans="10:10" x14ac:dyDescent="0.25">
      <c r="J214" t="s">
        <v>1371</v>
      </c>
    </row>
    <row r="215" spans="10:10" x14ac:dyDescent="0.25">
      <c r="J215" t="s">
        <v>1372</v>
      </c>
    </row>
    <row r="216" spans="10:10" x14ac:dyDescent="0.25">
      <c r="J216" t="s">
        <v>1373</v>
      </c>
    </row>
    <row r="218" spans="10:10" x14ac:dyDescent="0.25">
      <c r="J218" t="s">
        <v>1374</v>
      </c>
    </row>
    <row r="219" spans="10:10" x14ac:dyDescent="0.25">
      <c r="J219" t="s">
        <v>1375</v>
      </c>
    </row>
    <row r="221" spans="10:10" x14ac:dyDescent="0.25">
      <c r="J221" t="s">
        <v>1376</v>
      </c>
    </row>
    <row r="222" spans="10:10" x14ac:dyDescent="0.25">
      <c r="J222" t="s">
        <v>1377</v>
      </c>
    </row>
    <row r="224" spans="10:10" x14ac:dyDescent="0.25">
      <c r="J224" t="s">
        <v>1378</v>
      </c>
    </row>
    <row r="225" spans="10:10" x14ac:dyDescent="0.25">
      <c r="J225" t="s">
        <v>1379</v>
      </c>
    </row>
    <row r="226" spans="10:10" x14ac:dyDescent="0.25">
      <c r="J226" t="s">
        <v>1380</v>
      </c>
    </row>
    <row r="227" spans="10:10" x14ac:dyDescent="0.25">
      <c r="J227" t="s">
        <v>1381</v>
      </c>
    </row>
    <row r="228" spans="10:10" x14ac:dyDescent="0.25">
      <c r="J228" t="s">
        <v>1382</v>
      </c>
    </row>
    <row r="230" spans="10:10" x14ac:dyDescent="0.25">
      <c r="J230" t="s">
        <v>1383</v>
      </c>
    </row>
    <row r="231" spans="10:10" x14ac:dyDescent="0.25">
      <c r="J231" t="s">
        <v>1384</v>
      </c>
    </row>
    <row r="232" spans="10:10" x14ac:dyDescent="0.25">
      <c r="J232" t="s">
        <v>1385</v>
      </c>
    </row>
    <row r="233" spans="10:10" x14ac:dyDescent="0.25">
      <c r="J233" t="s">
        <v>1386</v>
      </c>
    </row>
    <row r="234" spans="10:10" x14ac:dyDescent="0.25">
      <c r="J234" t="s">
        <v>1387</v>
      </c>
    </row>
    <row r="236" spans="10:10" x14ac:dyDescent="0.25">
      <c r="J236" t="s">
        <v>1388</v>
      </c>
    </row>
    <row r="237" spans="10:10" x14ac:dyDescent="0.25">
      <c r="J237" t="s">
        <v>1389</v>
      </c>
    </row>
    <row r="238" spans="10:10" x14ac:dyDescent="0.25">
      <c r="J238" t="s">
        <v>1390</v>
      </c>
    </row>
    <row r="239" spans="10:10" x14ac:dyDescent="0.25">
      <c r="J239" t="s">
        <v>1391</v>
      </c>
    </row>
    <row r="240" spans="10:10" x14ac:dyDescent="0.25">
      <c r="J240" t="s">
        <v>1392</v>
      </c>
    </row>
    <row r="241" spans="10:10" x14ac:dyDescent="0.25">
      <c r="J241" t="s">
        <v>1393</v>
      </c>
    </row>
    <row r="243" spans="10:10" x14ac:dyDescent="0.25">
      <c r="J243" t="s">
        <v>1394</v>
      </c>
    </row>
    <row r="244" spans="10:10" x14ac:dyDescent="0.25">
      <c r="J244" t="s">
        <v>1395</v>
      </c>
    </row>
    <row r="245" spans="10:10" x14ac:dyDescent="0.25">
      <c r="J245" t="s">
        <v>1396</v>
      </c>
    </row>
    <row r="246" spans="10:10" x14ac:dyDescent="0.25">
      <c r="J246" t="s">
        <v>1397</v>
      </c>
    </row>
    <row r="247" spans="10:10" x14ac:dyDescent="0.25">
      <c r="J247" t="s">
        <v>1170</v>
      </c>
    </row>
    <row r="248" spans="10:10" x14ac:dyDescent="0.25">
      <c r="J248" t="s">
        <v>1398</v>
      </c>
    </row>
    <row r="249" spans="10:10" x14ac:dyDescent="0.25">
      <c r="J249" t="s">
        <v>1399</v>
      </c>
    </row>
    <row r="250" spans="10:10" x14ac:dyDescent="0.25">
      <c r="J250" t="s">
        <v>1243</v>
      </c>
    </row>
    <row r="251" spans="10:10" x14ac:dyDescent="0.25">
      <c r="J251" t="s">
        <v>1400</v>
      </c>
    </row>
    <row r="252" spans="10:10" x14ac:dyDescent="0.25">
      <c r="J252" t="s">
        <v>1401</v>
      </c>
    </row>
    <row r="253" spans="10:10" x14ac:dyDescent="0.25">
      <c r="J253" t="s">
        <v>1402</v>
      </c>
    </row>
    <row r="254" spans="10:10" x14ac:dyDescent="0.25">
      <c r="J254" t="s">
        <v>1403</v>
      </c>
    </row>
    <row r="255" spans="10:10" x14ac:dyDescent="0.25">
      <c r="J255" t="s">
        <v>1404</v>
      </c>
    </row>
    <row r="256" spans="10:10" x14ac:dyDescent="0.25">
      <c r="J256" t="s">
        <v>1405</v>
      </c>
    </row>
    <row r="257" spans="10:10" x14ac:dyDescent="0.25">
      <c r="J257" t="s">
        <v>1406</v>
      </c>
    </row>
    <row r="258" spans="10:10" x14ac:dyDescent="0.25">
      <c r="J258" t="s">
        <v>1407</v>
      </c>
    </row>
    <row r="259" spans="10:10" x14ac:dyDescent="0.25">
      <c r="J259" t="s">
        <v>1408</v>
      </c>
    </row>
    <row r="260" spans="10:10" x14ac:dyDescent="0.25">
      <c r="J260" t="s">
        <v>1409</v>
      </c>
    </row>
    <row r="261" spans="10:10" x14ac:dyDescent="0.25">
      <c r="J261" t="s">
        <v>1410</v>
      </c>
    </row>
    <row r="263" spans="10:10" x14ac:dyDescent="0.25">
      <c r="J263" t="s">
        <v>1411</v>
      </c>
    </row>
    <row r="264" spans="10:10" x14ac:dyDescent="0.25">
      <c r="J264" t="s">
        <v>1412</v>
      </c>
    </row>
    <row r="265" spans="10:10" x14ac:dyDescent="0.25">
      <c r="J265" t="s">
        <v>1413</v>
      </c>
    </row>
    <row r="266" spans="10:10" x14ac:dyDescent="0.25">
      <c r="J266" t="s">
        <v>1414</v>
      </c>
    </row>
    <row r="267" spans="10:10" x14ac:dyDescent="0.25">
      <c r="J267" t="s">
        <v>1415</v>
      </c>
    </row>
    <row r="269" spans="10:10" x14ac:dyDescent="0.25">
      <c r="J269" t="s">
        <v>1416</v>
      </c>
    </row>
    <row r="270" spans="10:10" x14ac:dyDescent="0.25">
      <c r="J270" t="s">
        <v>1417</v>
      </c>
    </row>
    <row r="271" spans="10:10" x14ac:dyDescent="0.25">
      <c r="J271" t="s">
        <v>1418</v>
      </c>
    </row>
    <row r="273" spans="10:10" x14ac:dyDescent="0.25">
      <c r="J273" t="s">
        <v>1419</v>
      </c>
    </row>
    <row r="274" spans="10:10" x14ac:dyDescent="0.25">
      <c r="J274" t="s">
        <v>1420</v>
      </c>
    </row>
    <row r="275" spans="10:10" x14ac:dyDescent="0.25">
      <c r="J275" t="s">
        <v>1421</v>
      </c>
    </row>
    <row r="276" spans="10:10" x14ac:dyDescent="0.25">
      <c r="J276" t="s">
        <v>1422</v>
      </c>
    </row>
    <row r="277" spans="10:10" x14ac:dyDescent="0.25">
      <c r="J277" t="s">
        <v>1423</v>
      </c>
    </row>
    <row r="279" spans="10:10" x14ac:dyDescent="0.25">
      <c r="J279" t="s">
        <v>1150</v>
      </c>
    </row>
    <row r="280" spans="10:10" x14ac:dyDescent="0.25">
      <c r="J280" t="s">
        <v>1424</v>
      </c>
    </row>
    <row r="281" spans="10:10" x14ac:dyDescent="0.25">
      <c r="J281" t="s">
        <v>1150</v>
      </c>
    </row>
    <row r="282" spans="10:10" x14ac:dyDescent="0.25">
      <c r="J282" t="s">
        <v>1320</v>
      </c>
    </row>
    <row r="283" spans="10:10" x14ac:dyDescent="0.25">
      <c r="J283" t="s">
        <v>1425</v>
      </c>
    </row>
    <row r="284" spans="10:10" x14ac:dyDescent="0.25">
      <c r="J284" t="s">
        <v>1280</v>
      </c>
    </row>
    <row r="286" spans="10:10" x14ac:dyDescent="0.25">
      <c r="J286" t="s">
        <v>1426</v>
      </c>
    </row>
    <row r="287" spans="10:10" x14ac:dyDescent="0.25">
      <c r="J287" t="s">
        <v>1427</v>
      </c>
    </row>
    <row r="288" spans="10:10" x14ac:dyDescent="0.25">
      <c r="J288" t="s">
        <v>1428</v>
      </c>
    </row>
    <row r="289" spans="10:10" x14ac:dyDescent="0.25">
      <c r="J289" t="s">
        <v>1429</v>
      </c>
    </row>
    <row r="290" spans="10:10" x14ac:dyDescent="0.25">
      <c r="J290" t="s">
        <v>1430</v>
      </c>
    </row>
    <row r="292" spans="10:10" x14ac:dyDescent="0.25">
      <c r="J292" t="s">
        <v>1431</v>
      </c>
    </row>
    <row r="294" spans="10:10" x14ac:dyDescent="0.25">
      <c r="J294" t="s">
        <v>1150</v>
      </c>
    </row>
    <row r="295" spans="10:10" x14ac:dyDescent="0.25">
      <c r="J295" t="s">
        <v>1432</v>
      </c>
    </row>
    <row r="296" spans="10:10" x14ac:dyDescent="0.25">
      <c r="J296" t="s">
        <v>1150</v>
      </c>
    </row>
    <row r="297" spans="10:10" x14ac:dyDescent="0.25">
      <c r="J297" t="s">
        <v>1320</v>
      </c>
    </row>
    <row r="298" spans="10:10" x14ac:dyDescent="0.25">
      <c r="J298" t="s">
        <v>1433</v>
      </c>
    </row>
    <row r="299" spans="10:10" x14ac:dyDescent="0.25">
      <c r="J299" t="s">
        <v>1280</v>
      </c>
    </row>
    <row r="301" spans="10:10" x14ac:dyDescent="0.25">
      <c r="J301" t="s">
        <v>1434</v>
      </c>
    </row>
    <row r="303" spans="10:10" x14ac:dyDescent="0.25">
      <c r="J303" t="s">
        <v>1435</v>
      </c>
    </row>
    <row r="304" spans="10:10" x14ac:dyDescent="0.25">
      <c r="J304" t="s">
        <v>1436</v>
      </c>
    </row>
    <row r="305" spans="10:10" x14ac:dyDescent="0.25">
      <c r="J305" t="s">
        <v>1437</v>
      </c>
    </row>
    <row r="307" spans="10:10" x14ac:dyDescent="0.25">
      <c r="J307" t="s">
        <v>1438</v>
      </c>
    </row>
    <row r="308" spans="10:10" x14ac:dyDescent="0.25">
      <c r="J308" t="s">
        <v>1439</v>
      </c>
    </row>
    <row r="309" spans="10:10" x14ac:dyDescent="0.25">
      <c r="J309" t="s">
        <v>1440</v>
      </c>
    </row>
    <row r="310" spans="10:10" x14ac:dyDescent="0.25">
      <c r="J310" t="s">
        <v>1441</v>
      </c>
    </row>
    <row r="311" spans="10:10" x14ac:dyDescent="0.25">
      <c r="J311" t="s">
        <v>1212</v>
      </c>
    </row>
    <row r="312" spans="10:10" x14ac:dyDescent="0.25">
      <c r="J312" t="s">
        <v>1442</v>
      </c>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8"/>
  <dimension ref="A1:H26"/>
  <sheetViews>
    <sheetView workbookViewId="0">
      <pane ySplit="2" topLeftCell="A3" activePane="bottomLeft" state="frozen"/>
      <selection pane="bottomLeft" activeCell="F11" sqref="F11"/>
    </sheetView>
  </sheetViews>
  <sheetFormatPr baseColWidth="10" defaultColWidth="9.140625" defaultRowHeight="15" x14ac:dyDescent="0.25"/>
  <cols>
    <col min="1" max="1" width="14.7109375" customWidth="1"/>
    <col min="2" max="2" width="28.7109375" customWidth="1"/>
    <col min="3" max="3" width="14.7109375" customWidth="1"/>
    <col min="4" max="4" width="12.7109375" customWidth="1"/>
    <col min="5" max="5" width="14.7109375" customWidth="1"/>
    <col min="6" max="6" width="65.7109375" customWidth="1"/>
    <col min="7" max="8" width="10.7109375" customWidth="1"/>
  </cols>
  <sheetData>
    <row r="1" spans="1:8" ht="32.1" customHeight="1" x14ac:dyDescent="0.25">
      <c r="A1" s="277" t="s">
        <v>585</v>
      </c>
      <c r="B1" s="254"/>
      <c r="C1" s="254"/>
      <c r="D1" s="254"/>
      <c r="E1" s="254"/>
      <c r="F1" s="254"/>
      <c r="G1" s="254"/>
      <c r="H1" s="254"/>
    </row>
    <row r="3" spans="1:8" ht="24.95" customHeight="1" x14ac:dyDescent="0.25">
      <c r="A3" s="287" t="s">
        <v>586</v>
      </c>
      <c r="B3" s="254"/>
      <c r="C3" s="254"/>
      <c r="D3" s="254"/>
      <c r="E3" s="254"/>
      <c r="F3" s="254"/>
      <c r="G3" s="254"/>
      <c r="H3" s="254"/>
    </row>
    <row r="4" spans="1:8" ht="21.95" customHeight="1" x14ac:dyDescent="0.25">
      <c r="A4" s="52" t="s">
        <v>587</v>
      </c>
      <c r="B4" s="52" t="s">
        <v>339</v>
      </c>
      <c r="C4" s="52" t="s">
        <v>547</v>
      </c>
      <c r="D4" s="52" t="s">
        <v>548</v>
      </c>
      <c r="E4" s="52" t="s">
        <v>551</v>
      </c>
      <c r="F4" s="52" t="s">
        <v>588</v>
      </c>
    </row>
    <row r="5" spans="1:8" s="53" customFormat="1" ht="36" customHeight="1" x14ac:dyDescent="0.25">
      <c r="A5" s="54" t="s">
        <v>589</v>
      </c>
      <c r="B5" s="53" t="s">
        <v>590</v>
      </c>
      <c r="C5" s="53">
        <f>IFERROR(INDEX('5.3_HYPOTHESES'!C:C,MATCH("H1: SUP -&gt; Q1",'5.3_HYPOTHESES'!A:A,0)),"A saisir")</f>
        <v>0.16799573079388649</v>
      </c>
      <c r="D5" s="53">
        <f>IFERROR(INDEX('5.3_HYPOTHESES'!D:D,MATCH("H1: SUP -&gt; Q1",'5.3_HYPOTHESES'!A:A,0)),"A saisir")</f>
        <v>0.17417627109125927</v>
      </c>
      <c r="E5" s="54" t="str">
        <f>IFERROR(INDEX('5.3_HYPOTHESES'!G:G,MATCH("H1: SUP -&gt; Q1",'5.3_HYPOTHESES'!A:A,0)),"A saisir")</f>
        <v>INFIRMEE</v>
      </c>
      <c r="F5" s="93" t="s">
        <v>591</v>
      </c>
    </row>
    <row r="6" spans="1:8" s="53" customFormat="1" ht="36" customHeight="1" x14ac:dyDescent="0.25">
      <c r="A6" s="54" t="s">
        <v>592</v>
      </c>
      <c r="B6" s="53" t="s">
        <v>593</v>
      </c>
      <c r="C6" s="53">
        <f>IFERROR(INDEX('5.3_HYPOTHESES'!C:C,MATCH("H2: SFU -&gt; Q1",'5.3_HYPOTHESES'!A:A,0)),"A saisir")</f>
        <v>0.3249278719182116</v>
      </c>
      <c r="D6" s="53">
        <f>IFERROR(INDEX('5.3_HYPOTHESES'!D:D,MATCH("H2: SFU -&gt; Q1",'5.3_HYPOTHESES'!A:A,0)),"A saisir")</f>
        <v>7.3005317475038451E-3</v>
      </c>
      <c r="E6" s="54" t="str">
        <f>IFERROR(INDEX('5.3_HYPOTHESES'!G:G,MATCH("H2: SFU -&gt; Q1",'5.3_HYPOTHESES'!A:A,0)),"A saisir")</f>
        <v>CONFIRMEE</v>
      </c>
      <c r="F6" s="93" t="s">
        <v>594</v>
      </c>
    </row>
    <row r="7" spans="1:8" s="58" customFormat="1" ht="36" customHeight="1" x14ac:dyDescent="0.25">
      <c r="A7" s="59" t="s">
        <v>595</v>
      </c>
      <c r="B7" s="58" t="s">
        <v>596</v>
      </c>
      <c r="C7" s="58">
        <f>IFERROR(INDEX('5.3_HYPOTHESES'!C:C,MATCH("H3a: SRP -&gt; Q17",'5.3_HYPOTHESES'!A:A,0)),"A saisir")</f>
        <v>0.30950561196222048</v>
      </c>
      <c r="D7" s="58">
        <f>IFERROR(INDEX('5.3_HYPOTHESES'!D:D,MATCH("H3a: SRP -&gt; Q17",'5.3_HYPOTHESES'!A:A,0)),"A saisir")</f>
        <v>1.0814038085717938E-2</v>
      </c>
      <c r="E7" s="59" t="str">
        <f>IFERROR(INDEX('5.3_HYPOTHESES'!G:G,MATCH("H3a: SRP -&gt; Q17",'5.3_HYPOTHESES'!A:A,0)),"A saisir")</f>
        <v>CONFIRMEE</v>
      </c>
      <c r="F7" s="94" t="s">
        <v>597</v>
      </c>
    </row>
    <row r="8" spans="1:8" s="58" customFormat="1" ht="36" customHeight="1" x14ac:dyDescent="0.25">
      <c r="A8" s="59" t="s">
        <v>598</v>
      </c>
      <c r="B8" s="58" t="s">
        <v>599</v>
      </c>
      <c r="C8" s="58" t="str">
        <f>IFERROR(INDEX('5.3_HYPOTHESES'!C:C,MATCH("H3b: SRP -&gt; Q1",'5.3_HYPOTHESES'!A:A,0)),"A saisir")</f>
        <v>A saisir</v>
      </c>
      <c r="D8" s="58" t="str">
        <f>IFERROR(INDEX('5.3_HYPOTHESES'!D:D,MATCH("H3b: SRP -&gt; Q1",'5.3_HYPOTHESES'!A:A,0)),"A saisir")</f>
        <v>A saisir</v>
      </c>
      <c r="E8" s="59" t="str">
        <f>IFERROR(INDEX('5.3_HYPOTHESES'!G:G,MATCH("H3b: SRP -&gt; Q1",'5.3_HYPOTHESES'!A:A,0)),"A saisir")</f>
        <v>A saisir</v>
      </c>
      <c r="F8" s="94" t="s">
        <v>600</v>
      </c>
    </row>
    <row r="9" spans="1:8" s="61" customFormat="1" ht="36" customHeight="1" x14ac:dyDescent="0.25">
      <c r="A9" s="62" t="s">
        <v>601</v>
      </c>
      <c r="B9" s="61" t="s">
        <v>602</v>
      </c>
      <c r="C9" s="61">
        <f>IFERROR(INDEX('5.3_HYPOTHESES'!C:C,MATCH("H4a: moderation",'5.3_HYPOTHESES'!A:A,0)),"A saisir")</f>
        <v>0</v>
      </c>
      <c r="D9" s="61">
        <f>IFERROR(INDEX('5.3_HYPOTHESES'!D:D,MATCH("H4a: moderation",'5.3_HYPOTHESES'!A:A,0)),"A saisir")</f>
        <v>0</v>
      </c>
      <c r="E9" s="62" t="str">
        <f>IFERROR(INDEX('5.3_HYPOTHESES'!G:G,MATCH("H4a: moderation",'5.3_HYPOTHESES'!A:A,0)),"A saisir")</f>
        <v>A saisir</v>
      </c>
      <c r="F9" s="95" t="s">
        <v>603</v>
      </c>
    </row>
    <row r="10" spans="1:8" s="64" customFormat="1" ht="36" customHeight="1" x14ac:dyDescent="0.25">
      <c r="A10" s="65" t="s">
        <v>604</v>
      </c>
      <c r="B10" s="64" t="s">
        <v>605</v>
      </c>
      <c r="C10" s="64">
        <f>IFERROR(INDEX('5.3_HYPOTHESES'!C:C,MATCH("H4b-1: SMF -&gt; SS",'5.3_HYPOTHESES'!A:A,0)),"A saisir")</f>
        <v>0.18957620665689032</v>
      </c>
      <c r="D10" s="64">
        <f>IFERROR(INDEX('5.3_HYPOTHESES'!D:D,MATCH("H4b-1: SMF -&gt; SS",'5.3_HYPOTHESES'!A:A,0)),"A saisir")</f>
        <v>0.12441185721232748</v>
      </c>
      <c r="E10" s="65" t="str">
        <f>IFERROR(INDEX('5.3_HYPOTHESES'!G:G,MATCH("H4b-1: SMF -&gt; SS",'5.3_HYPOTHESES'!A:A,0)),"A saisir")</f>
        <v>INFIRMEE</v>
      </c>
      <c r="F10" s="96" t="s">
        <v>606</v>
      </c>
    </row>
    <row r="11" spans="1:8" s="64" customFormat="1" ht="36" customHeight="1" x14ac:dyDescent="0.25">
      <c r="A11" s="65" t="s">
        <v>607</v>
      </c>
      <c r="B11" s="64" t="s">
        <v>608</v>
      </c>
      <c r="C11" s="64">
        <f>IFERROR(INDEX('5.3_HYPOTHESES'!C:C,MATCH("H4b-2: SRP -&gt; SS",'5.3_HYPOTHESES'!A:A,0)),"A saisir")</f>
        <v>0.11261127342095291</v>
      </c>
      <c r="D11" s="64">
        <f>IFERROR(INDEX('5.3_HYPOTHESES'!D:D,MATCH("H4b-2: SRP -&gt; SS",'5.3_HYPOTHESES'!A:A,0)),"A saisir")</f>
        <v>0.36424451291437565</v>
      </c>
      <c r="E11" s="65" t="str">
        <f>IFERROR(INDEX('5.3_HYPOTHESES'!G:G,MATCH("H4b-2: SRP -&gt; SS",'5.3_HYPOTHESES'!A:A,0)),"A saisir")</f>
        <v>INFIRMEE</v>
      </c>
      <c r="F11" s="96" t="s">
        <v>609</v>
      </c>
    </row>
    <row r="12" spans="1:8" ht="27.95" customHeight="1" x14ac:dyDescent="0.25">
      <c r="A12" s="288" t="s">
        <v>610</v>
      </c>
      <c r="B12" s="254"/>
      <c r="C12" s="254"/>
      <c r="D12" s="254"/>
      <c r="E12" s="254"/>
      <c r="F12" s="254"/>
      <c r="G12" s="254"/>
      <c r="H12" s="254"/>
    </row>
    <row r="14" spans="1:8" ht="27.95" customHeight="1" x14ac:dyDescent="0.25">
      <c r="A14" s="277" t="s">
        <v>611</v>
      </c>
      <c r="B14" s="254"/>
      <c r="C14" s="254"/>
      <c r="D14" s="254"/>
      <c r="E14" s="254"/>
      <c r="F14" s="254"/>
      <c r="G14" s="254"/>
      <c r="H14" s="254"/>
    </row>
    <row r="15" spans="1:8" ht="21.95" customHeight="1" x14ac:dyDescent="0.25">
      <c r="A15" s="276" t="s">
        <v>612</v>
      </c>
      <c r="B15" s="254"/>
      <c r="C15" s="254"/>
      <c r="D15" s="254"/>
      <c r="E15" s="254"/>
      <c r="F15" s="254"/>
      <c r="G15" s="254"/>
      <c r="H15" s="254"/>
    </row>
    <row r="16" spans="1:8" ht="51.95" customHeight="1" x14ac:dyDescent="0.25">
      <c r="A16" s="315" t="s">
        <v>613</v>
      </c>
      <c r="B16" s="254"/>
      <c r="C16" s="254"/>
      <c r="D16" s="254"/>
      <c r="E16" s="254"/>
      <c r="F16" s="254"/>
      <c r="G16" s="254"/>
      <c r="H16" s="254"/>
    </row>
    <row r="17" spans="1:8" ht="21.95" customHeight="1" x14ac:dyDescent="0.25">
      <c r="A17" s="276" t="s">
        <v>614</v>
      </c>
      <c r="B17" s="254"/>
      <c r="C17" s="254"/>
      <c r="D17" s="254"/>
      <c r="E17" s="254"/>
      <c r="F17" s="254"/>
      <c r="G17" s="254"/>
      <c r="H17" s="254"/>
    </row>
    <row r="18" spans="1:8" ht="51.95" customHeight="1" x14ac:dyDescent="0.25">
      <c r="A18" s="314" t="s">
        <v>615</v>
      </c>
      <c r="B18" s="254"/>
      <c r="C18" s="254"/>
      <c r="D18" s="254"/>
      <c r="E18" s="254"/>
      <c r="F18" s="254"/>
      <c r="G18" s="254"/>
      <c r="H18" s="254"/>
    </row>
    <row r="19" spans="1:8" ht="21.95" customHeight="1" x14ac:dyDescent="0.25">
      <c r="A19" s="276" t="s">
        <v>616</v>
      </c>
      <c r="B19" s="254"/>
      <c r="C19" s="254"/>
      <c r="D19" s="254"/>
      <c r="E19" s="254"/>
      <c r="F19" s="254"/>
      <c r="G19" s="254"/>
      <c r="H19" s="254"/>
    </row>
    <row r="20" spans="1:8" ht="51.95" customHeight="1" x14ac:dyDescent="0.25">
      <c r="A20" s="316" t="s">
        <v>617</v>
      </c>
      <c r="B20" s="254"/>
      <c r="C20" s="254"/>
      <c r="D20" s="254"/>
      <c r="E20" s="254"/>
      <c r="F20" s="254"/>
      <c r="G20" s="254"/>
      <c r="H20" s="254"/>
    </row>
    <row r="21" spans="1:8" ht="21.95" customHeight="1" x14ac:dyDescent="0.25">
      <c r="A21" s="276" t="s">
        <v>618</v>
      </c>
      <c r="B21" s="254"/>
      <c r="C21" s="254"/>
      <c r="D21" s="254"/>
      <c r="E21" s="254"/>
      <c r="F21" s="254"/>
      <c r="G21" s="254"/>
      <c r="H21" s="254"/>
    </row>
    <row r="22" spans="1:8" ht="51.95" customHeight="1" x14ac:dyDescent="0.25">
      <c r="A22" s="313" t="s">
        <v>619</v>
      </c>
      <c r="B22" s="254"/>
      <c r="C22" s="254"/>
      <c r="D22" s="254"/>
      <c r="E22" s="254"/>
      <c r="F22" s="254"/>
      <c r="G22" s="254"/>
      <c r="H22" s="254"/>
    </row>
    <row r="23" spans="1:8" ht="21.95" customHeight="1" x14ac:dyDescent="0.25">
      <c r="A23" s="276" t="s">
        <v>620</v>
      </c>
      <c r="B23" s="254"/>
      <c r="C23" s="254"/>
      <c r="D23" s="254"/>
      <c r="E23" s="254"/>
      <c r="F23" s="254"/>
      <c r="G23" s="254"/>
      <c r="H23" s="254"/>
    </row>
    <row r="24" spans="1:8" ht="51.95" customHeight="1" x14ac:dyDescent="0.25">
      <c r="A24" s="317" t="s">
        <v>621</v>
      </c>
      <c r="B24" s="254"/>
      <c r="C24" s="254"/>
      <c r="D24" s="254"/>
      <c r="E24" s="254"/>
      <c r="F24" s="254"/>
      <c r="G24" s="254"/>
      <c r="H24" s="254"/>
    </row>
    <row r="25" spans="1:8" ht="21.95" customHeight="1" x14ac:dyDescent="0.25">
      <c r="A25" s="276" t="s">
        <v>622</v>
      </c>
      <c r="B25" s="254"/>
      <c r="C25" s="254"/>
      <c r="D25" s="254"/>
      <c r="E25" s="254"/>
      <c r="F25" s="254"/>
      <c r="G25" s="254"/>
      <c r="H25" s="254"/>
    </row>
    <row r="26" spans="1:8" ht="44.1" customHeight="1" x14ac:dyDescent="0.25">
      <c r="A26" s="315" t="s">
        <v>623</v>
      </c>
      <c r="B26" s="254"/>
      <c r="C26" s="254"/>
      <c r="D26" s="254"/>
      <c r="E26" s="254"/>
      <c r="F26" s="254"/>
      <c r="G26" s="254"/>
      <c r="H26" s="254"/>
    </row>
  </sheetData>
  <mergeCells count="16">
    <mergeCell ref="A26:H26"/>
    <mergeCell ref="A3:H3"/>
    <mergeCell ref="A21:H21"/>
    <mergeCell ref="A15:H15"/>
    <mergeCell ref="A25:H25"/>
    <mergeCell ref="A20:H20"/>
    <mergeCell ref="A24:H24"/>
    <mergeCell ref="A16:H16"/>
    <mergeCell ref="A19:H19"/>
    <mergeCell ref="A14:H14"/>
    <mergeCell ref="A1:H1"/>
    <mergeCell ref="A23:H23"/>
    <mergeCell ref="A22:H22"/>
    <mergeCell ref="A17:H17"/>
    <mergeCell ref="A12:H12"/>
    <mergeCell ref="A18:H18"/>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094CD-BF13-4233-A89C-4A66F3060AED}">
  <dimension ref="A1:J55"/>
  <sheetViews>
    <sheetView workbookViewId="0">
      <selection sqref="A1:G1"/>
    </sheetView>
  </sheetViews>
  <sheetFormatPr baseColWidth="10" defaultRowHeight="15" x14ac:dyDescent="0.25"/>
  <cols>
    <col min="1" max="1" width="9.5703125" customWidth="1"/>
    <col min="2" max="2" width="47.5703125" customWidth="1"/>
    <col min="3" max="4" width="13.28515625" customWidth="1"/>
  </cols>
  <sheetData>
    <row r="1" spans="1:10" ht="18.75" x14ac:dyDescent="0.3">
      <c r="A1" s="329" t="s">
        <v>1011</v>
      </c>
      <c r="B1" s="329"/>
      <c r="C1" s="329"/>
      <c r="D1" s="329"/>
      <c r="E1" s="329"/>
      <c r="F1" s="329"/>
      <c r="G1" s="329"/>
    </row>
    <row r="3" spans="1:10" x14ac:dyDescent="0.25">
      <c r="A3" s="318" t="s">
        <v>1012</v>
      </c>
      <c r="B3" s="318"/>
      <c r="C3" s="318"/>
      <c r="D3" s="318"/>
      <c r="E3" s="318"/>
      <c r="F3" s="318"/>
      <c r="G3" s="318"/>
      <c r="H3" s="318"/>
      <c r="I3" s="318"/>
      <c r="J3" s="318"/>
    </row>
    <row r="4" spans="1:10" x14ac:dyDescent="0.25">
      <c r="A4" s="231" t="s">
        <v>1013</v>
      </c>
      <c r="B4" s="231" t="s">
        <v>886</v>
      </c>
      <c r="C4" s="231" t="s">
        <v>1014</v>
      </c>
      <c r="D4" s="231" t="s">
        <v>1015</v>
      </c>
    </row>
    <row r="5" spans="1:10" x14ac:dyDescent="0.25">
      <c r="A5" s="232">
        <v>1</v>
      </c>
      <c r="B5" s="232" t="s">
        <v>308</v>
      </c>
      <c r="C5" s="232" t="s">
        <v>8</v>
      </c>
      <c r="D5" s="232">
        <f>'0_PREPARATION'!B6</f>
        <v>85</v>
      </c>
      <c r="E5" t="s">
        <v>1013</v>
      </c>
      <c r="F5" s="239" t="s">
        <v>1015</v>
      </c>
    </row>
    <row r="6" spans="1:10" x14ac:dyDescent="0.25">
      <c r="A6" s="193">
        <v>2</v>
      </c>
      <c r="B6" s="193" t="s">
        <v>1016</v>
      </c>
      <c r="C6" s="193">
        <f>'0_PREPARATION'!B7</f>
        <v>5</v>
      </c>
      <c r="D6" s="193">
        <f>D5-C6</f>
        <v>80</v>
      </c>
      <c r="E6" t="s">
        <v>1136</v>
      </c>
      <c r="F6">
        <f>D5</f>
        <v>85</v>
      </c>
    </row>
    <row r="7" spans="1:10" x14ac:dyDescent="0.25">
      <c r="A7" s="232">
        <v>3</v>
      </c>
      <c r="B7" s="232" t="s">
        <v>1017</v>
      </c>
      <c r="C7" s="232">
        <f>'0_PREPARATION'!B8</f>
        <v>6</v>
      </c>
      <c r="D7" s="232">
        <f>D6-C7</f>
        <v>74</v>
      </c>
      <c r="E7" t="s">
        <v>1137</v>
      </c>
      <c r="F7">
        <f>D6</f>
        <v>80</v>
      </c>
    </row>
    <row r="8" spans="1:10" x14ac:dyDescent="0.25">
      <c r="A8" s="193">
        <v>4</v>
      </c>
      <c r="B8" s="193" t="s">
        <v>1018</v>
      </c>
      <c r="C8" s="193">
        <f>'0_PREPARATION'!B9</f>
        <v>8</v>
      </c>
      <c r="D8" s="193">
        <f>D7-C8</f>
        <v>66</v>
      </c>
      <c r="E8" t="s">
        <v>1138</v>
      </c>
      <c r="F8">
        <f>D7</f>
        <v>74</v>
      </c>
    </row>
    <row r="9" spans="1:10" x14ac:dyDescent="0.25">
      <c r="A9" s="233">
        <v>5</v>
      </c>
      <c r="B9" s="233" t="s">
        <v>315</v>
      </c>
      <c r="C9" s="233" t="s">
        <v>8</v>
      </c>
      <c r="D9" s="233">
        <v>67</v>
      </c>
      <c r="E9" t="s">
        <v>1139</v>
      </c>
      <c r="F9">
        <f>D9</f>
        <v>67</v>
      </c>
    </row>
    <row r="11" spans="1:10" x14ac:dyDescent="0.25">
      <c r="A11" s="318" t="s">
        <v>1019</v>
      </c>
      <c r="B11" s="318"/>
      <c r="C11" s="318"/>
      <c r="D11" s="318"/>
    </row>
    <row r="12" spans="1:10" x14ac:dyDescent="0.25">
      <c r="A12" s="231" t="s">
        <v>393</v>
      </c>
      <c r="B12" s="231" t="s">
        <v>379</v>
      </c>
      <c r="C12" s="231" t="s">
        <v>380</v>
      </c>
    </row>
    <row r="13" spans="1:10" x14ac:dyDescent="0.25">
      <c r="A13" s="193" t="str">
        <f>'5.1_PROFIL_ECHANTILLON'!A6</f>
        <v>18-25</v>
      </c>
      <c r="B13" s="193">
        <f>'5.1_PROFIL_ECHANTILLON'!B6</f>
        <v>32</v>
      </c>
      <c r="C13" s="193">
        <f>'5.1_PROFIL_ECHANTILLON'!C6</f>
        <v>0.47799999999999998</v>
      </c>
    </row>
    <row r="14" spans="1:10" x14ac:dyDescent="0.25">
      <c r="A14" s="232" t="str">
        <f>'5.1_PROFIL_ECHANTILLON'!A7</f>
        <v>26-35</v>
      </c>
      <c r="B14" s="232">
        <f>'5.1_PROFIL_ECHANTILLON'!B7</f>
        <v>17</v>
      </c>
      <c r="C14" s="232">
        <f>'5.1_PROFIL_ECHANTILLON'!C7</f>
        <v>0.254</v>
      </c>
    </row>
    <row r="15" spans="1:10" x14ac:dyDescent="0.25">
      <c r="A15" s="193" t="str">
        <f>'5.1_PROFIL_ECHANTILLON'!A8</f>
        <v>36-45</v>
      </c>
      <c r="B15" s="193">
        <f>'5.1_PROFIL_ECHANTILLON'!B8</f>
        <v>9</v>
      </c>
      <c r="C15" s="193">
        <f>'5.1_PROFIL_ECHANTILLON'!C8</f>
        <v>0.13400000000000001</v>
      </c>
    </row>
    <row r="16" spans="1:10" x14ac:dyDescent="0.25">
      <c r="A16" s="232" t="str">
        <f>'5.1_PROFIL_ECHANTILLON'!A9</f>
        <v>46-55</v>
      </c>
      <c r="B16" s="232">
        <f>'5.1_PROFIL_ECHANTILLON'!B9</f>
        <v>5</v>
      </c>
      <c r="C16" s="232">
        <f>'5.1_PROFIL_ECHANTILLON'!C9</f>
        <v>7.4999999999999997E-2</v>
      </c>
    </row>
    <row r="17" spans="1:4" x14ac:dyDescent="0.25">
      <c r="A17" s="193" t="str">
        <f>'5.1_PROFIL_ECHANTILLON'!A10</f>
        <v>56-65</v>
      </c>
      <c r="B17" s="193">
        <f>'5.1_PROFIL_ECHANTILLON'!B10</f>
        <v>3</v>
      </c>
      <c r="C17" s="193">
        <f>'5.1_PROFIL_ECHANTILLON'!C10</f>
        <v>4.4999999999999998E-2</v>
      </c>
    </row>
    <row r="18" spans="1:4" x14ac:dyDescent="0.25">
      <c r="A18" s="232" t="str">
        <f>'5.1_PROFIL_ECHANTILLON'!A11</f>
        <v>+65</v>
      </c>
      <c r="B18" s="232">
        <f>'5.1_PROFIL_ECHANTILLON'!B11</f>
        <v>1</v>
      </c>
      <c r="C18" s="232">
        <f>'5.1_PROFIL_ECHANTILLON'!C11</f>
        <v>1.4999999999999999E-2</v>
      </c>
    </row>
    <row r="19" spans="1:4" x14ac:dyDescent="0.25">
      <c r="A19" s="233" t="s">
        <v>648</v>
      </c>
      <c r="B19" s="233">
        <f>SUM(B13:B18)</f>
        <v>67</v>
      </c>
      <c r="C19" s="234">
        <v>1</v>
      </c>
    </row>
    <row r="21" spans="1:4" x14ac:dyDescent="0.25">
      <c r="A21" s="318" t="s">
        <v>1020</v>
      </c>
      <c r="B21" s="318"/>
      <c r="C21" s="318"/>
      <c r="D21" s="318"/>
    </row>
    <row r="22" spans="1:4" x14ac:dyDescent="0.25">
      <c r="A22" s="231" t="s">
        <v>393</v>
      </c>
      <c r="B22" s="231" t="s">
        <v>379</v>
      </c>
      <c r="C22" s="231" t="s">
        <v>380</v>
      </c>
    </row>
    <row r="23" spans="1:4" x14ac:dyDescent="0.25">
      <c r="A23" s="193" t="str">
        <f>'5.1_PROFIL_ECHANTILLON'!A15</f>
        <v>Femme</v>
      </c>
      <c r="B23" s="193">
        <f>'5.1_PROFIL_ECHANTILLON'!B15</f>
        <v>22</v>
      </c>
      <c r="C23" s="193">
        <f>'5.1_PROFIL_ECHANTILLON'!C15</f>
        <v>0.32800000000000001</v>
      </c>
    </row>
    <row r="24" spans="1:4" x14ac:dyDescent="0.25">
      <c r="A24" s="232" t="str">
        <f>'5.1_PROFIL_ECHANTILLON'!A16</f>
        <v>Homme</v>
      </c>
      <c r="B24" s="232">
        <f>'5.1_PROFIL_ECHANTILLON'!B16</f>
        <v>45</v>
      </c>
      <c r="C24" s="232">
        <f>'5.1_PROFIL_ECHANTILLON'!C16</f>
        <v>0.67200000000000004</v>
      </c>
    </row>
    <row r="25" spans="1:4" x14ac:dyDescent="0.25">
      <c r="A25" s="233" t="s">
        <v>648</v>
      </c>
      <c r="B25" s="233">
        <f>SUM(B23:B24)</f>
        <v>67</v>
      </c>
      <c r="C25" s="234">
        <v>1</v>
      </c>
    </row>
    <row r="27" spans="1:4" x14ac:dyDescent="0.25">
      <c r="A27" s="318" t="s">
        <v>1021</v>
      </c>
      <c r="B27" s="318"/>
      <c r="C27" s="318"/>
      <c r="D27" s="318"/>
    </row>
    <row r="28" spans="1:4" x14ac:dyDescent="0.25">
      <c r="A28" s="231" t="s">
        <v>393</v>
      </c>
      <c r="B28" s="231" t="s">
        <v>379</v>
      </c>
      <c r="C28" s="231" t="s">
        <v>380</v>
      </c>
    </row>
    <row r="29" spans="1:4" x14ac:dyDescent="0.25">
      <c r="A29" s="193" t="str">
        <f>'5.1_PROFIL_ECHANTILLON'!A20</f>
        <v>Junior</v>
      </c>
      <c r="B29" s="193">
        <f>'5.1_PROFIL_ECHANTILLON'!B20</f>
        <v>32</v>
      </c>
      <c r="C29" s="193">
        <f>'5.1_PROFIL_ECHANTILLON'!C20</f>
        <v>0.47799999999999998</v>
      </c>
    </row>
    <row r="30" spans="1:4" x14ac:dyDescent="0.25">
      <c r="A30" s="232" t="str">
        <f>'5.1_PROFIL_ECHANTILLON'!A21</f>
        <v>Senior-Manager</v>
      </c>
      <c r="B30" s="232">
        <f>'5.1_PROFIL_ECHANTILLON'!B21</f>
        <v>17</v>
      </c>
      <c r="C30" s="232">
        <f>'5.1_PROFIL_ECHANTILLON'!C21</f>
        <v>0.254</v>
      </c>
    </row>
    <row r="31" spans="1:4" x14ac:dyDescent="0.25">
      <c r="A31" s="193" t="str">
        <f>'5.1_PROFIL_ECHANTILLON'!A22</f>
        <v>Associe</v>
      </c>
      <c r="B31" s="193">
        <f>'5.1_PROFIL_ECHANTILLON'!B22</f>
        <v>18</v>
      </c>
      <c r="C31" s="193">
        <f>'5.1_PROFIL_ECHANTILLON'!C22</f>
        <v>0.26900000000000002</v>
      </c>
    </row>
    <row r="32" spans="1:4" x14ac:dyDescent="0.25">
      <c r="A32" s="233" t="s">
        <v>648</v>
      </c>
      <c r="B32" s="233">
        <f>SUM(B29:B31)</f>
        <v>67</v>
      </c>
      <c r="C32" s="234">
        <v>1</v>
      </c>
    </row>
    <row r="34" spans="1:4" x14ac:dyDescent="0.25">
      <c r="A34" s="318" t="s">
        <v>1022</v>
      </c>
      <c r="B34" s="318"/>
      <c r="C34" s="318"/>
      <c r="D34" s="318"/>
    </row>
    <row r="35" spans="1:4" x14ac:dyDescent="0.25">
      <c r="A35" s="231" t="s">
        <v>393</v>
      </c>
      <c r="B35" s="231" t="s">
        <v>379</v>
      </c>
      <c r="C35" s="231" t="s">
        <v>380</v>
      </c>
    </row>
    <row r="36" spans="1:4" x14ac:dyDescent="0.25">
      <c r="A36" s="193" t="str">
        <f>'5.1_PROFIL_ECHANTILLON'!A26</f>
        <v>Moins de 2 ans</v>
      </c>
      <c r="B36" s="193">
        <f>'5.1_PROFIL_ECHANTILLON'!B26</f>
        <v>23</v>
      </c>
      <c r="C36" s="193">
        <f>'5.1_PROFIL_ECHANTILLON'!C26</f>
        <v>0.34300000000000003</v>
      </c>
    </row>
    <row r="37" spans="1:4" x14ac:dyDescent="0.25">
      <c r="A37" s="232" t="str">
        <f>'5.1_PROFIL_ECHANTILLON'!A27</f>
        <v>2 - 3 ans</v>
      </c>
      <c r="B37" s="232">
        <f>'5.1_PROFIL_ECHANTILLON'!B27</f>
        <v>13</v>
      </c>
      <c r="C37" s="232">
        <f>'5.1_PROFIL_ECHANTILLON'!C27</f>
        <v>0.19400000000000001</v>
      </c>
    </row>
    <row r="38" spans="1:4" x14ac:dyDescent="0.25">
      <c r="A38" s="193" t="str">
        <f>'5.1_PROFIL_ECHANTILLON'!A28</f>
        <v>4  - 5 ans</v>
      </c>
      <c r="B38" s="193">
        <f>'5.1_PROFIL_ECHANTILLON'!B28</f>
        <v>7</v>
      </c>
      <c r="C38" s="193">
        <f>'5.1_PROFIL_ECHANTILLON'!C28</f>
        <v>0.104</v>
      </c>
    </row>
    <row r="39" spans="1:4" x14ac:dyDescent="0.25">
      <c r="A39" s="232" t="str">
        <f>'5.1_PROFIL_ECHANTILLON'!A29</f>
        <v>6  - 7 ans</v>
      </c>
      <c r="B39" s="232">
        <f>'5.1_PROFIL_ECHANTILLON'!B29</f>
        <v>3</v>
      </c>
      <c r="C39" s="232">
        <f>'5.1_PROFIL_ECHANTILLON'!C29</f>
        <v>4.4999999999999998E-2</v>
      </c>
    </row>
    <row r="40" spans="1:4" x14ac:dyDescent="0.25">
      <c r="A40" s="193" t="str">
        <f>'5.1_PROFIL_ECHANTILLON'!A30</f>
        <v>8 - 10 ans</v>
      </c>
      <c r="B40" s="193">
        <f>'5.1_PROFIL_ECHANTILLON'!B30</f>
        <v>1</v>
      </c>
      <c r="C40" s="193">
        <f>'5.1_PROFIL_ECHANTILLON'!C30</f>
        <v>1.4999999999999999E-2</v>
      </c>
    </row>
    <row r="41" spans="1:4" x14ac:dyDescent="0.25">
      <c r="A41" s="232" t="str">
        <f>'5.1_PROFIL_ECHANTILLON'!A31</f>
        <v>Plus de 10 ans</v>
      </c>
      <c r="B41" s="232">
        <f>'5.1_PROFIL_ECHANTILLON'!B31</f>
        <v>20</v>
      </c>
      <c r="C41" s="232">
        <f>'5.1_PROFIL_ECHANTILLON'!C31</f>
        <v>0.29899999999999999</v>
      </c>
    </row>
    <row r="42" spans="1:4" x14ac:dyDescent="0.25">
      <c r="A42" s="233" t="s">
        <v>648</v>
      </c>
      <c r="B42" s="233">
        <f>SUM(B36:B41)</f>
        <v>67</v>
      </c>
      <c r="C42" s="234">
        <v>1</v>
      </c>
    </row>
    <row r="44" spans="1:4" x14ac:dyDescent="0.25">
      <c r="A44" s="318" t="s">
        <v>1023</v>
      </c>
      <c r="B44" s="318"/>
      <c r="C44" s="318"/>
      <c r="D44" s="318"/>
    </row>
    <row r="45" spans="1:4" x14ac:dyDescent="0.25">
      <c r="A45" s="231" t="s">
        <v>393</v>
      </c>
      <c r="B45" s="231" t="s">
        <v>379</v>
      </c>
      <c r="C45" s="231" t="s">
        <v>380</v>
      </c>
    </row>
    <row r="46" spans="1:4" x14ac:dyDescent="0.25">
      <c r="A46" s="193" t="str">
        <f>'5.1_PROFIL_ECHANTILLON'!A42</f>
        <v>Cabinet international</v>
      </c>
      <c r="B46" s="193">
        <f>'5.1_PROFIL_ECHANTILLON'!B42</f>
        <v>37</v>
      </c>
      <c r="C46" s="193">
        <f>'5.1_PROFIL_ECHANTILLON'!C42</f>
        <v>0.55200000000000005</v>
      </c>
    </row>
    <row r="47" spans="1:4" x14ac:dyDescent="0.25">
      <c r="A47" s="232" t="str">
        <f>'5.1_PROFIL_ECHANTILLON'!A43</f>
        <v>Cabinet local</v>
      </c>
      <c r="B47" s="232">
        <f>'5.1_PROFIL_ECHANTILLON'!B43</f>
        <v>19</v>
      </c>
      <c r="C47" s="232">
        <f>'5.1_PROFIL_ECHANTILLON'!C43</f>
        <v>0.28399999999999997</v>
      </c>
    </row>
    <row r="48" spans="1:4" x14ac:dyDescent="0.25">
      <c r="A48" s="193" t="str">
        <f>'5.1_PROFIL_ECHANTILLON'!A44</f>
        <v>Cabinet regional</v>
      </c>
      <c r="B48" s="193">
        <f>'5.1_PROFIL_ECHANTILLON'!B44</f>
        <v>10</v>
      </c>
      <c r="C48" s="193">
        <f>'5.1_PROFIL_ECHANTILLON'!C44</f>
        <v>0.14899999999999999</v>
      </c>
    </row>
    <row r="49" spans="1:7" x14ac:dyDescent="0.25">
      <c r="A49" s="232" t="str">
        <f>'5.1_PROFIL_ECHANTILLON'!A45</f>
        <v xml:space="preserve">National et membre d'un réseau </v>
      </c>
      <c r="B49" s="232">
        <f>'5.1_PROFIL_ECHANTILLON'!B45</f>
        <v>1</v>
      </c>
      <c r="C49" s="232">
        <f>'5.1_PROFIL_ECHANTILLON'!C45</f>
        <v>1.4999999999999999E-2</v>
      </c>
    </row>
    <row r="50" spans="1:7" x14ac:dyDescent="0.25">
      <c r="A50" s="233" t="s">
        <v>648</v>
      </c>
      <c r="B50" s="233">
        <f>SUM(B46:B49)</f>
        <v>67</v>
      </c>
      <c r="C50" s="234">
        <v>1</v>
      </c>
    </row>
    <row r="52" spans="1:7" x14ac:dyDescent="0.25">
      <c r="A52" s="319" t="s">
        <v>1024</v>
      </c>
      <c r="B52" s="319"/>
      <c r="C52" s="319"/>
      <c r="D52" s="319"/>
      <c r="E52" s="319"/>
      <c r="F52" s="319"/>
      <c r="G52" s="319"/>
    </row>
    <row r="53" spans="1:7" x14ac:dyDescent="0.25">
      <c r="A53" s="320" t="s">
        <v>1025</v>
      </c>
      <c r="B53" s="321"/>
      <c r="C53" s="321"/>
      <c r="D53" s="321"/>
      <c r="E53" s="321"/>
      <c r="F53" s="321"/>
      <c r="G53" s="322"/>
    </row>
    <row r="54" spans="1:7" x14ac:dyDescent="0.25">
      <c r="A54" s="323"/>
      <c r="B54" s="324"/>
      <c r="C54" s="324"/>
      <c r="D54" s="324"/>
      <c r="E54" s="324"/>
      <c r="F54" s="324"/>
      <c r="G54" s="325"/>
    </row>
    <row r="55" spans="1:7" x14ac:dyDescent="0.25">
      <c r="A55" s="326"/>
      <c r="B55" s="327"/>
      <c r="C55" s="327"/>
      <c r="D55" s="327"/>
      <c r="E55" s="327"/>
      <c r="F55" s="327"/>
      <c r="G55" s="328"/>
    </row>
  </sheetData>
  <mergeCells count="9">
    <mergeCell ref="A44:D44"/>
    <mergeCell ref="A52:G52"/>
    <mergeCell ref="A53:G55"/>
    <mergeCell ref="A3:J3"/>
    <mergeCell ref="A1:G1"/>
    <mergeCell ref="A11:D11"/>
    <mergeCell ref="A21:D21"/>
    <mergeCell ref="A27:D27"/>
    <mergeCell ref="A34:D3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F11A1-55E5-4F6E-9C0C-2ED9E916A874}">
  <dimension ref="A1:R29"/>
  <sheetViews>
    <sheetView topLeftCell="A21" workbookViewId="0">
      <selection sqref="A1:L1"/>
    </sheetView>
  </sheetViews>
  <sheetFormatPr baseColWidth="10" defaultRowHeight="15" x14ac:dyDescent="0.25"/>
  <cols>
    <col min="1" max="1" width="9.5703125" customWidth="1"/>
    <col min="2" max="2" width="34.28515625" customWidth="1"/>
    <col min="5" max="5" width="7.5703125" customWidth="1"/>
    <col min="6" max="7" width="12.42578125" customWidth="1"/>
    <col min="8" max="8" width="13.28515625" customWidth="1"/>
    <col min="9" max="10" width="9.5703125" customWidth="1"/>
    <col min="11" max="11" width="10.42578125" customWidth="1"/>
    <col min="12" max="12" width="22.85546875" customWidth="1"/>
    <col min="14" max="18" width="0" hidden="1" customWidth="1"/>
  </cols>
  <sheetData>
    <row r="1" spans="1:18" ht="18.75" x14ac:dyDescent="0.3">
      <c r="A1" s="329" t="s">
        <v>1026</v>
      </c>
      <c r="B1" s="329"/>
      <c r="C1" s="329"/>
      <c r="D1" s="329"/>
      <c r="E1" s="329"/>
      <c r="F1" s="329"/>
      <c r="G1" s="329"/>
      <c r="H1" s="329"/>
      <c r="I1" s="329"/>
      <c r="J1" s="329"/>
      <c r="K1" s="329"/>
      <c r="L1" s="329"/>
    </row>
    <row r="3" spans="1:18" x14ac:dyDescent="0.25">
      <c r="A3" s="318" t="s">
        <v>1027</v>
      </c>
      <c r="B3" s="318"/>
      <c r="C3" s="318"/>
      <c r="D3" s="318"/>
      <c r="E3" s="318"/>
      <c r="F3" s="318"/>
      <c r="G3" s="318"/>
      <c r="H3" s="318"/>
      <c r="I3" s="318"/>
      <c r="J3" s="318"/>
      <c r="K3" s="318"/>
      <c r="L3" s="318"/>
    </row>
    <row r="4" spans="1:18" x14ac:dyDescent="0.25">
      <c r="A4" s="235" t="s">
        <v>338</v>
      </c>
      <c r="B4" s="235" t="s">
        <v>1028</v>
      </c>
      <c r="C4" s="235" t="s">
        <v>340</v>
      </c>
      <c r="D4" s="235" t="s">
        <v>432</v>
      </c>
      <c r="E4" s="235" t="s">
        <v>379</v>
      </c>
      <c r="F4" s="235" t="s">
        <v>485</v>
      </c>
      <c r="G4" s="235" t="s">
        <v>669</v>
      </c>
      <c r="H4" s="235" t="s">
        <v>670</v>
      </c>
      <c r="I4" s="235" t="s">
        <v>488</v>
      </c>
      <c r="J4" s="235" t="s">
        <v>489</v>
      </c>
      <c r="K4" s="235" t="s">
        <v>505</v>
      </c>
      <c r="L4" s="235" t="s">
        <v>1029</v>
      </c>
      <c r="N4" s="238" t="s">
        <v>338</v>
      </c>
      <c r="O4" s="238" t="s">
        <v>505</v>
      </c>
      <c r="P4" s="238" t="s">
        <v>338</v>
      </c>
      <c r="Q4" s="238" t="s">
        <v>485</v>
      </c>
      <c r="R4" s="238" t="s">
        <v>487</v>
      </c>
    </row>
    <row r="5" spans="1:18" x14ac:dyDescent="0.25">
      <c r="A5" s="193" t="str">
        <f>'5.2_STATS_DESC'!A4</f>
        <v>SUP</v>
      </c>
      <c r="B5" s="193" t="str">
        <f>'5.2_STATS_DESC'!B4</f>
        <v>Utilite percue (H1)</v>
      </c>
      <c r="C5" s="193">
        <f>'Alpha de cronbach'!B6</f>
        <v>21</v>
      </c>
      <c r="D5" s="193" t="str">
        <f>'5.2_STATS_DESC'!C4</f>
        <v>1-5</v>
      </c>
      <c r="E5" s="193">
        <f>'5.2_STATS_DESC'!D4</f>
        <v>67</v>
      </c>
      <c r="F5" s="193">
        <f>'5.2_STATS_DESC'!E4</f>
        <v>3.399</v>
      </c>
      <c r="G5" s="193">
        <f>'5.2_STATS_DESC'!F4</f>
        <v>3.476</v>
      </c>
      <c r="H5" s="193">
        <f>'5.2_STATS_DESC'!G4</f>
        <v>0.57999999999999996</v>
      </c>
      <c r="I5" s="193">
        <f>'5.2_STATS_DESC'!H4</f>
        <v>1.4127000000000001</v>
      </c>
      <c r="J5" s="193">
        <f>'5.2_STATS_DESC'!I4</f>
        <v>4.6189999999999998</v>
      </c>
      <c r="K5" s="193">
        <f>'Alpha de cronbach'!C6</f>
        <v>0.89800000000000002</v>
      </c>
      <c r="L5" s="193" t="str">
        <f>IF(K5&gt;=0.85,"Excellent ≥0.85",IF(K5&gt;=0.7,"Acceptable 0.70-0.84",IF(K5&gt;=0.6,"Limite 0.60-0.69","Insuffisant &lt;0.60")))</f>
        <v>Excellent ≥0.85</v>
      </c>
      <c r="N5" t="s">
        <v>295</v>
      </c>
      <c r="O5">
        <f>K5</f>
        <v>0.89800000000000002</v>
      </c>
      <c r="P5" t="s">
        <v>295</v>
      </c>
      <c r="Q5">
        <f t="shared" ref="Q5:Q11" si="0">F5</f>
        <v>3.399</v>
      </c>
      <c r="R5">
        <f t="shared" ref="R5:R11" si="1">H5</f>
        <v>0.57999999999999996</v>
      </c>
    </row>
    <row r="6" spans="1:18" x14ac:dyDescent="0.25">
      <c r="A6" s="232" t="str">
        <f>'5.2_STATS_DESC'!A5</f>
        <v>SFU</v>
      </c>
      <c r="B6" s="232" t="str">
        <f>'5.2_STATS_DESC'!B5</f>
        <v>Facilite d'usage (H2)</v>
      </c>
      <c r="C6" s="232">
        <f>'Alpha de cronbach'!B7</f>
        <v>3</v>
      </c>
      <c r="D6" s="232" t="str">
        <f>'5.2_STATS_DESC'!C5</f>
        <v>1-7</v>
      </c>
      <c r="E6" s="232">
        <f>'5.2_STATS_DESC'!D5</f>
        <v>67</v>
      </c>
      <c r="F6" s="232">
        <f>'5.2_STATS_DESC'!E5</f>
        <v>4.766</v>
      </c>
      <c r="G6" s="232">
        <f>'5.2_STATS_DESC'!F5</f>
        <v>4.6669999999999998</v>
      </c>
      <c r="H6" s="232">
        <f>'5.2_STATS_DESC'!G5</f>
        <v>0.96199999999999997</v>
      </c>
      <c r="I6" s="232">
        <f>'5.2_STATS_DESC'!H5</f>
        <v>2.6667000000000001</v>
      </c>
      <c r="J6" s="232">
        <f>'5.2_STATS_DESC'!I5</f>
        <v>6.6666999999999996</v>
      </c>
      <c r="K6" s="232">
        <f>'Alpha de cronbach'!C7</f>
        <v>0.66300000000000003</v>
      </c>
      <c r="L6" s="232" t="str">
        <f>IF(K6&gt;=0.85,"Excellent ≥0.85",IF(K6&gt;=0.7,"Acceptable 0.70-0.84",IF(K6&gt;=0.6,"Limite 0.60-0.69","Insuffisant &lt;0.60")))</f>
        <v>Limite 0.60-0.69</v>
      </c>
      <c r="N6" t="s">
        <v>296</v>
      </c>
      <c r="O6">
        <f>K6</f>
        <v>0.66300000000000003</v>
      </c>
      <c r="P6" t="s">
        <v>296</v>
      </c>
      <c r="Q6">
        <f t="shared" si="0"/>
        <v>4.766</v>
      </c>
      <c r="R6">
        <f t="shared" si="1"/>
        <v>0.96199999999999997</v>
      </c>
    </row>
    <row r="7" spans="1:18" x14ac:dyDescent="0.25">
      <c r="A7" s="193" t="str">
        <f>'5.2_STATS_DESC'!A6</f>
        <v>SRP</v>
      </c>
      <c r="B7" s="193" t="str">
        <f>'5.2_STATS_DESC'!B6</f>
        <v>Risques percus (H3)</v>
      </c>
      <c r="C7" s="193">
        <f>'Alpha de cronbach'!B8</f>
        <v>4</v>
      </c>
      <c r="D7" s="193" t="str">
        <f>'5.2_STATS_DESC'!C6</f>
        <v>1-7</v>
      </c>
      <c r="E7" s="193">
        <f>'5.2_STATS_DESC'!D6</f>
        <v>67</v>
      </c>
      <c r="F7" s="193">
        <f>'5.2_STATS_DESC'!E6</f>
        <v>5.5369999999999999</v>
      </c>
      <c r="G7" s="193">
        <f>'5.2_STATS_DESC'!F6</f>
        <v>5.5</v>
      </c>
      <c r="H7" s="193">
        <f>'5.2_STATS_DESC'!G6</f>
        <v>0.88300000000000001</v>
      </c>
      <c r="I7" s="193">
        <f>'5.2_STATS_DESC'!H6</f>
        <v>3.5</v>
      </c>
      <c r="J7" s="193">
        <f>'5.2_STATS_DESC'!I6</f>
        <v>7</v>
      </c>
      <c r="K7" s="193">
        <f>'Alpha de cronbach'!C8</f>
        <v>0.316</v>
      </c>
      <c r="L7" s="193" t="str">
        <f>IF(K7&gt;=0.85,"Excellent ≥0.85",IF(K7&gt;=0.7,"Acceptable 0.70-0.84",IF(K7&gt;=0.6,"Limite 0.60-0.69","Insuffisant &lt;0.60")))</f>
        <v>Insuffisant &lt;0.60</v>
      </c>
      <c r="N7" t="s">
        <v>297</v>
      </c>
      <c r="O7">
        <f>K7</f>
        <v>0.316</v>
      </c>
      <c r="P7" t="s">
        <v>297</v>
      </c>
      <c r="Q7">
        <f t="shared" si="0"/>
        <v>5.5369999999999999</v>
      </c>
      <c r="R7">
        <f t="shared" si="1"/>
        <v>0.88300000000000001</v>
      </c>
    </row>
    <row r="8" spans="1:18" x14ac:dyDescent="0.25">
      <c r="A8" s="232" t="str">
        <f>'5.2_STATS_DESC'!A7</f>
        <v>SMF</v>
      </c>
      <c r="B8" s="232" t="str">
        <f>'5.2_STATS_DESC'!B7</f>
        <v>Maitrise tech. (H4a/H4b)</v>
      </c>
      <c r="C8" s="232">
        <f>'Alpha de cronbach'!B9</f>
        <v>3</v>
      </c>
      <c r="D8" s="232" t="str">
        <f>'5.2_STATS_DESC'!C7</f>
        <v>1-7</v>
      </c>
      <c r="E8" s="232">
        <f>'5.2_STATS_DESC'!D7</f>
        <v>67</v>
      </c>
      <c r="F8" s="232">
        <f>'5.2_STATS_DESC'!E7</f>
        <v>4.7809999999999997</v>
      </c>
      <c r="G8" s="232">
        <f>'5.2_STATS_DESC'!F7</f>
        <v>4.6669999999999998</v>
      </c>
      <c r="H8" s="232">
        <f>'5.2_STATS_DESC'!G7</f>
        <v>0.879</v>
      </c>
      <c r="I8" s="232">
        <f>'5.2_STATS_DESC'!H7</f>
        <v>2.3332999999999999</v>
      </c>
      <c r="J8" s="232">
        <f>'5.2_STATS_DESC'!I7</f>
        <v>7</v>
      </c>
      <c r="K8" s="232">
        <f>'Alpha de cronbach'!C9</f>
        <v>0.45200000000000001</v>
      </c>
      <c r="L8" s="232" t="str">
        <f>IF(K8&gt;=0.85,"Excellent ≥0.85",IF(K8&gt;=0.7,"Acceptable 0.70-0.84",IF(K8&gt;=0.6,"Limite 0.60-0.69","Insuffisant &lt;0.60")))</f>
        <v>Insuffisant &lt;0.60</v>
      </c>
      <c r="N8" t="s">
        <v>298</v>
      </c>
      <c r="O8">
        <f>K8</f>
        <v>0.45200000000000001</v>
      </c>
      <c r="P8" t="s">
        <v>298</v>
      </c>
      <c r="Q8">
        <f t="shared" si="0"/>
        <v>4.7809999999999997</v>
      </c>
      <c r="R8">
        <f t="shared" si="1"/>
        <v>0.879</v>
      </c>
    </row>
    <row r="9" spans="1:18" x14ac:dyDescent="0.25">
      <c r="A9" s="193" t="str">
        <f>'5.2_STATS_DESC'!A8</f>
        <v>SS</v>
      </c>
      <c r="B9" s="193" t="str">
        <f>'5.2_STATS_DESC'!B8</f>
        <v>Scepticisme prof. (H4b)</v>
      </c>
      <c r="C9" s="193">
        <f>'Alpha de cronbach'!B10</f>
        <v>5</v>
      </c>
      <c r="D9" s="193" t="str">
        <f>'5.2_STATS_DESC'!C8</f>
        <v>1-7</v>
      </c>
      <c r="E9" s="193">
        <f>'5.2_STATS_DESC'!D8</f>
        <v>67</v>
      </c>
      <c r="F9" s="193">
        <f>'5.2_STATS_DESC'!E8</f>
        <v>4.9580000000000002</v>
      </c>
      <c r="G9" s="193">
        <f>'5.2_STATS_DESC'!F8</f>
        <v>5</v>
      </c>
      <c r="H9" s="193">
        <f>'5.2_STATS_DESC'!G8</f>
        <v>0.79300000000000004</v>
      </c>
      <c r="I9" s="193">
        <f>'5.2_STATS_DESC'!H8</f>
        <v>3.2</v>
      </c>
      <c r="J9" s="193">
        <f>'5.2_STATS_DESC'!I8</f>
        <v>7</v>
      </c>
      <c r="K9" s="193">
        <f>'Alpha de cronbach'!C10</f>
        <v>0.51100000000000001</v>
      </c>
      <c r="L9" s="193" t="str">
        <f>IF(K9&gt;=0.85,"Excellent ≥0.85",IF(K9&gt;=0.7,"Acceptable 0.70-0.84",IF(K9&gt;=0.6,"Limite 0.60-0.69","Insuffisant &lt;0.60")))</f>
        <v>Insuffisant &lt;0.60</v>
      </c>
      <c r="N9" t="s">
        <v>299</v>
      </c>
      <c r="O9">
        <f>K9</f>
        <v>0.51100000000000001</v>
      </c>
      <c r="P9" t="s">
        <v>299</v>
      </c>
      <c r="Q9">
        <f t="shared" si="0"/>
        <v>4.9580000000000002</v>
      </c>
      <c r="R9">
        <f t="shared" si="1"/>
        <v>0.79300000000000004</v>
      </c>
    </row>
    <row r="10" spans="1:18" x14ac:dyDescent="0.25">
      <c r="A10" s="232" t="str">
        <f>'5.2_STATS_DESC'!A9</f>
        <v>Q1</v>
      </c>
      <c r="B10" s="232" t="str">
        <f>'5.2_STATS_DESC'!B9</f>
        <v>Usage IAG (frequence)</v>
      </c>
      <c r="C10" s="232">
        <v>1</v>
      </c>
      <c r="D10" s="232" t="str">
        <f>'5.2_STATS_DESC'!C9</f>
        <v>1-7</v>
      </c>
      <c r="E10" s="232">
        <f>'5.2_STATS_DESC'!D9</f>
        <v>67</v>
      </c>
      <c r="F10" s="232">
        <f>'5.2_STATS_DESC'!E9</f>
        <v>5.0149253731343286</v>
      </c>
      <c r="G10" s="232">
        <f>'5.2_STATS_DESC'!F9</f>
        <v>5</v>
      </c>
      <c r="H10" s="232">
        <f>'5.2_STATS_DESC'!G9</f>
        <v>1.343</v>
      </c>
      <c r="I10" s="232">
        <f>'5.2_STATS_DESC'!H9</f>
        <v>2</v>
      </c>
      <c r="J10" s="232">
        <f>'5.2_STATS_DESC'!I9</f>
        <v>7</v>
      </c>
      <c r="K10" s="232" t="s">
        <v>8</v>
      </c>
      <c r="L10" s="232" t="s">
        <v>1030</v>
      </c>
      <c r="P10" t="s">
        <v>498</v>
      </c>
      <c r="Q10">
        <f t="shared" si="0"/>
        <v>5.0149253731343286</v>
      </c>
      <c r="R10">
        <f t="shared" si="1"/>
        <v>1.343</v>
      </c>
    </row>
    <row r="11" spans="1:18" x14ac:dyDescent="0.25">
      <c r="A11" s="193" t="str">
        <f>'5.2_STATS_DESC'!A10</f>
        <v>Q30</v>
      </c>
      <c r="B11" s="193" t="str">
        <f>'5.2_STATS_DESC'!B10</f>
        <v>Perception benefices-risques</v>
      </c>
      <c r="C11" s="193">
        <v>1</v>
      </c>
      <c r="D11" s="193" t="str">
        <f>'5.2_STATS_DESC'!C10</f>
        <v>1-7</v>
      </c>
      <c r="E11" s="193">
        <f>'5.2_STATS_DESC'!D10</f>
        <v>67</v>
      </c>
      <c r="F11" s="193">
        <f>'5.2_STATS_DESC'!E10</f>
        <v>5.1360000000000001</v>
      </c>
      <c r="G11" s="193">
        <f>'5.2_STATS_DESC'!F10</f>
        <v>5</v>
      </c>
      <c r="H11" s="193">
        <f>'5.2_STATS_DESC'!G10</f>
        <v>1.3109999999999999</v>
      </c>
      <c r="I11" s="193">
        <f>'5.2_STATS_DESC'!H10</f>
        <v>1</v>
      </c>
      <c r="J11" s="193">
        <f>'5.2_STATS_DESC'!I10</f>
        <v>7</v>
      </c>
      <c r="K11" s="193" t="s">
        <v>8</v>
      </c>
      <c r="L11" s="193" t="s">
        <v>1030</v>
      </c>
      <c r="P11" t="s">
        <v>500</v>
      </c>
      <c r="Q11">
        <f t="shared" si="0"/>
        <v>5.1360000000000001</v>
      </c>
      <c r="R11">
        <f t="shared" si="1"/>
        <v>1.3109999999999999</v>
      </c>
    </row>
    <row r="13" spans="1:18" x14ac:dyDescent="0.25">
      <c r="A13" s="318" t="s">
        <v>1031</v>
      </c>
      <c r="B13" s="318"/>
      <c r="C13" s="318"/>
      <c r="D13" s="318"/>
      <c r="E13" s="318"/>
      <c r="F13" s="318"/>
    </row>
    <row r="14" spans="1:18" x14ac:dyDescent="0.25">
      <c r="A14" s="231" t="s">
        <v>393</v>
      </c>
      <c r="B14" s="231">
        <v>2</v>
      </c>
      <c r="C14" s="231">
        <v>3</v>
      </c>
      <c r="D14" s="231">
        <v>4</v>
      </c>
      <c r="E14" s="231">
        <v>5</v>
      </c>
      <c r="F14" s="237">
        <v>46180</v>
      </c>
      <c r="N14" t="s">
        <v>393</v>
      </c>
      <c r="O14" t="s">
        <v>379</v>
      </c>
    </row>
    <row r="15" spans="1:18" x14ac:dyDescent="0.25">
      <c r="A15" s="193" t="s">
        <v>379</v>
      </c>
      <c r="B15" s="193">
        <f>COUNTIF(DONNEES_SOURCE!CB:CB,2)</f>
        <v>3</v>
      </c>
      <c r="C15" s="193">
        <f>COUNTIF(DONNEES_SOURCE!CB:CB,3)</f>
        <v>6</v>
      </c>
      <c r="D15" s="193">
        <f>COUNTIF(DONNEES_SOURCE!CB:CB,4)</f>
        <v>11</v>
      </c>
      <c r="E15" s="193">
        <f>COUNTIF(DONNEES_SOURCE!CB:CB,5)</f>
        <v>26</v>
      </c>
      <c r="F15" s="193">
        <f>COUNTIF(DONNEES_SOURCE!CB:CB,6)+COUNTIF(DONNEES_SOURCE!CB:CB,7)</f>
        <v>21</v>
      </c>
      <c r="N15">
        <v>2</v>
      </c>
      <c r="O15">
        <f>B15</f>
        <v>3</v>
      </c>
    </row>
    <row r="16" spans="1:18" x14ac:dyDescent="0.25">
      <c r="A16" s="232" t="s">
        <v>380</v>
      </c>
      <c r="B16" s="232">
        <f>B15/67</f>
        <v>4.4776119402985072E-2</v>
      </c>
      <c r="C16" s="232">
        <f>C15/67</f>
        <v>8.9552238805970144E-2</v>
      </c>
      <c r="D16" s="232">
        <f>D15/67</f>
        <v>0.16417910447761194</v>
      </c>
      <c r="E16" s="232">
        <f>E15/67</f>
        <v>0.38805970149253732</v>
      </c>
      <c r="F16" s="232">
        <f>F15/67</f>
        <v>0.31343283582089554</v>
      </c>
      <c r="N16">
        <v>3</v>
      </c>
      <c r="O16">
        <f>C15</f>
        <v>6</v>
      </c>
    </row>
    <row r="17" spans="1:15" x14ac:dyDescent="0.25">
      <c r="N17">
        <v>4</v>
      </c>
      <c r="O17">
        <f>D15</f>
        <v>11</v>
      </c>
    </row>
    <row r="18" spans="1:15" x14ac:dyDescent="0.25">
      <c r="A18" s="318" t="s">
        <v>1032</v>
      </c>
      <c r="B18" s="318"/>
      <c r="C18" s="318"/>
      <c r="D18" s="318"/>
      <c r="E18" s="318"/>
      <c r="F18" s="318"/>
      <c r="G18" s="318"/>
      <c r="H18" s="318"/>
      <c r="N18">
        <v>5</v>
      </c>
      <c r="O18">
        <f>E15</f>
        <v>26</v>
      </c>
    </row>
    <row r="19" spans="1:15" x14ac:dyDescent="0.25">
      <c r="A19" s="231" t="s">
        <v>393</v>
      </c>
      <c r="B19" s="231" t="s">
        <v>1033</v>
      </c>
      <c r="C19" s="231">
        <v>2</v>
      </c>
      <c r="D19" s="231">
        <v>3</v>
      </c>
      <c r="E19" s="231">
        <v>4</v>
      </c>
      <c r="F19" s="231">
        <v>5</v>
      </c>
      <c r="G19" s="231">
        <v>6</v>
      </c>
      <c r="H19" s="231">
        <v>7</v>
      </c>
      <c r="N19" s="236">
        <v>46180</v>
      </c>
      <c r="O19">
        <f>F15</f>
        <v>21</v>
      </c>
    </row>
    <row r="20" spans="1:15" x14ac:dyDescent="0.25">
      <c r="A20" s="193" t="s">
        <v>379</v>
      </c>
      <c r="B20" s="193">
        <f>COUNTIF(DONNEES_SOURCE!BH:BH,0)+COUNTIF(DONNEES_SOURCE!BH:BH,1)</f>
        <v>2</v>
      </c>
      <c r="C20" s="193">
        <f>COUNTIF(DONNEES_SOURCE!BH:BH,2)</f>
        <v>0</v>
      </c>
      <c r="D20" s="193">
        <f>COUNTIF(DONNEES_SOURCE!BH:BH,3)</f>
        <v>5</v>
      </c>
      <c r="E20" s="193">
        <f>COUNTIF(DONNEES_SOURCE!BH:BH,4)</f>
        <v>8</v>
      </c>
      <c r="F20" s="193">
        <f>COUNTIF(DONNEES_SOURCE!BH:BH,5)</f>
        <v>25</v>
      </c>
      <c r="G20" s="193">
        <f>COUNTIF(DONNEES_SOURCE!BH:BH,6)</f>
        <v>17</v>
      </c>
      <c r="H20" s="193">
        <f>COUNTIF(DONNEES_SOURCE!BH:BH,7)</f>
        <v>9</v>
      </c>
    </row>
    <row r="21" spans="1:15" x14ac:dyDescent="0.25">
      <c r="A21" s="232" t="s">
        <v>380</v>
      </c>
      <c r="B21" s="232">
        <f t="shared" ref="B21:H21" si="2">B20/67</f>
        <v>2.9850746268656716E-2</v>
      </c>
      <c r="C21" s="232">
        <f t="shared" si="2"/>
        <v>0</v>
      </c>
      <c r="D21" s="232">
        <f t="shared" si="2"/>
        <v>7.4626865671641784E-2</v>
      </c>
      <c r="E21" s="232">
        <f t="shared" si="2"/>
        <v>0.11940298507462686</v>
      </c>
      <c r="F21" s="232">
        <f t="shared" si="2"/>
        <v>0.37313432835820898</v>
      </c>
      <c r="G21" s="232">
        <f t="shared" si="2"/>
        <v>0.2537313432835821</v>
      </c>
      <c r="H21" s="232">
        <f t="shared" si="2"/>
        <v>0.13432835820895522</v>
      </c>
    </row>
    <row r="22" spans="1:15" x14ac:dyDescent="0.25">
      <c r="N22" t="s">
        <v>393</v>
      </c>
      <c r="O22" t="s">
        <v>379</v>
      </c>
    </row>
    <row r="23" spans="1:15" x14ac:dyDescent="0.25">
      <c r="A23" s="319" t="s">
        <v>1034</v>
      </c>
      <c r="B23" s="319"/>
      <c r="C23" s="319"/>
      <c r="D23" s="319"/>
      <c r="E23" s="319"/>
      <c r="F23" s="319"/>
      <c r="G23" s="319"/>
      <c r="H23" s="319"/>
      <c r="I23" s="319"/>
      <c r="J23" s="319"/>
      <c r="K23" s="319"/>
      <c r="L23" s="319"/>
      <c r="N23" t="s">
        <v>1033</v>
      </c>
      <c r="O23">
        <f>B20</f>
        <v>2</v>
      </c>
    </row>
    <row r="24" spans="1:15" x14ac:dyDescent="0.25">
      <c r="A24" s="320" t="s">
        <v>1035</v>
      </c>
      <c r="B24" s="321"/>
      <c r="C24" s="321"/>
      <c r="D24" s="321"/>
      <c r="E24" s="321"/>
      <c r="F24" s="321"/>
      <c r="G24" s="321"/>
      <c r="H24" s="321"/>
      <c r="I24" s="321"/>
      <c r="J24" s="321"/>
      <c r="K24" s="321"/>
      <c r="L24" s="322"/>
      <c r="N24">
        <v>2</v>
      </c>
      <c r="O24">
        <f>C20</f>
        <v>0</v>
      </c>
    </row>
    <row r="25" spans="1:15" x14ac:dyDescent="0.25">
      <c r="A25" s="326"/>
      <c r="B25" s="327"/>
      <c r="C25" s="327"/>
      <c r="D25" s="327"/>
      <c r="E25" s="327"/>
      <c r="F25" s="327"/>
      <c r="G25" s="327"/>
      <c r="H25" s="327"/>
      <c r="I25" s="327"/>
      <c r="J25" s="327"/>
      <c r="K25" s="327"/>
      <c r="L25" s="328"/>
      <c r="N25">
        <v>3</v>
      </c>
      <c r="O25">
        <f>D20</f>
        <v>5</v>
      </c>
    </row>
    <row r="26" spans="1:15" x14ac:dyDescent="0.25">
      <c r="N26">
        <v>4</v>
      </c>
      <c r="O26">
        <f>E20</f>
        <v>8</v>
      </c>
    </row>
    <row r="27" spans="1:15" x14ac:dyDescent="0.25">
      <c r="N27">
        <v>5</v>
      </c>
      <c r="O27">
        <f>F20</f>
        <v>25</v>
      </c>
    </row>
    <row r="28" spans="1:15" x14ac:dyDescent="0.25">
      <c r="N28">
        <v>6</v>
      </c>
      <c r="O28">
        <f>G20</f>
        <v>17</v>
      </c>
    </row>
    <row r="29" spans="1:15" x14ac:dyDescent="0.25">
      <c r="N29">
        <v>7</v>
      </c>
      <c r="O29">
        <f>H20</f>
        <v>9</v>
      </c>
    </row>
  </sheetData>
  <mergeCells count="6">
    <mergeCell ref="A24:L25"/>
    <mergeCell ref="A1:L1"/>
    <mergeCell ref="A3:L3"/>
    <mergeCell ref="A13:F13"/>
    <mergeCell ref="A18:H18"/>
    <mergeCell ref="A23:L2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770F-7DCA-469B-860E-4DD7022CF99A}">
  <dimension ref="A1:I109"/>
  <sheetViews>
    <sheetView topLeftCell="A93" workbookViewId="0">
      <selection activeCell="D109" sqref="D109"/>
    </sheetView>
  </sheetViews>
  <sheetFormatPr baseColWidth="10" defaultRowHeight="15" x14ac:dyDescent="0.25"/>
  <cols>
    <col min="1" max="1" width="13.28515625" customWidth="1"/>
    <col min="2" max="2" width="28.5703125" customWidth="1"/>
    <col min="3" max="4" width="17.140625" customWidth="1"/>
    <col min="5" max="5" width="15.28515625" customWidth="1"/>
    <col min="6" max="6" width="19" customWidth="1"/>
    <col min="7" max="7" width="22.85546875" customWidth="1"/>
  </cols>
  <sheetData>
    <row r="1" spans="1:9" ht="18.75" x14ac:dyDescent="0.3">
      <c r="A1" s="329" t="s">
        <v>1036</v>
      </c>
      <c r="B1" s="329"/>
      <c r="C1" s="329"/>
      <c r="D1" s="329"/>
      <c r="E1" s="329"/>
      <c r="F1" s="329"/>
      <c r="G1" s="329"/>
      <c r="H1" s="329"/>
      <c r="I1" s="329"/>
    </row>
    <row r="3" spans="1:9" ht="15.75" x14ac:dyDescent="0.25">
      <c r="A3" s="331" t="s">
        <v>1037</v>
      </c>
      <c r="B3" s="331"/>
      <c r="C3" s="331"/>
      <c r="D3" s="331"/>
      <c r="E3" s="331"/>
      <c r="F3" s="331"/>
      <c r="G3" s="331"/>
      <c r="H3" s="331"/>
      <c r="I3" s="331"/>
    </row>
    <row r="4" spans="1:9" x14ac:dyDescent="0.25">
      <c r="A4" s="332" t="s">
        <v>1038</v>
      </c>
      <c r="B4" s="332"/>
      <c r="C4" s="332"/>
      <c r="D4" s="332"/>
      <c r="E4" s="332"/>
      <c r="F4" s="332"/>
      <c r="G4" s="332"/>
      <c r="H4" s="332"/>
      <c r="I4" s="332"/>
    </row>
    <row r="5" spans="1:9" x14ac:dyDescent="0.25">
      <c r="A5" s="231" t="s">
        <v>379</v>
      </c>
      <c r="B5" s="231" t="s">
        <v>696</v>
      </c>
      <c r="C5" s="231" t="s">
        <v>629</v>
      </c>
      <c r="D5" s="231" t="s">
        <v>697</v>
      </c>
      <c r="E5" s="231" t="s">
        <v>548</v>
      </c>
      <c r="F5" s="231" t="s">
        <v>1039</v>
      </c>
      <c r="G5" s="231" t="s">
        <v>551</v>
      </c>
    </row>
    <row r="6" spans="1:9" x14ac:dyDescent="0.25">
      <c r="A6" s="193">
        <f>H1_SUP_Q1!B36</f>
        <v>67</v>
      </c>
      <c r="B6" s="193">
        <f>H1_SUP_Q1!C36</f>
        <v>8.8273721895141322E-2</v>
      </c>
      <c r="C6" s="193">
        <f>H1_SUP_Q1!D36</f>
        <v>0.71447462477825496</v>
      </c>
      <c r="D6" s="193">
        <f>H1_SUP_Q1!E36</f>
        <v>65</v>
      </c>
      <c r="E6" s="193">
        <f>H1_SUP_Q1!F36</f>
        <v>0.47749186264837407</v>
      </c>
      <c r="F6" s="193" t="s">
        <v>1040</v>
      </c>
      <c r="G6" s="193" t="str">
        <f>IF(E6&lt;0.05,"CONFIRMÉE","INFIRMÉE")</f>
        <v>INFIRMÉE</v>
      </c>
    </row>
    <row r="8" spans="1:9" ht="15.75" x14ac:dyDescent="0.25">
      <c r="A8" s="331" t="s">
        <v>1041</v>
      </c>
      <c r="B8" s="331"/>
      <c r="C8" s="331"/>
      <c r="D8" s="331"/>
      <c r="E8" s="331"/>
      <c r="F8" s="331"/>
      <c r="G8" s="331"/>
      <c r="H8" s="331"/>
      <c r="I8" s="331"/>
    </row>
    <row r="9" spans="1:9" x14ac:dyDescent="0.25">
      <c r="A9" s="332" t="s">
        <v>1042</v>
      </c>
      <c r="B9" s="332"/>
      <c r="C9" s="332"/>
      <c r="D9" s="332"/>
      <c r="E9" s="332"/>
      <c r="F9" s="332"/>
      <c r="G9" s="332"/>
      <c r="H9" s="332"/>
      <c r="I9" s="332"/>
    </row>
    <row r="10" spans="1:9" x14ac:dyDescent="0.25">
      <c r="A10" s="231" t="s">
        <v>379</v>
      </c>
      <c r="B10" s="231" t="s">
        <v>696</v>
      </c>
      <c r="C10" s="231" t="s">
        <v>629</v>
      </c>
      <c r="D10" s="231" t="s">
        <v>697</v>
      </c>
      <c r="E10" s="231" t="s">
        <v>548</v>
      </c>
      <c r="F10" s="231" t="s">
        <v>1039</v>
      </c>
      <c r="G10" s="231" t="s">
        <v>551</v>
      </c>
    </row>
    <row r="11" spans="1:9" x14ac:dyDescent="0.25">
      <c r="A11" s="193">
        <f>H2_SFU_Q1!B29</f>
        <v>67</v>
      </c>
      <c r="B11" s="193">
        <f>H2_SFU_Q1!C29</f>
        <v>0.3249278719182116</v>
      </c>
      <c r="C11" s="193">
        <f>H2_SFU_Q1!D29</f>
        <v>2.7699532393942992</v>
      </c>
      <c r="D11" s="193">
        <f>H2_SFU_Q1!E29</f>
        <v>65</v>
      </c>
      <c r="E11" s="193">
        <f>H2_SFU_Q1!F29</f>
        <v>7.3005317475038451E-3</v>
      </c>
      <c r="F11" s="193" t="s">
        <v>1040</v>
      </c>
      <c r="G11" s="193" t="str">
        <f>IF(E11&lt;0.05,"CONFIRMÉE","INFIRMÉE")</f>
        <v>CONFIRMÉE</v>
      </c>
    </row>
    <row r="13" spans="1:9" ht="15.75" x14ac:dyDescent="0.25">
      <c r="A13" s="331" t="s">
        <v>1043</v>
      </c>
      <c r="B13" s="331"/>
      <c r="C13" s="331"/>
      <c r="D13" s="331"/>
      <c r="E13" s="331"/>
      <c r="F13" s="331"/>
      <c r="G13" s="331"/>
      <c r="H13" s="331"/>
      <c r="I13" s="331"/>
    </row>
    <row r="14" spans="1:9" x14ac:dyDescent="0.25">
      <c r="A14" s="332" t="s">
        <v>1044</v>
      </c>
      <c r="B14" s="332"/>
      <c r="C14" s="332"/>
      <c r="D14" s="332"/>
      <c r="E14" s="332"/>
      <c r="F14" s="332"/>
      <c r="G14" s="332"/>
      <c r="H14" s="332"/>
      <c r="I14" s="332"/>
    </row>
    <row r="15" spans="1:9" x14ac:dyDescent="0.25">
      <c r="A15" s="231" t="s">
        <v>379</v>
      </c>
      <c r="B15" s="231" t="s">
        <v>696</v>
      </c>
      <c r="C15" s="231" t="s">
        <v>629</v>
      </c>
      <c r="D15" s="231" t="s">
        <v>697</v>
      </c>
      <c r="E15" s="231" t="s">
        <v>548</v>
      </c>
      <c r="F15" s="231" t="s">
        <v>1039</v>
      </c>
      <c r="G15" s="231" t="s">
        <v>551</v>
      </c>
    </row>
    <row r="16" spans="1:9" x14ac:dyDescent="0.25">
      <c r="A16" s="193">
        <f>H3_SRP!B32</f>
        <v>67</v>
      </c>
      <c r="B16" s="193">
        <f>H3_SRP!C32</f>
        <v>0.30950561196222048</v>
      </c>
      <c r="C16" s="193">
        <f>H3_SRP!D32</f>
        <v>2.6241668673151048</v>
      </c>
      <c r="D16" s="193">
        <f>H3_SRP!E32</f>
        <v>65</v>
      </c>
      <c r="E16" s="193">
        <f>H3_SRP!F32</f>
        <v>1.0814038085717938E-2</v>
      </c>
      <c r="F16" s="193" t="s">
        <v>1040</v>
      </c>
      <c r="G16" s="193" t="str">
        <f>IF(E16&lt;0.05,"CONFIRMÉE","INFIRMÉE")</f>
        <v>CONFIRMÉE</v>
      </c>
    </row>
    <row r="18" spans="1:9" ht="15.75" x14ac:dyDescent="0.25">
      <c r="A18" s="331" t="s">
        <v>1045</v>
      </c>
      <c r="B18" s="331"/>
      <c r="C18" s="331"/>
      <c r="D18" s="331"/>
      <c r="E18" s="331"/>
      <c r="F18" s="331"/>
      <c r="G18" s="331"/>
      <c r="H18" s="331"/>
      <c r="I18" s="331"/>
    </row>
    <row r="19" spans="1:9" x14ac:dyDescent="0.25">
      <c r="A19" s="332" t="s">
        <v>1046</v>
      </c>
      <c r="B19" s="332"/>
      <c r="C19" s="332"/>
      <c r="D19" s="332"/>
      <c r="E19" s="332"/>
      <c r="F19" s="332"/>
      <c r="G19" s="332"/>
      <c r="H19" s="332"/>
      <c r="I19" s="332"/>
    </row>
    <row r="20" spans="1:9" x14ac:dyDescent="0.25">
      <c r="A20" s="231" t="s">
        <v>379</v>
      </c>
      <c r="B20" s="231" t="s">
        <v>696</v>
      </c>
      <c r="C20" s="231" t="s">
        <v>629</v>
      </c>
      <c r="D20" s="231" t="s">
        <v>697</v>
      </c>
      <c r="E20" s="231" t="s">
        <v>548</v>
      </c>
      <c r="F20" s="231" t="s">
        <v>1039</v>
      </c>
      <c r="G20" s="231" t="s">
        <v>551</v>
      </c>
    </row>
    <row r="21" spans="1:9" x14ac:dyDescent="0.25">
      <c r="A21" s="193">
        <f>H3_SRP!B33</f>
        <v>67</v>
      </c>
      <c r="B21" s="193">
        <f>H3_SRP!C33</f>
        <v>-0.23098831616581353</v>
      </c>
      <c r="C21" s="193">
        <f>H3_SRP!D33</f>
        <v>-1.9140499042245305</v>
      </c>
      <c r="D21" s="193">
        <f>H3_SRP!E33</f>
        <v>65</v>
      </c>
      <c r="E21" s="193">
        <f>H3_SRP!F33</f>
        <v>6.0018256687192705E-2</v>
      </c>
      <c r="F21" s="193" t="s">
        <v>1040</v>
      </c>
      <c r="G21" s="193" t="str">
        <f>IF(E21&lt;0.05,"CONFIRMÉE","INFIRMÉE")</f>
        <v>INFIRMÉE</v>
      </c>
    </row>
    <row r="23" spans="1:9" ht="15.75" x14ac:dyDescent="0.25">
      <c r="A23" s="331" t="s">
        <v>1047</v>
      </c>
      <c r="B23" s="331"/>
      <c r="C23" s="331"/>
      <c r="D23" s="331"/>
      <c r="E23" s="331"/>
      <c r="F23" s="331"/>
      <c r="G23" s="331"/>
      <c r="H23" s="331"/>
      <c r="I23" s="331"/>
    </row>
    <row r="24" spans="1:9" x14ac:dyDescent="0.25">
      <c r="A24" s="332" t="s">
        <v>1048</v>
      </c>
      <c r="B24" s="332"/>
      <c r="C24" s="332"/>
      <c r="D24" s="332"/>
      <c r="E24" s="332"/>
      <c r="F24" s="332"/>
      <c r="G24" s="332"/>
      <c r="H24" s="332"/>
      <c r="I24" s="332"/>
    </row>
    <row r="25" spans="1:9" x14ac:dyDescent="0.25">
      <c r="A25" s="231" t="s">
        <v>853</v>
      </c>
      <c r="B25" s="231" t="s">
        <v>695</v>
      </c>
      <c r="C25" s="231" t="s">
        <v>379</v>
      </c>
      <c r="D25" s="231" t="s">
        <v>696</v>
      </c>
      <c r="E25" s="231" t="s">
        <v>629</v>
      </c>
      <c r="F25" s="231" t="s">
        <v>548</v>
      </c>
      <c r="G25" s="231" t="s">
        <v>698</v>
      </c>
    </row>
    <row r="26" spans="1:9" x14ac:dyDescent="0.25">
      <c r="A26" s="193" t="str">
        <f>H4a_MODERATION!A25</f>
        <v>Bas</v>
      </c>
      <c r="B26" s="193" t="str">
        <f>H4a_MODERATION!B25</f>
        <v>SRP → Q1</v>
      </c>
      <c r="C26" s="193">
        <f>H4a_MODERATION!C25</f>
        <v>21</v>
      </c>
      <c r="D26" s="193">
        <f>H4a_MODERATION!D25</f>
        <v>-0.41561294300239771</v>
      </c>
      <c r="E26" s="193">
        <f>H4a_MODERATION!E25</f>
        <v>-1.9917888995333775</v>
      </c>
      <c r="F26" s="193">
        <f>H4a_MODERATION!G25</f>
        <v>6.0965841252800579E-2</v>
      </c>
      <c r="G26" s="193" t="str">
        <f>H4a_MODERATION!H25</f>
        <v>.</v>
      </c>
    </row>
    <row r="27" spans="1:9" x14ac:dyDescent="0.25">
      <c r="A27" s="232" t="str">
        <f>H4a_MODERATION!A26</f>
        <v>Moyen</v>
      </c>
      <c r="B27" s="232" t="str">
        <f>H4a_MODERATION!B26</f>
        <v>SRP → Q1</v>
      </c>
      <c r="C27" s="232">
        <f>H4a_MODERATION!C26</f>
        <v>24</v>
      </c>
      <c r="D27" s="232">
        <f>H4a_MODERATION!D26</f>
        <v>-0.27407502882115659</v>
      </c>
      <c r="E27" s="232">
        <f>H4a_MODERATION!E26</f>
        <v>-1.3367107444924866</v>
      </c>
      <c r="F27" s="232">
        <f>H4a_MODERATION!G26</f>
        <v>0.19497723747050349</v>
      </c>
      <c r="G27" s="232" t="str">
        <f>H4a_MODERATION!H26</f>
        <v>NS</v>
      </c>
    </row>
    <row r="28" spans="1:9" x14ac:dyDescent="0.25">
      <c r="A28" s="193" t="str">
        <f>H4a_MODERATION!A27</f>
        <v>Élevé</v>
      </c>
      <c r="B28" s="193" t="str">
        <f>H4a_MODERATION!B27</f>
        <v>SRP → Q1</v>
      </c>
      <c r="C28" s="193">
        <f>H4a_MODERATION!C27</f>
        <v>22</v>
      </c>
      <c r="D28" s="193">
        <f>H4a_MODERATION!D27</f>
        <v>3.0447407905009619E-2</v>
      </c>
      <c r="E28" s="193">
        <f>H4a_MODERATION!E27</f>
        <v>0.13622810703860205</v>
      </c>
      <c r="F28" s="193">
        <f>H4a_MODERATION!G27</f>
        <v>0.89300286823578801</v>
      </c>
      <c r="G28" s="193" t="str">
        <f>H4a_MODERATION!H27</f>
        <v>NS</v>
      </c>
    </row>
    <row r="29" spans="1:9" x14ac:dyDescent="0.25">
      <c r="A29" s="330" t="s">
        <v>1049</v>
      </c>
      <c r="B29" s="330"/>
      <c r="C29" s="330"/>
      <c r="D29" s="330"/>
      <c r="E29" s="330"/>
      <c r="F29" s="330"/>
      <c r="G29" s="330"/>
      <c r="H29" s="330"/>
      <c r="I29" s="330"/>
    </row>
    <row r="31" spans="1:9" ht="15.75" x14ac:dyDescent="0.25">
      <c r="A31" s="331" t="s">
        <v>1050</v>
      </c>
      <c r="B31" s="331"/>
      <c r="C31" s="331"/>
      <c r="D31" s="331"/>
      <c r="E31" s="331"/>
      <c r="F31" s="331"/>
      <c r="G31" s="331"/>
      <c r="H31" s="331"/>
      <c r="I31" s="331"/>
    </row>
    <row r="32" spans="1:9" x14ac:dyDescent="0.25">
      <c r="A32" s="332" t="s">
        <v>1051</v>
      </c>
      <c r="B32" s="332"/>
      <c r="C32" s="332"/>
      <c r="D32" s="332"/>
      <c r="E32" s="332"/>
      <c r="F32" s="332"/>
      <c r="G32" s="332"/>
      <c r="H32" s="332"/>
      <c r="I32" s="332"/>
    </row>
    <row r="33" spans="1:9" x14ac:dyDescent="0.25">
      <c r="A33" s="231" t="s">
        <v>379</v>
      </c>
      <c r="B33" s="231" t="s">
        <v>696</v>
      </c>
      <c r="C33" s="231" t="s">
        <v>629</v>
      </c>
      <c r="D33" s="231" t="s">
        <v>697</v>
      </c>
      <c r="E33" s="231" t="s">
        <v>548</v>
      </c>
      <c r="F33" s="231" t="s">
        <v>1039</v>
      </c>
      <c r="G33" s="231" t="s">
        <v>551</v>
      </c>
    </row>
    <row r="34" spans="1:9" x14ac:dyDescent="0.25">
      <c r="A34" s="193">
        <f>H4b_SCEPTICISME!D19</f>
        <v>67</v>
      </c>
      <c r="B34" s="193">
        <f>H4b_SCEPTICISME!E19</f>
        <v>0.18957620665689032</v>
      </c>
      <c r="C34" s="193">
        <f>H4b_SCEPTICISME!F19</f>
        <v>1.5566403411740142</v>
      </c>
      <c r="D34" s="193">
        <f>H4b_SCEPTICISME!G19</f>
        <v>65</v>
      </c>
      <c r="E34" s="193">
        <f>H4b_SCEPTICISME!H19</f>
        <v>0.12441185721232748</v>
      </c>
      <c r="F34" s="193" t="s">
        <v>1040</v>
      </c>
      <c r="G34" s="193" t="str">
        <f>IF(E34&lt;0.05,"CONFIRMÉE","INFIRMÉE")</f>
        <v>INFIRMÉE</v>
      </c>
    </row>
    <row r="36" spans="1:9" ht="15.75" x14ac:dyDescent="0.25">
      <c r="A36" s="331" t="s">
        <v>1052</v>
      </c>
      <c r="B36" s="331"/>
      <c r="C36" s="331"/>
      <c r="D36" s="331"/>
      <c r="E36" s="331"/>
      <c r="F36" s="331"/>
      <c r="G36" s="331"/>
      <c r="H36" s="331"/>
      <c r="I36" s="331"/>
    </row>
    <row r="37" spans="1:9" x14ac:dyDescent="0.25">
      <c r="A37" s="332" t="s">
        <v>1053</v>
      </c>
      <c r="B37" s="332"/>
      <c r="C37" s="332"/>
      <c r="D37" s="332"/>
      <c r="E37" s="332"/>
      <c r="F37" s="332"/>
      <c r="G37" s="332"/>
      <c r="H37" s="332"/>
      <c r="I37" s="332"/>
    </row>
    <row r="38" spans="1:9" x14ac:dyDescent="0.25">
      <c r="A38" s="231" t="s">
        <v>379</v>
      </c>
      <c r="B38" s="231" t="s">
        <v>696</v>
      </c>
      <c r="C38" s="231" t="s">
        <v>629</v>
      </c>
      <c r="D38" s="231" t="s">
        <v>697</v>
      </c>
      <c r="E38" s="231" t="s">
        <v>548</v>
      </c>
      <c r="F38" s="231" t="s">
        <v>1039</v>
      </c>
      <c r="G38" s="231" t="s">
        <v>551</v>
      </c>
    </row>
    <row r="39" spans="1:9" x14ac:dyDescent="0.25">
      <c r="A39" s="193">
        <f>H4b_SCEPTICISME!D20</f>
        <v>67</v>
      </c>
      <c r="B39" s="193">
        <f>H4b_SCEPTICISME!E20</f>
        <v>0.11261127342095291</v>
      </c>
      <c r="C39" s="193">
        <f>H4b_SCEPTICISME!F20</f>
        <v>0.91371313112552122</v>
      </c>
      <c r="D39" s="193">
        <f>H4b_SCEPTICISME!G20</f>
        <v>65</v>
      </c>
      <c r="E39" s="193">
        <f>H4b_SCEPTICISME!H20</f>
        <v>0.36424451291437565</v>
      </c>
      <c r="F39" s="193" t="s">
        <v>1040</v>
      </c>
      <c r="G39" s="193" t="str">
        <f>IF(E39&lt;0.05,"CONFIRMÉE","INFIRMÉE")</f>
        <v>INFIRMÉE</v>
      </c>
    </row>
    <row r="41" spans="1:9" ht="15.75" x14ac:dyDescent="0.25">
      <c r="A41" s="333" t="s">
        <v>1054</v>
      </c>
      <c r="B41" s="333"/>
      <c r="C41" s="333"/>
      <c r="D41" s="333"/>
      <c r="E41" s="333"/>
      <c r="F41" s="333"/>
      <c r="G41" s="333"/>
    </row>
    <row r="42" spans="1:9" x14ac:dyDescent="0.25">
      <c r="A42" s="231" t="s">
        <v>625</v>
      </c>
      <c r="B42" s="231" t="s">
        <v>1055</v>
      </c>
      <c r="C42" s="231" t="s">
        <v>696</v>
      </c>
      <c r="D42" s="231" t="s">
        <v>548</v>
      </c>
      <c r="E42" s="231" t="s">
        <v>1056</v>
      </c>
      <c r="F42" s="231" t="s">
        <v>551</v>
      </c>
      <c r="G42" s="231" t="s">
        <v>1057</v>
      </c>
    </row>
    <row r="43" spans="1:9" x14ac:dyDescent="0.25">
      <c r="A43" s="193" t="s">
        <v>589</v>
      </c>
      <c r="B43" s="193" t="s">
        <v>832</v>
      </c>
      <c r="C43" s="193">
        <f>'5.3_HYPOTHESES'!C21</f>
        <v>0.16799573079388649</v>
      </c>
      <c r="D43" s="193">
        <f>'5.3_HYPOTHESES'!D21</f>
        <v>0.17417627109125927</v>
      </c>
      <c r="E43" s="193" t="str">
        <f>IF(D43&lt;0.05,"Oui *","Non (NS)")</f>
        <v>Non (NS)</v>
      </c>
      <c r="F43" s="193" t="str">
        <f>IF(D43&lt;0.05,"CONFIRMÉE","INFIRMÉE")</f>
        <v>INFIRMÉE</v>
      </c>
      <c r="G43" s="193" t="str">
        <f>IF(AND(D43&lt;0.05,C43&gt;0),"Oui","Non")</f>
        <v>Non</v>
      </c>
    </row>
    <row r="44" spans="1:9" x14ac:dyDescent="0.25">
      <c r="A44" s="232" t="s">
        <v>592</v>
      </c>
      <c r="B44" s="232" t="s">
        <v>761</v>
      </c>
      <c r="C44" s="232">
        <f>'5.3_HYPOTHESES'!C22</f>
        <v>0.3249278719182116</v>
      </c>
      <c r="D44" s="232">
        <f>'5.3_HYPOTHESES'!D22</f>
        <v>7.3005317475038451E-3</v>
      </c>
      <c r="E44" s="232" t="str">
        <f>IF(D44&lt;0.05,"Oui *","Non (NS)")</f>
        <v>Oui *</v>
      </c>
      <c r="F44" s="232" t="str">
        <f>IF(D44&lt;0.05,"CONFIRMÉE","INFIRMÉE")</f>
        <v>CONFIRMÉE</v>
      </c>
      <c r="G44" s="232" t="str">
        <f>IF(AND(D44&lt;0.05,C44&gt;0),"Oui","Non")</f>
        <v>Oui</v>
      </c>
    </row>
    <row r="45" spans="1:9" x14ac:dyDescent="0.25">
      <c r="A45" s="193" t="s">
        <v>595</v>
      </c>
      <c r="B45" s="193" t="s">
        <v>805</v>
      </c>
      <c r="C45" s="193">
        <f>'5.3_HYPOTHESES'!C23</f>
        <v>0.30950561196222048</v>
      </c>
      <c r="D45" s="193">
        <f>'5.3_HYPOTHESES'!D23</f>
        <v>1.0814038085717938E-2</v>
      </c>
      <c r="E45" s="193" t="str">
        <f>IF(D45&lt;0.05,"Oui *","Non (NS)")</f>
        <v>Oui *</v>
      </c>
      <c r="F45" s="193" t="str">
        <f>IF(D45&lt;0.05,"CONFIRMÉE","INFIRMÉE")</f>
        <v>CONFIRMÉE</v>
      </c>
      <c r="G45" s="193" t="str">
        <f>IF(AND(D45&lt;0.05,C45&gt;0),"Oui","Non")</f>
        <v>Oui</v>
      </c>
    </row>
    <row r="46" spans="1:9" x14ac:dyDescent="0.25">
      <c r="A46" s="232" t="s">
        <v>1058</v>
      </c>
      <c r="B46" s="232" t="s">
        <v>807</v>
      </c>
      <c r="C46" s="232">
        <f>'5.3_HYPOTHESES'!C24</f>
        <v>-0.23098831616581353</v>
      </c>
      <c r="D46" s="232">
        <f>'5.3_HYPOTHESES'!D24</f>
        <v>6.0018256687192705E-2</v>
      </c>
      <c r="E46" s="232" t="str">
        <f>IF(D46&lt;0.05,"Oui *","Non (NS)")</f>
        <v>Non (NS)</v>
      </c>
      <c r="F46" s="232" t="str">
        <f>IF(D46&lt;0.05,"CONFIRMÉE","INFIRMÉE")</f>
        <v>INFIRMÉE</v>
      </c>
      <c r="G46" s="232" t="str">
        <f>IF(AND(D46&lt;0.05,C46&lt;0),"Oui","Non")</f>
        <v>Non</v>
      </c>
    </row>
    <row r="47" spans="1:9" x14ac:dyDescent="0.25">
      <c r="A47" s="193" t="s">
        <v>601</v>
      </c>
      <c r="B47" s="193" t="s">
        <v>1059</v>
      </c>
      <c r="C47" s="193" t="s">
        <v>1060</v>
      </c>
      <c r="D47" s="193" t="s">
        <v>1061</v>
      </c>
      <c r="E47" s="193" t="s">
        <v>1062</v>
      </c>
      <c r="F47" s="193" t="s">
        <v>1063</v>
      </c>
      <c r="G47" s="193" t="s">
        <v>1064</v>
      </c>
    </row>
    <row r="48" spans="1:9" x14ac:dyDescent="0.25">
      <c r="A48" s="232" t="s">
        <v>1065</v>
      </c>
      <c r="B48" s="232" t="s">
        <v>1066</v>
      </c>
      <c r="C48" s="232">
        <f>'5.3_HYPOTHESES'!C26</f>
        <v>0.18957620665689032</v>
      </c>
      <c r="D48" s="232">
        <f>'5.3_HYPOTHESES'!D26</f>
        <v>0.12441185721232748</v>
      </c>
      <c r="E48" s="232" t="str">
        <f>IF(D48&lt;0.05,"Oui *","Non (NS)")</f>
        <v>Non (NS)</v>
      </c>
      <c r="F48" s="232" t="str">
        <f>IF(D48&lt;0.05,"CONFIRMÉE","INFIRMÉE")</f>
        <v>INFIRMÉE</v>
      </c>
      <c r="G48" s="232" t="str">
        <f>IF(AND(D48&lt;0.05,C48&gt;0),"Oui","Non")</f>
        <v>Non</v>
      </c>
    </row>
    <row r="49" spans="1:7" x14ac:dyDescent="0.25">
      <c r="A49" s="193" t="s">
        <v>1067</v>
      </c>
      <c r="B49" s="193" t="s">
        <v>1068</v>
      </c>
      <c r="C49" s="193">
        <f>'5.3_HYPOTHESES'!C27</f>
        <v>0.11261127342095291</v>
      </c>
      <c r="D49" s="193">
        <f>'5.3_HYPOTHESES'!D27</f>
        <v>0.36424451291437565</v>
      </c>
      <c r="E49" s="193" t="str">
        <f>IF(D49&lt;0.05,"Oui *","Non (NS)")</f>
        <v>Non (NS)</v>
      </c>
      <c r="F49" s="193" t="str">
        <f>IF(D49&lt;0.05,"CONFIRMÉE","INFIRMÉE")</f>
        <v>INFIRMÉE</v>
      </c>
      <c r="G49" s="193" t="str">
        <f>IF(AND(D49&lt;0.05,C49&lt;0),"Oui","Non")</f>
        <v>Non</v>
      </c>
    </row>
    <row r="52" spans="1:7" x14ac:dyDescent="0.25">
      <c r="A52" s="254" t="s">
        <v>1123</v>
      </c>
      <c r="B52" s="254"/>
      <c r="C52" s="254"/>
      <c r="D52" s="254"/>
      <c r="E52" s="254"/>
      <c r="F52" s="254"/>
      <c r="G52" s="254"/>
    </row>
    <row r="54" spans="1:7" x14ac:dyDescent="0.25">
      <c r="A54" t="s">
        <v>625</v>
      </c>
      <c r="B54" t="s">
        <v>696</v>
      </c>
    </row>
    <row r="55" spans="1:7" x14ac:dyDescent="0.25">
      <c r="A55" t="s">
        <v>1124</v>
      </c>
      <c r="B55">
        <f>B6</f>
        <v>8.8273721895141322E-2</v>
      </c>
    </row>
    <row r="56" spans="1:7" x14ac:dyDescent="0.25">
      <c r="A56" t="s">
        <v>1125</v>
      </c>
      <c r="B56">
        <f>B11</f>
        <v>0.3249278719182116</v>
      </c>
    </row>
    <row r="57" spans="1:7" x14ac:dyDescent="0.25">
      <c r="A57" t="s">
        <v>1126</v>
      </c>
      <c r="B57">
        <f>B16</f>
        <v>0.30950561196222048</v>
      </c>
    </row>
    <row r="58" spans="1:7" x14ac:dyDescent="0.25">
      <c r="A58" t="s">
        <v>1127</v>
      </c>
      <c r="B58">
        <f>B21</f>
        <v>-0.23098831616581353</v>
      </c>
    </row>
    <row r="59" spans="1:7" x14ac:dyDescent="0.25">
      <c r="A59" t="s">
        <v>1128</v>
      </c>
      <c r="B59">
        <f>D26</f>
        <v>-0.41561294300239771</v>
      </c>
    </row>
    <row r="60" spans="1:7" x14ac:dyDescent="0.25">
      <c r="A60" t="s">
        <v>1129</v>
      </c>
      <c r="B60">
        <f>B34</f>
        <v>0.18957620665689032</v>
      </c>
    </row>
    <row r="61" spans="1:7" x14ac:dyDescent="0.25">
      <c r="A61" t="s">
        <v>1130</v>
      </c>
      <c r="B61">
        <f>B39</f>
        <v>0.11261127342095291</v>
      </c>
    </row>
    <row r="82" spans="1:7" x14ac:dyDescent="0.25">
      <c r="A82" s="254" t="s">
        <v>1131</v>
      </c>
      <c r="B82" s="254"/>
      <c r="C82" s="254"/>
      <c r="D82" s="254"/>
      <c r="E82" s="254"/>
      <c r="F82" s="254"/>
      <c r="G82" s="254"/>
    </row>
    <row r="84" spans="1:7" x14ac:dyDescent="0.25">
      <c r="A84" t="s">
        <v>853</v>
      </c>
      <c r="B84" t="s">
        <v>696</v>
      </c>
    </row>
    <row r="85" spans="1:7" x14ac:dyDescent="0.25">
      <c r="A85" t="s">
        <v>864</v>
      </c>
      <c r="B85">
        <f>D26</f>
        <v>-0.41561294300239771</v>
      </c>
    </row>
    <row r="86" spans="1:7" x14ac:dyDescent="0.25">
      <c r="A86" t="s">
        <v>866</v>
      </c>
      <c r="B86">
        <f>D27</f>
        <v>-0.27407502882115659</v>
      </c>
    </row>
    <row r="87" spans="1:7" x14ac:dyDescent="0.25">
      <c r="A87" t="s">
        <v>868</v>
      </c>
      <c r="B87">
        <f>D28</f>
        <v>3.0447407905009619E-2</v>
      </c>
    </row>
    <row r="105" spans="1:7" x14ac:dyDescent="0.25">
      <c r="A105" s="254" t="s">
        <v>1143</v>
      </c>
      <c r="B105" s="254"/>
      <c r="C105" s="254"/>
      <c r="D105" s="254"/>
      <c r="E105" s="254"/>
      <c r="F105" s="254"/>
      <c r="G105" s="254"/>
    </row>
    <row r="107" spans="1:7" x14ac:dyDescent="0.25">
      <c r="A107" t="s">
        <v>983</v>
      </c>
      <c r="B107" t="s">
        <v>1144</v>
      </c>
    </row>
    <row r="108" spans="1:7" x14ac:dyDescent="0.25">
      <c r="A108" t="s">
        <v>1145</v>
      </c>
      <c r="B108">
        <v>3</v>
      </c>
    </row>
    <row r="109" spans="1:7" x14ac:dyDescent="0.25">
      <c r="A109" t="s">
        <v>950</v>
      </c>
      <c r="B109">
        <v>3</v>
      </c>
    </row>
  </sheetData>
  <mergeCells count="20">
    <mergeCell ref="A82:G82"/>
    <mergeCell ref="A105:G105"/>
    <mergeCell ref="A31:I31"/>
    <mergeCell ref="A32:I32"/>
    <mergeCell ref="A36:I36"/>
    <mergeCell ref="A37:I37"/>
    <mergeCell ref="A41:G41"/>
    <mergeCell ref="A52:G52"/>
    <mergeCell ref="A29:I29"/>
    <mergeCell ref="A1:I1"/>
    <mergeCell ref="A3:I3"/>
    <mergeCell ref="A4:I4"/>
    <mergeCell ref="A8:I8"/>
    <mergeCell ref="A9:I9"/>
    <mergeCell ref="A13:I13"/>
    <mergeCell ref="A14:I14"/>
    <mergeCell ref="A18:I18"/>
    <mergeCell ref="A19:I19"/>
    <mergeCell ref="A23:I23"/>
    <mergeCell ref="A24:I2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10F77-4CF4-4FD4-B66F-A13DED41D7D1}">
  <dimension ref="A1:G100"/>
  <sheetViews>
    <sheetView topLeftCell="A6" workbookViewId="0">
      <selection activeCell="C16" sqref="C16"/>
    </sheetView>
  </sheetViews>
  <sheetFormatPr baseColWidth="10" defaultRowHeight="15" x14ac:dyDescent="0.25"/>
  <cols>
    <col min="1" max="1" width="28.5703125" customWidth="1"/>
    <col min="2" max="2" width="13.28515625" customWidth="1"/>
    <col min="3" max="5" width="22.85546875" customWidth="1"/>
    <col min="6" max="6" width="19" customWidth="1"/>
  </cols>
  <sheetData>
    <row r="1" spans="1:7" ht="18.75" x14ac:dyDescent="0.3">
      <c r="A1" s="329" t="s">
        <v>1069</v>
      </c>
      <c r="B1" s="329"/>
      <c r="C1" s="329"/>
      <c r="D1" s="329"/>
      <c r="E1" s="329"/>
      <c r="F1" s="329"/>
      <c r="G1" s="329"/>
    </row>
    <row r="3" spans="1:7" x14ac:dyDescent="0.25">
      <c r="A3" s="318" t="s">
        <v>1070</v>
      </c>
      <c r="B3" s="318"/>
      <c r="C3" s="318"/>
      <c r="D3" s="318"/>
      <c r="E3" s="318"/>
    </row>
    <row r="4" spans="1:7" x14ac:dyDescent="0.25">
      <c r="A4" s="231" t="s">
        <v>573</v>
      </c>
      <c r="B4" s="231" t="s">
        <v>1071</v>
      </c>
      <c r="C4" s="231" t="s">
        <v>1072</v>
      </c>
    </row>
    <row r="5" spans="1:7" x14ac:dyDescent="0.25">
      <c r="A5" s="193" t="s">
        <v>1073</v>
      </c>
      <c r="B5" s="193">
        <f>'5.4_COMPLEM'!D32</f>
        <v>3.8805970149253732</v>
      </c>
      <c r="C5" s="193">
        <v>1</v>
      </c>
    </row>
    <row r="6" spans="1:7" x14ac:dyDescent="0.25">
      <c r="A6" s="232" t="s">
        <v>576</v>
      </c>
      <c r="B6" s="232">
        <f>'5.4_COMPLEM'!D31</f>
        <v>3.6417910447761193</v>
      </c>
      <c r="C6" s="232">
        <v>2</v>
      </c>
    </row>
    <row r="7" spans="1:7" x14ac:dyDescent="0.25">
      <c r="A7" s="193" t="s">
        <v>1074</v>
      </c>
      <c r="B7" s="193">
        <f>'5.4_COMPLEM'!D34</f>
        <v>4.4328358208955221</v>
      </c>
      <c r="C7" s="193">
        <v>3</v>
      </c>
    </row>
    <row r="8" spans="1:7" x14ac:dyDescent="0.25">
      <c r="A8" s="232" t="s">
        <v>1075</v>
      </c>
      <c r="B8" s="232">
        <f>'5.4_COMPLEM'!D33</f>
        <v>4.3432835820895521</v>
      </c>
      <c r="C8" s="232">
        <v>4</v>
      </c>
    </row>
    <row r="10" spans="1:7" x14ac:dyDescent="0.25">
      <c r="A10" s="318" t="s">
        <v>1076</v>
      </c>
      <c r="B10" s="318"/>
      <c r="C10" s="318"/>
      <c r="D10" s="318"/>
      <c r="E10" s="318"/>
      <c r="F10" s="318"/>
      <c r="G10" s="318"/>
    </row>
    <row r="11" spans="1:7" x14ac:dyDescent="0.25">
      <c r="A11" s="231" t="s">
        <v>690</v>
      </c>
      <c r="B11" s="231" t="s">
        <v>379</v>
      </c>
      <c r="C11" s="231" t="s">
        <v>538</v>
      </c>
      <c r="D11" s="231" t="s">
        <v>854</v>
      </c>
      <c r="E11" s="231" t="s">
        <v>1077</v>
      </c>
      <c r="F11" s="231" t="s">
        <v>539</v>
      </c>
    </row>
    <row r="12" spans="1:7" x14ac:dyDescent="0.25">
      <c r="A12" s="193" t="str">
        <f>'5.4_COMPLEM'!A5</f>
        <v>Junior</v>
      </c>
      <c r="B12" s="193">
        <f>'5.4_COMPLEM'!C5</f>
        <v>32</v>
      </c>
      <c r="C12" s="193">
        <f>'5.4_COMPLEM'!D6</f>
        <v>5.3520000000000003</v>
      </c>
      <c r="D12" s="193">
        <f>AVERAGEIFS(DONNEES_SOURCE!BX:BX,DONNEES_SOURCE!BZ:BZ,"Junior",DONNEES_SOURCE!CA:CA,TRUE)</f>
        <v>4.6145843750000006</v>
      </c>
      <c r="E12" s="193">
        <f>'5.4_COMPLEM'!D5</f>
        <v>4.806</v>
      </c>
      <c r="F12" s="193">
        <f>'5.4_COMPLEM'!D7</f>
        <v>4.9379999999999997</v>
      </c>
    </row>
    <row r="13" spans="1:7" x14ac:dyDescent="0.25">
      <c r="A13" s="232" t="str">
        <f>'5.4_COMPLEM'!A9</f>
        <v>Senior-Manager</v>
      </c>
      <c r="B13" s="232">
        <f>'5.4_COMPLEM'!C9</f>
        <v>17</v>
      </c>
      <c r="C13" s="232">
        <f>'5.4_COMPLEM'!D10</f>
        <v>5.5439999999999996</v>
      </c>
      <c r="D13" s="232">
        <f>AVERAGEIFS(DONNEES_SOURCE!BX:BX,DONNEES_SOURCE!BZ:BZ,"Senior-Manager",DONNEES_SOURCE!CA:CA,TRUE)</f>
        <v>5.1764764705882351</v>
      </c>
      <c r="E13" s="232">
        <f>'5.4_COMPLEM'!D9</f>
        <v>5.0819999999999999</v>
      </c>
      <c r="F13" s="232">
        <f>'5.4_COMPLEM'!D11</f>
        <v>5.2350000000000003</v>
      </c>
    </row>
    <row r="14" spans="1:7" x14ac:dyDescent="0.25">
      <c r="A14" s="193" t="str">
        <f>'5.4_COMPLEM'!A13</f>
        <v>Associe</v>
      </c>
      <c r="B14" s="193">
        <f>'5.4_COMPLEM'!C13</f>
        <v>18</v>
      </c>
      <c r="C14" s="193">
        <f>'5.4_COMPLEM'!D14</f>
        <v>5.8609999999999998</v>
      </c>
      <c r="D14" s="193">
        <f>AVERAGEIFS(DONNEES_SOURCE!BX:BX,DONNEES_SOURCE!BZ:BZ,"Associe",DONNEES_SOURCE!CA:CA,TRUE)</f>
        <v>4.7037000000000004</v>
      </c>
      <c r="E14" s="193">
        <f>'5.4_COMPLEM'!D13</f>
        <v>5.1109999999999998</v>
      </c>
      <c r="F14" s="193">
        <f>'5.4_COMPLEM'!D15</f>
        <v>4.944</v>
      </c>
    </row>
    <row r="15" spans="1:7" x14ac:dyDescent="0.25">
      <c r="A15" s="334" t="s">
        <v>1078</v>
      </c>
      <c r="B15" s="334"/>
      <c r="C15" s="334"/>
      <c r="D15" s="334"/>
      <c r="E15" s="334"/>
      <c r="F15" s="334"/>
    </row>
    <row r="16" spans="1:7" x14ac:dyDescent="0.25">
      <c r="A16" s="193" t="s">
        <v>983</v>
      </c>
      <c r="B16" s="193" t="s">
        <v>8</v>
      </c>
      <c r="C16" s="193" t="s">
        <v>1079</v>
      </c>
      <c r="D16" s="193" t="s">
        <v>1080</v>
      </c>
      <c r="E16" s="193" t="s">
        <v>1081</v>
      </c>
      <c r="F16" s="193" t="s">
        <v>1082</v>
      </c>
    </row>
    <row r="18" spans="1:7" x14ac:dyDescent="0.25">
      <c r="A18" s="318" t="s">
        <v>1083</v>
      </c>
      <c r="B18" s="318"/>
      <c r="C18" s="318"/>
      <c r="D18" s="318"/>
      <c r="E18" s="318"/>
      <c r="F18" s="318"/>
    </row>
    <row r="19" spans="1:7" x14ac:dyDescent="0.25">
      <c r="A19" s="231" t="s">
        <v>1084</v>
      </c>
      <c r="B19" s="231" t="s">
        <v>379</v>
      </c>
      <c r="C19" s="231" t="s">
        <v>538</v>
      </c>
      <c r="D19" s="231" t="s">
        <v>854</v>
      </c>
      <c r="E19" s="231" t="s">
        <v>1077</v>
      </c>
    </row>
    <row r="20" spans="1:7" x14ac:dyDescent="0.25">
      <c r="A20" s="193" t="s">
        <v>569</v>
      </c>
      <c r="B20" s="193">
        <f>'5.4_COMPLEM'!C20</f>
        <v>37</v>
      </c>
      <c r="C20" s="193">
        <f>'5.4_COMPLEM'!D20</f>
        <v>5.3380000000000001</v>
      </c>
      <c r="D20" s="193">
        <f>'5.4_COMPLEM'!D21</f>
        <v>4.7210000000000001</v>
      </c>
      <c r="E20" s="193">
        <f>'5.4_COMPLEM'!D22</f>
        <v>4.8109999999999999</v>
      </c>
    </row>
    <row r="21" spans="1:7" x14ac:dyDescent="0.25">
      <c r="A21" s="232" t="s">
        <v>571</v>
      </c>
      <c r="B21" s="232">
        <f>'5.4_COMPLEM'!C24</f>
        <v>30</v>
      </c>
      <c r="C21" s="232">
        <f>'5.4_COMPLEM'!D24</f>
        <v>5.7830000000000004</v>
      </c>
      <c r="D21" s="232">
        <f>'5.4_COMPLEM'!D25</f>
        <v>4.8559999999999999</v>
      </c>
      <c r="E21" s="232">
        <f>'5.4_COMPLEM'!D26</f>
        <v>5.14</v>
      </c>
    </row>
    <row r="22" spans="1:7" x14ac:dyDescent="0.25">
      <c r="A22" s="233" t="s">
        <v>1085</v>
      </c>
      <c r="B22" s="233" t="s">
        <v>8</v>
      </c>
      <c r="C22" s="233" t="s">
        <v>1086</v>
      </c>
      <c r="D22" s="233" t="s">
        <v>1087</v>
      </c>
      <c r="E22" s="233" t="s">
        <v>1088</v>
      </c>
    </row>
    <row r="24" spans="1:7" x14ac:dyDescent="0.25">
      <c r="A24" s="318" t="s">
        <v>1089</v>
      </c>
      <c r="B24" s="318"/>
      <c r="C24" s="318"/>
      <c r="D24" s="318"/>
      <c r="E24" s="318"/>
      <c r="F24" s="318"/>
      <c r="G24" s="318"/>
    </row>
    <row r="25" spans="1:7" x14ac:dyDescent="0.25">
      <c r="A25" s="311" t="s">
        <v>1090</v>
      </c>
      <c r="B25" s="311"/>
      <c r="C25" s="311"/>
      <c r="D25" s="311"/>
    </row>
    <row r="26" spans="1:7" x14ac:dyDescent="0.25">
      <c r="A26" s="231" t="s">
        <v>393</v>
      </c>
      <c r="B26" s="231" t="s">
        <v>379</v>
      </c>
      <c r="C26" s="231" t="s">
        <v>380</v>
      </c>
    </row>
    <row r="27" spans="1:7" x14ac:dyDescent="0.25">
      <c r="A27" s="193" t="str">
        <f>'5.4_COMPLEM'!A39</f>
        <v>Oui — Augmentation prévue</v>
      </c>
      <c r="B27" s="193">
        <f>'5.4_COMPLEM'!B39</f>
        <v>39</v>
      </c>
      <c r="C27" s="193">
        <f>'5.4_COMPLEM'!C39</f>
        <v>0.58208955223880599</v>
      </c>
    </row>
    <row r="28" spans="1:7" x14ac:dyDescent="0.25">
      <c r="A28" s="232" t="str">
        <f>'5.4_COMPLEM'!A40</f>
        <v>Non — Pas d'augmentation prévue</v>
      </c>
      <c r="B28" s="232">
        <f>'5.4_COMPLEM'!B40</f>
        <v>24</v>
      </c>
      <c r="C28" s="232">
        <f>'5.4_COMPLEM'!C40</f>
        <v>0.35820895522388058</v>
      </c>
    </row>
    <row r="29" spans="1:7" x14ac:dyDescent="0.25">
      <c r="A29" s="193" t="str">
        <f>'5.4_COMPLEM'!A41</f>
        <v>Conditionnel / Incertain</v>
      </c>
      <c r="B29" s="193">
        <f>'5.4_COMPLEM'!B41</f>
        <v>4</v>
      </c>
      <c r="C29" s="193">
        <f>'5.4_COMPLEM'!C41</f>
        <v>5.9701492537313432E-2</v>
      </c>
    </row>
    <row r="30" spans="1:7" x14ac:dyDescent="0.25">
      <c r="A30" s="233" t="s">
        <v>648</v>
      </c>
      <c r="B30" s="233">
        <f>SUM(B27:B29)</f>
        <v>67</v>
      </c>
      <c r="C30" s="234">
        <v>1</v>
      </c>
    </row>
    <row r="32" spans="1:7" x14ac:dyDescent="0.25">
      <c r="A32" s="311" t="s">
        <v>1091</v>
      </c>
      <c r="B32" s="311"/>
      <c r="C32" s="311"/>
      <c r="D32" s="311"/>
      <c r="E32" s="311"/>
    </row>
    <row r="33" spans="1:7" x14ac:dyDescent="0.25">
      <c r="A33" s="231" t="s">
        <v>628</v>
      </c>
      <c r="B33" s="231" t="s">
        <v>696</v>
      </c>
      <c r="C33" s="231" t="s">
        <v>629</v>
      </c>
      <c r="D33" s="231" t="s">
        <v>548</v>
      </c>
      <c r="E33" s="231" t="s">
        <v>1056</v>
      </c>
    </row>
    <row r="34" spans="1:7" x14ac:dyDescent="0.25">
      <c r="A34" s="193">
        <f>'5.4_COMPLEM'!A62</f>
        <v>67</v>
      </c>
      <c r="B34" s="193">
        <f>'5.4_COMPLEM'!B62</f>
        <v>0.30986095476058029</v>
      </c>
      <c r="C34" s="193">
        <f>'5.4_COMPLEM'!C62</f>
        <v>2.6274994596887522</v>
      </c>
      <c r="D34" s="193">
        <f>'5.4_COMPLEM'!D62</f>
        <v>1.071894759649065E-2</v>
      </c>
      <c r="E34" s="193" t="str">
        <f>'5.4_COMPLEM'!E62</f>
        <v>OUI (p&lt;0.05)</v>
      </c>
    </row>
    <row r="35" spans="1:7" x14ac:dyDescent="0.25">
      <c r="A35" s="335" t="s">
        <v>1092</v>
      </c>
      <c r="B35" s="335"/>
      <c r="C35" s="335"/>
      <c r="D35" s="335"/>
      <c r="E35" s="335"/>
      <c r="F35" s="335"/>
      <c r="G35" s="335"/>
    </row>
    <row r="36" spans="1:7" x14ac:dyDescent="0.25">
      <c r="A36" s="335"/>
      <c r="B36" s="335"/>
      <c r="C36" s="335"/>
      <c r="D36" s="335"/>
      <c r="E36" s="335"/>
      <c r="F36" s="335"/>
      <c r="G36" s="335"/>
    </row>
    <row r="52" spans="1:7" x14ac:dyDescent="0.25">
      <c r="A52" s="254" t="s">
        <v>1132</v>
      </c>
      <c r="B52" s="254"/>
      <c r="C52" s="254"/>
      <c r="D52" s="254"/>
      <c r="E52" s="254"/>
      <c r="F52" s="254"/>
      <c r="G52" s="254"/>
    </row>
    <row r="54" spans="1:7" x14ac:dyDescent="0.25">
      <c r="A54" t="s">
        <v>690</v>
      </c>
      <c r="B54" t="s">
        <v>297</v>
      </c>
      <c r="C54" t="s">
        <v>299</v>
      </c>
      <c r="D54" t="s">
        <v>498</v>
      </c>
    </row>
    <row r="55" spans="1:7" x14ac:dyDescent="0.25">
      <c r="A55" t="s">
        <v>140</v>
      </c>
      <c r="B55">
        <f>C12</f>
        <v>5.3520000000000003</v>
      </c>
      <c r="C55">
        <f t="shared" ref="C55:D57" si="0">E12</f>
        <v>4.806</v>
      </c>
      <c r="D55">
        <f t="shared" si="0"/>
        <v>4.9379999999999997</v>
      </c>
    </row>
    <row r="56" spans="1:7" x14ac:dyDescent="0.25">
      <c r="A56" t="s">
        <v>373</v>
      </c>
      <c r="B56">
        <f>C13</f>
        <v>5.5439999999999996</v>
      </c>
      <c r="C56">
        <f t="shared" si="0"/>
        <v>5.0819999999999999</v>
      </c>
      <c r="D56">
        <f t="shared" si="0"/>
        <v>5.2350000000000003</v>
      </c>
    </row>
    <row r="57" spans="1:7" x14ac:dyDescent="0.25">
      <c r="A57" t="s">
        <v>196</v>
      </c>
      <c r="B57">
        <f>C14</f>
        <v>5.8609999999999998</v>
      </c>
      <c r="C57">
        <f t="shared" si="0"/>
        <v>5.1109999999999998</v>
      </c>
      <c r="D57">
        <f t="shared" si="0"/>
        <v>4.944</v>
      </c>
    </row>
    <row r="75" spans="1:7" x14ac:dyDescent="0.25">
      <c r="A75" s="254" t="s">
        <v>1133</v>
      </c>
      <c r="B75" s="254"/>
      <c r="C75" s="254"/>
      <c r="D75" s="254"/>
      <c r="E75" s="254"/>
      <c r="F75" s="254"/>
      <c r="G75" s="254"/>
    </row>
    <row r="77" spans="1:7" x14ac:dyDescent="0.25">
      <c r="A77" t="s">
        <v>1134</v>
      </c>
      <c r="B77" t="s">
        <v>297</v>
      </c>
      <c r="C77" t="s">
        <v>298</v>
      </c>
      <c r="D77" t="s">
        <v>299</v>
      </c>
    </row>
    <row r="78" spans="1:7" x14ac:dyDescent="0.25">
      <c r="A78" t="s">
        <v>1135</v>
      </c>
      <c r="B78">
        <f t="shared" ref="B78:D79" si="1">C20</f>
        <v>5.3380000000000001</v>
      </c>
      <c r="C78">
        <f t="shared" si="1"/>
        <v>4.7210000000000001</v>
      </c>
      <c r="D78">
        <f t="shared" si="1"/>
        <v>4.8109999999999999</v>
      </c>
    </row>
    <row r="79" spans="1:7" x14ac:dyDescent="0.25">
      <c r="A79" t="s">
        <v>408</v>
      </c>
      <c r="B79">
        <f t="shared" si="1"/>
        <v>5.7830000000000004</v>
      </c>
      <c r="C79">
        <f t="shared" si="1"/>
        <v>4.8559999999999999</v>
      </c>
      <c r="D79">
        <f t="shared" si="1"/>
        <v>5.14</v>
      </c>
    </row>
    <row r="95" spans="1:7" x14ac:dyDescent="0.25">
      <c r="A95" s="254" t="s">
        <v>1140</v>
      </c>
      <c r="B95" s="254"/>
      <c r="C95" s="254"/>
      <c r="D95" s="254"/>
      <c r="E95" s="254"/>
      <c r="F95" s="254"/>
      <c r="G95" s="254"/>
    </row>
    <row r="97" spans="1:4" x14ac:dyDescent="0.25">
      <c r="A97" t="s">
        <v>338</v>
      </c>
      <c r="B97" t="s">
        <v>140</v>
      </c>
      <c r="C97" t="s">
        <v>1141</v>
      </c>
      <c r="D97" t="s">
        <v>196</v>
      </c>
    </row>
    <row r="98" spans="1:4" x14ac:dyDescent="0.25">
      <c r="A98" t="s">
        <v>297</v>
      </c>
      <c r="B98">
        <f>C12</f>
        <v>5.3520000000000003</v>
      </c>
      <c r="C98">
        <f>C13</f>
        <v>5.5439999999999996</v>
      </c>
      <c r="D98">
        <f>C14</f>
        <v>5.8609999999999998</v>
      </c>
    </row>
    <row r="99" spans="1:4" x14ac:dyDescent="0.25">
      <c r="A99" t="s">
        <v>299</v>
      </c>
      <c r="B99">
        <f>E12</f>
        <v>4.806</v>
      </c>
      <c r="C99">
        <f>E13</f>
        <v>5.0819999999999999</v>
      </c>
      <c r="D99">
        <f>E14</f>
        <v>5.1109999999999998</v>
      </c>
    </row>
    <row r="100" spans="1:4" x14ac:dyDescent="0.25">
      <c r="A100" t="s">
        <v>1142</v>
      </c>
      <c r="B100">
        <f>F12</f>
        <v>4.9379999999999997</v>
      </c>
      <c r="C100">
        <f>F13</f>
        <v>5.2350000000000003</v>
      </c>
      <c r="D100">
        <f>F14</f>
        <v>4.944</v>
      </c>
    </row>
  </sheetData>
  <mergeCells count="12">
    <mergeCell ref="A95:G95"/>
    <mergeCell ref="A1:G1"/>
    <mergeCell ref="A3:E3"/>
    <mergeCell ref="A10:G10"/>
    <mergeCell ref="A15:F15"/>
    <mergeCell ref="A18:F18"/>
    <mergeCell ref="A24:G24"/>
    <mergeCell ref="A25:D25"/>
    <mergeCell ref="A32:E32"/>
    <mergeCell ref="A35:G36"/>
    <mergeCell ref="A52:G52"/>
    <mergeCell ref="A75:G7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1A3DB-9D4B-4093-97D5-2494B9B603DB}">
  <dimension ref="A1:H112"/>
  <sheetViews>
    <sheetView topLeftCell="A188" workbookViewId="0">
      <selection activeCell="A5" sqref="A5:H7"/>
    </sheetView>
  </sheetViews>
  <sheetFormatPr baseColWidth="10" defaultRowHeight="15" x14ac:dyDescent="0.25"/>
  <cols>
    <col min="1" max="8" width="19" customWidth="1"/>
  </cols>
  <sheetData>
    <row r="1" spans="1:8" ht="21" x14ac:dyDescent="0.35">
      <c r="A1" s="336" t="s">
        <v>1093</v>
      </c>
      <c r="B1" s="336"/>
      <c r="C1" s="336"/>
      <c r="D1" s="336"/>
      <c r="E1" s="336"/>
      <c r="F1" s="336"/>
      <c r="G1" s="336"/>
      <c r="H1" s="336"/>
    </row>
    <row r="3" spans="1:8" ht="17.25" x14ac:dyDescent="0.3">
      <c r="A3" s="337" t="s">
        <v>1094</v>
      </c>
      <c r="B3" s="337"/>
      <c r="C3" s="337"/>
      <c r="D3" s="337"/>
      <c r="E3" s="337"/>
      <c r="F3" s="337"/>
      <c r="G3" s="337"/>
      <c r="H3" s="337"/>
    </row>
    <row r="4" spans="1:8" x14ac:dyDescent="0.25">
      <c r="A4" s="318" t="s">
        <v>1095</v>
      </c>
      <c r="B4" s="318"/>
      <c r="C4" s="318"/>
      <c r="D4" s="318"/>
      <c r="E4" s="318"/>
      <c r="F4" s="318"/>
      <c r="G4" s="318"/>
      <c r="H4" s="318"/>
    </row>
    <row r="5" spans="1:8" ht="409.5" customHeight="1" x14ac:dyDescent="0.25">
      <c r="A5" s="338" t="s">
        <v>1096</v>
      </c>
      <c r="B5" s="338"/>
      <c r="C5" s="338"/>
      <c r="D5" s="338"/>
      <c r="E5" s="338"/>
      <c r="F5" s="338"/>
      <c r="G5" s="338"/>
      <c r="H5" s="338"/>
    </row>
    <row r="6" spans="1:8" x14ac:dyDescent="0.25">
      <c r="A6" s="338"/>
      <c r="B6" s="338"/>
      <c r="C6" s="338"/>
      <c r="D6" s="338"/>
      <c r="E6" s="338"/>
      <c r="F6" s="338"/>
      <c r="G6" s="338"/>
      <c r="H6" s="338"/>
    </row>
    <row r="7" spans="1:8" x14ac:dyDescent="0.25">
      <c r="A7" s="338"/>
      <c r="B7" s="338"/>
      <c r="C7" s="338"/>
      <c r="D7" s="338"/>
      <c r="E7" s="338"/>
      <c r="F7" s="338"/>
      <c r="G7" s="338"/>
      <c r="H7" s="338"/>
    </row>
    <row r="8" spans="1:8" x14ac:dyDescent="0.25">
      <c r="A8" s="318" t="s">
        <v>1097</v>
      </c>
      <c r="B8" s="318"/>
      <c r="C8" s="318"/>
      <c r="D8" s="318"/>
      <c r="E8" s="318"/>
      <c r="F8" s="318"/>
      <c r="G8" s="318"/>
      <c r="H8" s="318"/>
    </row>
    <row r="9" spans="1:8" ht="409.5" customHeight="1" x14ac:dyDescent="0.25">
      <c r="A9" s="324" t="s">
        <v>1098</v>
      </c>
      <c r="B9" s="324"/>
      <c r="C9" s="324"/>
      <c r="D9" s="324"/>
      <c r="E9" s="324"/>
      <c r="F9" s="324"/>
      <c r="G9" s="324"/>
      <c r="H9" s="324"/>
    </row>
    <row r="10" spans="1:8" x14ac:dyDescent="0.25">
      <c r="A10" s="324"/>
      <c r="B10" s="324"/>
      <c r="C10" s="324"/>
      <c r="D10" s="324"/>
      <c r="E10" s="324"/>
      <c r="F10" s="324"/>
      <c r="G10" s="324"/>
      <c r="H10" s="324"/>
    </row>
    <row r="11" spans="1:8" x14ac:dyDescent="0.25">
      <c r="A11" s="324"/>
      <c r="B11" s="324"/>
      <c r="C11" s="324"/>
      <c r="D11" s="324"/>
      <c r="E11" s="324"/>
      <c r="F11" s="324"/>
      <c r="G11" s="324"/>
      <c r="H11" s="324"/>
    </row>
    <row r="12" spans="1:8" x14ac:dyDescent="0.25">
      <c r="A12" s="318" t="s">
        <v>1099</v>
      </c>
      <c r="B12" s="318"/>
      <c r="C12" s="318"/>
      <c r="D12" s="318"/>
      <c r="E12" s="318"/>
      <c r="F12" s="318"/>
      <c r="G12" s="318"/>
      <c r="H12" s="318"/>
    </row>
    <row r="13" spans="1:8" x14ac:dyDescent="0.25">
      <c r="A13" s="339" t="s">
        <v>1100</v>
      </c>
      <c r="B13" s="339"/>
      <c r="C13" s="339"/>
      <c r="D13" s="339"/>
      <c r="E13" s="339"/>
      <c r="F13" s="339"/>
      <c r="G13" s="339"/>
      <c r="H13" s="339"/>
    </row>
    <row r="14" spans="1:8" x14ac:dyDescent="0.25">
      <c r="A14" s="339"/>
      <c r="B14" s="339"/>
      <c r="C14" s="339"/>
      <c r="D14" s="339"/>
      <c r="E14" s="339"/>
      <c r="F14" s="339"/>
      <c r="G14" s="339"/>
      <c r="H14" s="339"/>
    </row>
    <row r="15" spans="1:8" x14ac:dyDescent="0.25">
      <c r="A15" s="318" t="s">
        <v>1101</v>
      </c>
      <c r="B15" s="318"/>
      <c r="C15" s="318"/>
      <c r="D15" s="318"/>
      <c r="E15" s="318"/>
      <c r="F15" s="318"/>
      <c r="G15" s="318"/>
      <c r="H15" s="318"/>
    </row>
    <row r="16" spans="1:8" ht="409.5" customHeight="1" x14ac:dyDescent="0.25">
      <c r="A16" s="340" t="s">
        <v>1102</v>
      </c>
      <c r="B16" s="340"/>
      <c r="C16" s="340"/>
      <c r="D16" s="340"/>
      <c r="E16" s="340"/>
      <c r="F16" s="340"/>
      <c r="G16" s="340"/>
      <c r="H16" s="340"/>
    </row>
    <row r="17" spans="1:8" x14ac:dyDescent="0.25">
      <c r="A17" s="340"/>
      <c r="B17" s="340"/>
      <c r="C17" s="340"/>
      <c r="D17" s="340"/>
      <c r="E17" s="340"/>
      <c r="F17" s="340"/>
      <c r="G17" s="340"/>
      <c r="H17" s="340"/>
    </row>
    <row r="18" spans="1:8" x14ac:dyDescent="0.25">
      <c r="A18" s="340"/>
      <c r="B18" s="340"/>
      <c r="C18" s="340"/>
      <c r="D18" s="340"/>
      <c r="E18" s="340"/>
      <c r="F18" s="340"/>
      <c r="G18" s="340"/>
      <c r="H18" s="340"/>
    </row>
    <row r="20" spans="1:8" ht="17.25" x14ac:dyDescent="0.3">
      <c r="A20" s="337" t="s">
        <v>1103</v>
      </c>
      <c r="B20" s="337"/>
      <c r="C20" s="337"/>
      <c r="D20" s="337"/>
      <c r="E20" s="337"/>
      <c r="F20" s="337"/>
      <c r="G20" s="337"/>
      <c r="H20" s="337"/>
    </row>
    <row r="21" spans="1:8" x14ac:dyDescent="0.25">
      <c r="A21" s="318" t="s">
        <v>1095</v>
      </c>
      <c r="B21" s="318"/>
      <c r="C21" s="318"/>
      <c r="D21" s="318"/>
      <c r="E21" s="318"/>
      <c r="F21" s="318"/>
      <c r="G21" s="318"/>
      <c r="H21" s="318"/>
    </row>
    <row r="22" spans="1:8" ht="409.5" customHeight="1" x14ac:dyDescent="0.25">
      <c r="A22" s="338" t="s">
        <v>1104</v>
      </c>
      <c r="B22" s="338"/>
      <c r="C22" s="338"/>
      <c r="D22" s="338"/>
      <c r="E22" s="338"/>
      <c r="F22" s="338"/>
      <c r="G22" s="338"/>
      <c r="H22" s="338"/>
    </row>
    <row r="23" spans="1:8" x14ac:dyDescent="0.25">
      <c r="A23" s="338"/>
      <c r="B23" s="338"/>
      <c r="C23" s="338"/>
      <c r="D23" s="338"/>
      <c r="E23" s="338"/>
      <c r="F23" s="338"/>
      <c r="G23" s="338"/>
      <c r="H23" s="338"/>
    </row>
    <row r="24" spans="1:8" x14ac:dyDescent="0.25">
      <c r="A24" s="338"/>
      <c r="B24" s="338"/>
      <c r="C24" s="338"/>
      <c r="D24" s="338"/>
      <c r="E24" s="338"/>
      <c r="F24" s="338"/>
      <c r="G24" s="338"/>
      <c r="H24" s="338"/>
    </row>
    <row r="25" spans="1:8" x14ac:dyDescent="0.25">
      <c r="A25" s="338"/>
      <c r="B25" s="338"/>
      <c r="C25" s="338"/>
      <c r="D25" s="338"/>
      <c r="E25" s="338"/>
      <c r="F25" s="338"/>
      <c r="G25" s="338"/>
      <c r="H25" s="338"/>
    </row>
    <row r="26" spans="1:8" x14ac:dyDescent="0.25">
      <c r="A26" s="318" t="s">
        <v>1097</v>
      </c>
      <c r="B26" s="318"/>
      <c r="C26" s="318"/>
      <c r="D26" s="318"/>
      <c r="E26" s="318"/>
      <c r="F26" s="318"/>
      <c r="G26" s="318"/>
      <c r="H26" s="318"/>
    </row>
    <row r="27" spans="1:8" ht="409.5" customHeight="1" x14ac:dyDescent="0.25">
      <c r="A27" s="324" t="s">
        <v>1105</v>
      </c>
      <c r="B27" s="324"/>
      <c r="C27" s="324"/>
      <c r="D27" s="324"/>
      <c r="E27" s="324"/>
      <c r="F27" s="324"/>
      <c r="G27" s="324"/>
      <c r="H27" s="324"/>
    </row>
    <row r="28" spans="1:8" x14ac:dyDescent="0.25">
      <c r="A28" s="324"/>
      <c r="B28" s="324"/>
      <c r="C28" s="324"/>
      <c r="D28" s="324"/>
      <c r="E28" s="324"/>
      <c r="F28" s="324"/>
      <c r="G28" s="324"/>
      <c r="H28" s="324"/>
    </row>
    <row r="29" spans="1:8" x14ac:dyDescent="0.25">
      <c r="A29" s="324"/>
      <c r="B29" s="324"/>
      <c r="C29" s="324"/>
      <c r="D29" s="324"/>
      <c r="E29" s="324"/>
      <c r="F29" s="324"/>
      <c r="G29" s="324"/>
      <c r="H29" s="324"/>
    </row>
    <row r="30" spans="1:8" x14ac:dyDescent="0.25">
      <c r="A30" s="318" t="s">
        <v>1099</v>
      </c>
      <c r="B30" s="318"/>
      <c r="C30" s="318"/>
      <c r="D30" s="318"/>
      <c r="E30" s="318"/>
      <c r="F30" s="318"/>
      <c r="G30" s="318"/>
      <c r="H30" s="318"/>
    </row>
    <row r="31" spans="1:8" x14ac:dyDescent="0.25">
      <c r="A31" s="339" t="s">
        <v>1106</v>
      </c>
      <c r="B31" s="339"/>
      <c r="C31" s="339"/>
      <c r="D31" s="339"/>
      <c r="E31" s="339"/>
      <c r="F31" s="339"/>
      <c r="G31" s="339"/>
      <c r="H31" s="339"/>
    </row>
    <row r="32" spans="1:8" x14ac:dyDescent="0.25">
      <c r="A32" s="339"/>
      <c r="B32" s="339"/>
      <c r="C32" s="339"/>
      <c r="D32" s="339"/>
      <c r="E32" s="339"/>
      <c r="F32" s="339"/>
      <c r="G32" s="339"/>
      <c r="H32" s="339"/>
    </row>
    <row r="33" spans="1:8" x14ac:dyDescent="0.25">
      <c r="A33" s="339"/>
      <c r="B33" s="339"/>
      <c r="C33" s="339"/>
      <c r="D33" s="339"/>
      <c r="E33" s="339"/>
      <c r="F33" s="339"/>
      <c r="G33" s="339"/>
      <c r="H33" s="339"/>
    </row>
    <row r="34" spans="1:8" x14ac:dyDescent="0.25">
      <c r="A34" s="318" t="s">
        <v>1101</v>
      </c>
      <c r="B34" s="318"/>
      <c r="C34" s="318"/>
      <c r="D34" s="318"/>
      <c r="E34" s="318"/>
      <c r="F34" s="318"/>
      <c r="G34" s="318"/>
      <c r="H34" s="318"/>
    </row>
    <row r="35" spans="1:8" ht="409.5" customHeight="1" x14ac:dyDescent="0.25">
      <c r="A35" s="340" t="s">
        <v>1107</v>
      </c>
      <c r="B35" s="340"/>
      <c r="C35" s="340"/>
      <c r="D35" s="340"/>
      <c r="E35" s="340"/>
      <c r="F35" s="340"/>
      <c r="G35" s="340"/>
      <c r="H35" s="340"/>
    </row>
    <row r="36" spans="1:8" x14ac:dyDescent="0.25">
      <c r="A36" s="340"/>
      <c r="B36" s="340"/>
      <c r="C36" s="340"/>
      <c r="D36" s="340"/>
      <c r="E36" s="340"/>
      <c r="F36" s="340"/>
      <c r="G36" s="340"/>
      <c r="H36" s="340"/>
    </row>
    <row r="37" spans="1:8" x14ac:dyDescent="0.25">
      <c r="A37" s="340"/>
      <c r="B37" s="340"/>
      <c r="C37" s="340"/>
      <c r="D37" s="340"/>
      <c r="E37" s="340"/>
      <c r="F37" s="340"/>
      <c r="G37" s="340"/>
      <c r="H37" s="340"/>
    </row>
    <row r="39" spans="1:8" ht="17.25" x14ac:dyDescent="0.3">
      <c r="A39" s="337" t="s">
        <v>1108</v>
      </c>
      <c r="B39" s="337"/>
      <c r="C39" s="337"/>
      <c r="D39" s="337"/>
      <c r="E39" s="337"/>
      <c r="F39" s="337"/>
      <c r="G39" s="337"/>
      <c r="H39" s="337"/>
    </row>
    <row r="40" spans="1:8" x14ac:dyDescent="0.25">
      <c r="A40" s="318" t="s">
        <v>1095</v>
      </c>
      <c r="B40" s="318"/>
      <c r="C40" s="318"/>
      <c r="D40" s="318"/>
      <c r="E40" s="318"/>
      <c r="F40" s="318"/>
      <c r="G40" s="318"/>
      <c r="H40" s="318"/>
    </row>
    <row r="41" spans="1:8" ht="409.5" customHeight="1" x14ac:dyDescent="0.25">
      <c r="A41" s="338" t="s">
        <v>1109</v>
      </c>
      <c r="B41" s="338"/>
      <c r="C41" s="338"/>
      <c r="D41" s="338"/>
      <c r="E41" s="338"/>
      <c r="F41" s="338"/>
      <c r="G41" s="338"/>
      <c r="H41" s="338"/>
    </row>
    <row r="42" spans="1:8" x14ac:dyDescent="0.25">
      <c r="A42" s="338"/>
      <c r="B42" s="338"/>
      <c r="C42" s="338"/>
      <c r="D42" s="338"/>
      <c r="E42" s="338"/>
      <c r="F42" s="338"/>
      <c r="G42" s="338"/>
      <c r="H42" s="338"/>
    </row>
    <row r="43" spans="1:8" x14ac:dyDescent="0.25">
      <c r="A43" s="338"/>
      <c r="B43" s="338"/>
      <c r="C43" s="338"/>
      <c r="D43" s="338"/>
      <c r="E43" s="338"/>
      <c r="F43" s="338"/>
      <c r="G43" s="338"/>
      <c r="H43" s="338"/>
    </row>
    <row r="44" spans="1:8" x14ac:dyDescent="0.25">
      <c r="A44" s="338"/>
      <c r="B44" s="338"/>
      <c r="C44" s="338"/>
      <c r="D44" s="338"/>
      <c r="E44" s="338"/>
      <c r="F44" s="338"/>
      <c r="G44" s="338"/>
      <c r="H44" s="338"/>
    </row>
    <row r="45" spans="1:8" x14ac:dyDescent="0.25">
      <c r="A45" s="318" t="s">
        <v>1097</v>
      </c>
      <c r="B45" s="318"/>
      <c r="C45" s="318"/>
      <c r="D45" s="318"/>
      <c r="E45" s="318"/>
      <c r="F45" s="318"/>
      <c r="G45" s="318"/>
      <c r="H45" s="318"/>
    </row>
    <row r="46" spans="1:8" ht="409.5" customHeight="1" x14ac:dyDescent="0.25">
      <c r="A46" s="324" t="s">
        <v>1110</v>
      </c>
      <c r="B46" s="324"/>
      <c r="C46" s="324"/>
      <c r="D46" s="324"/>
      <c r="E46" s="324"/>
      <c r="F46" s="324"/>
      <c r="G46" s="324"/>
      <c r="H46" s="324"/>
    </row>
    <row r="47" spans="1:8" x14ac:dyDescent="0.25">
      <c r="A47" s="324"/>
      <c r="B47" s="324"/>
      <c r="C47" s="324"/>
      <c r="D47" s="324"/>
      <c r="E47" s="324"/>
      <c r="F47" s="324"/>
      <c r="G47" s="324"/>
      <c r="H47" s="324"/>
    </row>
    <row r="48" spans="1:8" x14ac:dyDescent="0.25">
      <c r="A48" s="324"/>
      <c r="B48" s="324"/>
      <c r="C48" s="324"/>
      <c r="D48" s="324"/>
      <c r="E48" s="324"/>
      <c r="F48" s="324"/>
      <c r="G48" s="324"/>
      <c r="H48" s="324"/>
    </row>
    <row r="49" spans="1:8" x14ac:dyDescent="0.25">
      <c r="A49" s="318" t="s">
        <v>1099</v>
      </c>
      <c r="B49" s="318"/>
      <c r="C49" s="318"/>
      <c r="D49" s="318"/>
      <c r="E49" s="318"/>
      <c r="F49" s="318"/>
      <c r="G49" s="318"/>
      <c r="H49" s="318"/>
    </row>
    <row r="50" spans="1:8" x14ac:dyDescent="0.25">
      <c r="A50" s="339" t="s">
        <v>1111</v>
      </c>
      <c r="B50" s="339"/>
      <c r="C50" s="339"/>
      <c r="D50" s="339"/>
      <c r="E50" s="339"/>
      <c r="F50" s="339"/>
      <c r="G50" s="339"/>
      <c r="H50" s="339"/>
    </row>
    <row r="51" spans="1:8" x14ac:dyDescent="0.25">
      <c r="A51" s="339"/>
      <c r="B51" s="339"/>
      <c r="C51" s="339"/>
      <c r="D51" s="339"/>
      <c r="E51" s="339"/>
      <c r="F51" s="339"/>
      <c r="G51" s="339"/>
      <c r="H51" s="339"/>
    </row>
    <row r="52" spans="1:8" x14ac:dyDescent="0.25">
      <c r="A52" s="339"/>
      <c r="B52" s="339"/>
      <c r="C52" s="339"/>
      <c r="D52" s="339"/>
      <c r="E52" s="339"/>
      <c r="F52" s="339"/>
      <c r="G52" s="339"/>
      <c r="H52" s="339"/>
    </row>
    <row r="53" spans="1:8" x14ac:dyDescent="0.25">
      <c r="A53" s="318" t="s">
        <v>1101</v>
      </c>
      <c r="B53" s="318"/>
      <c r="C53" s="318"/>
      <c r="D53" s="318"/>
      <c r="E53" s="318"/>
      <c r="F53" s="318"/>
      <c r="G53" s="318"/>
      <c r="H53" s="318"/>
    </row>
    <row r="54" spans="1:8" ht="409.5" customHeight="1" x14ac:dyDescent="0.25">
      <c r="A54" s="340" t="s">
        <v>1112</v>
      </c>
      <c r="B54" s="340"/>
      <c r="C54" s="340"/>
      <c r="D54" s="340"/>
      <c r="E54" s="340"/>
      <c r="F54" s="340"/>
      <c r="G54" s="340"/>
      <c r="H54" s="340"/>
    </row>
    <row r="55" spans="1:8" x14ac:dyDescent="0.25">
      <c r="A55" s="340"/>
      <c r="B55" s="340"/>
      <c r="C55" s="340"/>
      <c r="D55" s="340"/>
      <c r="E55" s="340"/>
      <c r="F55" s="340"/>
      <c r="G55" s="340"/>
      <c r="H55" s="340"/>
    </row>
    <row r="56" spans="1:8" x14ac:dyDescent="0.25">
      <c r="A56" s="340"/>
      <c r="B56" s="340"/>
      <c r="C56" s="340"/>
      <c r="D56" s="340"/>
      <c r="E56" s="340"/>
      <c r="F56" s="340"/>
      <c r="G56" s="340"/>
      <c r="H56" s="340"/>
    </row>
    <row r="58" spans="1:8" ht="17.25" x14ac:dyDescent="0.3">
      <c r="A58" s="337" t="s">
        <v>1113</v>
      </c>
      <c r="B58" s="337"/>
      <c r="C58" s="337"/>
      <c r="D58" s="337"/>
      <c r="E58" s="337"/>
      <c r="F58" s="337"/>
      <c r="G58" s="337"/>
      <c r="H58" s="337"/>
    </row>
    <row r="59" spans="1:8" x14ac:dyDescent="0.25">
      <c r="A59" s="318" t="s">
        <v>1095</v>
      </c>
      <c r="B59" s="318"/>
      <c r="C59" s="318"/>
      <c r="D59" s="318"/>
      <c r="E59" s="318"/>
      <c r="F59" s="318"/>
      <c r="G59" s="318"/>
      <c r="H59" s="318"/>
    </row>
    <row r="60" spans="1:8" ht="409.5" customHeight="1" x14ac:dyDescent="0.25">
      <c r="A60" s="338" t="s">
        <v>1114</v>
      </c>
      <c r="B60" s="338"/>
      <c r="C60" s="338"/>
      <c r="D60" s="338"/>
      <c r="E60" s="338"/>
      <c r="F60" s="338"/>
      <c r="G60" s="338"/>
      <c r="H60" s="338"/>
    </row>
    <row r="61" spans="1:8" x14ac:dyDescent="0.25">
      <c r="A61" s="338"/>
      <c r="B61" s="338"/>
      <c r="C61" s="338"/>
      <c r="D61" s="338"/>
      <c r="E61" s="338"/>
      <c r="F61" s="338"/>
      <c r="G61" s="338"/>
      <c r="H61" s="338"/>
    </row>
    <row r="62" spans="1:8" x14ac:dyDescent="0.25">
      <c r="A62" s="338"/>
      <c r="B62" s="338"/>
      <c r="C62" s="338"/>
      <c r="D62" s="338"/>
      <c r="E62" s="338"/>
      <c r="F62" s="338"/>
      <c r="G62" s="338"/>
      <c r="H62" s="338"/>
    </row>
    <row r="63" spans="1:8" x14ac:dyDescent="0.25">
      <c r="A63" s="338"/>
      <c r="B63" s="338"/>
      <c r="C63" s="338"/>
      <c r="D63" s="338"/>
      <c r="E63" s="338"/>
      <c r="F63" s="338"/>
      <c r="G63" s="338"/>
      <c r="H63" s="338"/>
    </row>
    <row r="64" spans="1:8" x14ac:dyDescent="0.25">
      <c r="A64" s="338"/>
      <c r="B64" s="338"/>
      <c r="C64" s="338"/>
      <c r="D64" s="338"/>
      <c r="E64" s="338"/>
      <c r="F64" s="338"/>
      <c r="G64" s="338"/>
      <c r="H64" s="338"/>
    </row>
    <row r="65" spans="1:8" x14ac:dyDescent="0.25">
      <c r="A65" s="318" t="s">
        <v>1097</v>
      </c>
      <c r="B65" s="318"/>
      <c r="C65" s="318"/>
      <c r="D65" s="318"/>
      <c r="E65" s="318"/>
      <c r="F65" s="318"/>
      <c r="G65" s="318"/>
      <c r="H65" s="318"/>
    </row>
    <row r="66" spans="1:8" ht="409.5" customHeight="1" x14ac:dyDescent="0.25">
      <c r="A66" s="324" t="s">
        <v>1115</v>
      </c>
      <c r="B66" s="324"/>
      <c r="C66" s="324"/>
      <c r="D66" s="324"/>
      <c r="E66" s="324"/>
      <c r="F66" s="324"/>
      <c r="G66" s="324"/>
      <c r="H66" s="324"/>
    </row>
    <row r="67" spans="1:8" x14ac:dyDescent="0.25">
      <c r="A67" s="324"/>
      <c r="B67" s="324"/>
      <c r="C67" s="324"/>
      <c r="D67" s="324"/>
      <c r="E67" s="324"/>
      <c r="F67" s="324"/>
      <c r="G67" s="324"/>
      <c r="H67" s="324"/>
    </row>
    <row r="68" spans="1:8" x14ac:dyDescent="0.25">
      <c r="A68" s="324"/>
      <c r="B68" s="324"/>
      <c r="C68" s="324"/>
      <c r="D68" s="324"/>
      <c r="E68" s="324"/>
      <c r="F68" s="324"/>
      <c r="G68" s="324"/>
      <c r="H68" s="324"/>
    </row>
    <row r="69" spans="1:8" x14ac:dyDescent="0.25">
      <c r="A69" s="324"/>
      <c r="B69" s="324"/>
      <c r="C69" s="324"/>
      <c r="D69" s="324"/>
      <c r="E69" s="324"/>
      <c r="F69" s="324"/>
      <c r="G69" s="324"/>
      <c r="H69" s="324"/>
    </row>
    <row r="70" spans="1:8" x14ac:dyDescent="0.25">
      <c r="A70" s="318" t="s">
        <v>1099</v>
      </c>
      <c r="B70" s="318"/>
      <c r="C70" s="318"/>
      <c r="D70" s="318"/>
      <c r="E70" s="318"/>
      <c r="F70" s="318"/>
      <c r="G70" s="318"/>
      <c r="H70" s="318"/>
    </row>
    <row r="71" spans="1:8" x14ac:dyDescent="0.25">
      <c r="A71" s="339" t="s">
        <v>1116</v>
      </c>
      <c r="B71" s="339"/>
      <c r="C71" s="339"/>
      <c r="D71" s="339"/>
      <c r="E71" s="339"/>
      <c r="F71" s="339"/>
      <c r="G71" s="339"/>
      <c r="H71" s="339"/>
    </row>
    <row r="72" spans="1:8" x14ac:dyDescent="0.25">
      <c r="A72" s="339"/>
      <c r="B72" s="339"/>
      <c r="C72" s="339"/>
      <c r="D72" s="339"/>
      <c r="E72" s="339"/>
      <c r="F72" s="339"/>
      <c r="G72" s="339"/>
      <c r="H72" s="339"/>
    </row>
    <row r="73" spans="1:8" x14ac:dyDescent="0.25">
      <c r="A73" s="339"/>
      <c r="B73" s="339"/>
      <c r="C73" s="339"/>
      <c r="D73" s="339"/>
      <c r="E73" s="339"/>
      <c r="F73" s="339"/>
      <c r="G73" s="339"/>
      <c r="H73" s="339"/>
    </row>
    <row r="74" spans="1:8" x14ac:dyDescent="0.25">
      <c r="A74" s="339"/>
      <c r="B74" s="339"/>
      <c r="C74" s="339"/>
      <c r="D74" s="339"/>
      <c r="E74" s="339"/>
      <c r="F74" s="339"/>
      <c r="G74" s="339"/>
      <c r="H74" s="339"/>
    </row>
    <row r="75" spans="1:8" x14ac:dyDescent="0.25">
      <c r="A75" s="318" t="s">
        <v>1101</v>
      </c>
      <c r="B75" s="318"/>
      <c r="C75" s="318"/>
      <c r="D75" s="318"/>
      <c r="E75" s="318"/>
      <c r="F75" s="318"/>
      <c r="G75" s="318"/>
      <c r="H75" s="318"/>
    </row>
    <row r="76" spans="1:8" ht="409.5" customHeight="1" x14ac:dyDescent="0.25">
      <c r="A76" s="340" t="s">
        <v>1117</v>
      </c>
      <c r="B76" s="340"/>
      <c r="C76" s="340"/>
      <c r="D76" s="340"/>
      <c r="E76" s="340"/>
      <c r="F76" s="340"/>
      <c r="G76" s="340"/>
      <c r="H76" s="340"/>
    </row>
    <row r="77" spans="1:8" x14ac:dyDescent="0.25">
      <c r="A77" s="340"/>
      <c r="B77" s="340"/>
      <c r="C77" s="340"/>
      <c r="D77" s="340"/>
      <c r="E77" s="340"/>
      <c r="F77" s="340"/>
      <c r="G77" s="340"/>
      <c r="H77" s="340"/>
    </row>
    <row r="78" spans="1:8" x14ac:dyDescent="0.25">
      <c r="A78" s="340"/>
      <c r="B78" s="340"/>
      <c r="C78" s="340"/>
      <c r="D78" s="340"/>
      <c r="E78" s="340"/>
      <c r="F78" s="340"/>
      <c r="G78" s="340"/>
      <c r="H78" s="340"/>
    </row>
    <row r="79" spans="1:8" x14ac:dyDescent="0.25">
      <c r="A79" s="340"/>
      <c r="B79" s="340"/>
      <c r="C79" s="340"/>
      <c r="D79" s="340"/>
      <c r="E79" s="340"/>
      <c r="F79" s="340"/>
      <c r="G79" s="340"/>
      <c r="H79" s="340"/>
    </row>
    <row r="81" spans="1:8" ht="17.25" x14ac:dyDescent="0.3">
      <c r="A81" s="337" t="s">
        <v>1118</v>
      </c>
      <c r="B81" s="337"/>
      <c r="C81" s="337"/>
      <c r="D81" s="337"/>
      <c r="E81" s="337"/>
      <c r="F81" s="337"/>
      <c r="G81" s="337"/>
      <c r="H81" s="337"/>
    </row>
    <row r="82" spans="1:8" x14ac:dyDescent="0.25">
      <c r="A82" s="341" t="s">
        <v>1119</v>
      </c>
      <c r="B82" s="341"/>
      <c r="C82" s="341"/>
      <c r="D82" s="341"/>
      <c r="E82" s="341"/>
      <c r="F82" s="341"/>
      <c r="G82" s="341"/>
      <c r="H82" s="341"/>
    </row>
    <row r="83" spans="1:8" ht="409.5" customHeight="1" x14ac:dyDescent="0.25">
      <c r="A83" s="324" t="s">
        <v>1120</v>
      </c>
      <c r="B83" s="324"/>
      <c r="C83" s="324"/>
      <c r="D83" s="324"/>
      <c r="E83" s="324"/>
      <c r="F83" s="324"/>
      <c r="G83" s="324"/>
      <c r="H83" s="324"/>
    </row>
    <row r="84" spans="1:8" x14ac:dyDescent="0.25">
      <c r="A84" s="324"/>
      <c r="B84" s="324"/>
      <c r="C84" s="324"/>
      <c r="D84" s="324"/>
      <c r="E84" s="324"/>
      <c r="F84" s="324"/>
      <c r="G84" s="324"/>
      <c r="H84" s="324"/>
    </row>
    <row r="85" spans="1:8" x14ac:dyDescent="0.25">
      <c r="A85" s="324"/>
      <c r="B85" s="324"/>
      <c r="C85" s="324"/>
      <c r="D85" s="324"/>
      <c r="E85" s="324"/>
      <c r="F85" s="324"/>
      <c r="G85" s="324"/>
      <c r="H85" s="324"/>
    </row>
    <row r="86" spans="1:8" x14ac:dyDescent="0.25">
      <c r="A86" s="324"/>
      <c r="B86" s="324"/>
      <c r="C86" s="324"/>
      <c r="D86" s="324"/>
      <c r="E86" s="324"/>
      <c r="F86" s="324"/>
      <c r="G86" s="324"/>
      <c r="H86" s="324"/>
    </row>
    <row r="87" spans="1:8" x14ac:dyDescent="0.25">
      <c r="A87" s="324"/>
      <c r="B87" s="324"/>
      <c r="C87" s="324"/>
      <c r="D87" s="324"/>
      <c r="E87" s="324"/>
      <c r="F87" s="324"/>
      <c r="G87" s="324"/>
      <c r="H87" s="324"/>
    </row>
    <row r="88" spans="1:8" x14ac:dyDescent="0.25">
      <c r="A88" s="324"/>
      <c r="B88" s="324"/>
      <c r="C88" s="324"/>
      <c r="D88" s="324"/>
      <c r="E88" s="324"/>
      <c r="F88" s="324"/>
      <c r="G88" s="324"/>
      <c r="H88" s="324"/>
    </row>
    <row r="89" spans="1:8" x14ac:dyDescent="0.25">
      <c r="A89" s="324"/>
      <c r="B89" s="324"/>
      <c r="C89" s="324"/>
      <c r="D89" s="324"/>
      <c r="E89" s="324"/>
      <c r="F89" s="324"/>
      <c r="G89" s="324"/>
      <c r="H89" s="324"/>
    </row>
    <row r="90" spans="1:8" x14ac:dyDescent="0.25">
      <c r="A90" s="324"/>
      <c r="B90" s="324"/>
      <c r="C90" s="324"/>
      <c r="D90" s="324"/>
      <c r="E90" s="324"/>
      <c r="F90" s="324"/>
      <c r="G90" s="324"/>
      <c r="H90" s="324"/>
    </row>
    <row r="91" spans="1:8" x14ac:dyDescent="0.25">
      <c r="A91" s="324"/>
      <c r="B91" s="324"/>
      <c r="C91" s="324"/>
      <c r="D91" s="324"/>
      <c r="E91" s="324"/>
      <c r="F91" s="324"/>
      <c r="G91" s="324"/>
      <c r="H91" s="324"/>
    </row>
    <row r="92" spans="1:8" x14ac:dyDescent="0.25">
      <c r="A92" s="324"/>
      <c r="B92" s="324"/>
      <c r="C92" s="324"/>
      <c r="D92" s="324"/>
      <c r="E92" s="324"/>
      <c r="F92" s="324"/>
      <c r="G92" s="324"/>
      <c r="H92" s="324"/>
    </row>
    <row r="93" spans="1:8" x14ac:dyDescent="0.25">
      <c r="A93" s="324"/>
      <c r="B93" s="324"/>
      <c r="C93" s="324"/>
      <c r="D93" s="324"/>
      <c r="E93" s="324"/>
      <c r="F93" s="324"/>
      <c r="G93" s="324"/>
      <c r="H93" s="324"/>
    </row>
    <row r="94" spans="1:8" x14ac:dyDescent="0.25">
      <c r="A94" s="324"/>
      <c r="B94" s="324"/>
      <c r="C94" s="324"/>
      <c r="D94" s="324"/>
      <c r="E94" s="324"/>
      <c r="F94" s="324"/>
      <c r="G94" s="324"/>
      <c r="H94" s="324"/>
    </row>
    <row r="95" spans="1:8" x14ac:dyDescent="0.25">
      <c r="A95" s="324"/>
      <c r="B95" s="324"/>
      <c r="C95" s="324"/>
      <c r="D95" s="324"/>
      <c r="E95" s="324"/>
      <c r="F95" s="324"/>
      <c r="G95" s="324"/>
      <c r="H95" s="324"/>
    </row>
    <row r="96" spans="1:8" x14ac:dyDescent="0.25">
      <c r="A96" s="342" t="s">
        <v>1121</v>
      </c>
      <c r="B96" s="342"/>
      <c r="C96" s="342"/>
      <c r="D96" s="342"/>
      <c r="E96" s="342"/>
      <c r="F96" s="342"/>
      <c r="G96" s="342"/>
      <c r="H96" s="342"/>
    </row>
    <row r="97" spans="1:8" ht="409.5" customHeight="1" x14ac:dyDescent="0.25">
      <c r="A97" s="338" t="s">
        <v>1122</v>
      </c>
      <c r="B97" s="338"/>
      <c r="C97" s="338"/>
      <c r="D97" s="338"/>
      <c r="E97" s="338"/>
      <c r="F97" s="338"/>
      <c r="G97" s="338"/>
      <c r="H97" s="338"/>
    </row>
    <row r="98" spans="1:8" x14ac:dyDescent="0.25">
      <c r="A98" s="338"/>
      <c r="B98" s="338"/>
      <c r="C98" s="338"/>
      <c r="D98" s="338"/>
      <c r="E98" s="338"/>
      <c r="F98" s="338"/>
      <c r="G98" s="338"/>
      <c r="H98" s="338"/>
    </row>
    <row r="99" spans="1:8" x14ac:dyDescent="0.25">
      <c r="A99" s="338"/>
      <c r="B99" s="338"/>
      <c r="C99" s="338"/>
      <c r="D99" s="338"/>
      <c r="E99" s="338"/>
      <c r="F99" s="338"/>
      <c r="G99" s="338"/>
      <c r="H99" s="338"/>
    </row>
    <row r="100" spans="1:8" x14ac:dyDescent="0.25">
      <c r="A100" s="338"/>
      <c r="B100" s="338"/>
      <c r="C100" s="338"/>
      <c r="D100" s="338"/>
      <c r="E100" s="338"/>
      <c r="F100" s="338"/>
      <c r="G100" s="338"/>
      <c r="H100" s="338"/>
    </row>
    <row r="101" spans="1:8" x14ac:dyDescent="0.25">
      <c r="A101" s="338"/>
      <c r="B101" s="338"/>
      <c r="C101" s="338"/>
      <c r="D101" s="338"/>
      <c r="E101" s="338"/>
      <c r="F101" s="338"/>
      <c r="G101" s="338"/>
      <c r="H101" s="338"/>
    </row>
    <row r="102" spans="1:8" x14ac:dyDescent="0.25">
      <c r="A102" s="338"/>
      <c r="B102" s="338"/>
      <c r="C102" s="338"/>
      <c r="D102" s="338"/>
      <c r="E102" s="338"/>
      <c r="F102" s="338"/>
      <c r="G102" s="338"/>
      <c r="H102" s="338"/>
    </row>
    <row r="103" spans="1:8" x14ac:dyDescent="0.25">
      <c r="A103" s="338"/>
      <c r="B103" s="338"/>
      <c r="C103" s="338"/>
      <c r="D103" s="338"/>
      <c r="E103" s="338"/>
      <c r="F103" s="338"/>
      <c r="G103" s="338"/>
      <c r="H103" s="338"/>
    </row>
    <row r="104" spans="1:8" x14ac:dyDescent="0.25">
      <c r="A104" s="338"/>
      <c r="B104" s="338"/>
      <c r="C104" s="338"/>
      <c r="D104" s="338"/>
      <c r="E104" s="338"/>
      <c r="F104" s="338"/>
      <c r="G104" s="338"/>
      <c r="H104" s="338"/>
    </row>
    <row r="105" spans="1:8" x14ac:dyDescent="0.25">
      <c r="A105" s="338"/>
      <c r="B105" s="338"/>
      <c r="C105" s="338"/>
      <c r="D105" s="338"/>
      <c r="E105" s="338"/>
      <c r="F105" s="338"/>
      <c r="G105" s="338"/>
      <c r="H105" s="338"/>
    </row>
    <row r="106" spans="1:8" x14ac:dyDescent="0.25">
      <c r="A106" s="338"/>
      <c r="B106" s="338"/>
      <c r="C106" s="338"/>
      <c r="D106" s="338"/>
      <c r="E106" s="338"/>
      <c r="F106" s="338"/>
      <c r="G106" s="338"/>
      <c r="H106" s="338"/>
    </row>
    <row r="107" spans="1:8" x14ac:dyDescent="0.25">
      <c r="A107" s="338"/>
      <c r="B107" s="338"/>
      <c r="C107" s="338"/>
      <c r="D107" s="338"/>
      <c r="E107" s="338"/>
      <c r="F107" s="338"/>
      <c r="G107" s="338"/>
      <c r="H107" s="338"/>
    </row>
    <row r="108" spans="1:8" x14ac:dyDescent="0.25">
      <c r="A108" s="338"/>
      <c r="B108" s="338"/>
      <c r="C108" s="338"/>
      <c r="D108" s="338"/>
      <c r="E108" s="338"/>
      <c r="F108" s="338"/>
      <c r="G108" s="338"/>
      <c r="H108" s="338"/>
    </row>
    <row r="109" spans="1:8" x14ac:dyDescent="0.25">
      <c r="A109" s="338"/>
      <c r="B109" s="338"/>
      <c r="C109" s="338"/>
      <c r="D109" s="338"/>
      <c r="E109" s="338"/>
      <c r="F109" s="338"/>
      <c r="G109" s="338"/>
      <c r="H109" s="338"/>
    </row>
    <row r="110" spans="1:8" x14ac:dyDescent="0.25">
      <c r="A110" s="338"/>
      <c r="B110" s="338"/>
      <c r="C110" s="338"/>
      <c r="D110" s="338"/>
      <c r="E110" s="338"/>
      <c r="F110" s="338"/>
      <c r="G110" s="338"/>
      <c r="H110" s="338"/>
    </row>
    <row r="111" spans="1:8" x14ac:dyDescent="0.25">
      <c r="A111" s="338"/>
      <c r="B111" s="338"/>
      <c r="C111" s="338"/>
      <c r="D111" s="338"/>
      <c r="E111" s="338"/>
      <c r="F111" s="338"/>
      <c r="G111" s="338"/>
      <c r="H111" s="338"/>
    </row>
    <row r="112" spans="1:8" x14ac:dyDescent="0.25">
      <c r="A112" s="338"/>
      <c r="B112" s="338"/>
      <c r="C112" s="338"/>
      <c r="D112" s="338"/>
      <c r="E112" s="338"/>
      <c r="F112" s="338"/>
      <c r="G112" s="338"/>
      <c r="H112" s="338"/>
    </row>
  </sheetData>
  <mergeCells count="42">
    <mergeCell ref="A97:H112"/>
    <mergeCell ref="A60:H64"/>
    <mergeCell ref="A65:H65"/>
    <mergeCell ref="A66:H69"/>
    <mergeCell ref="A70:H70"/>
    <mergeCell ref="A71:H74"/>
    <mergeCell ref="A75:H75"/>
    <mergeCell ref="A76:H79"/>
    <mergeCell ref="A81:H81"/>
    <mergeCell ref="A82:H82"/>
    <mergeCell ref="A83:H95"/>
    <mergeCell ref="A96:H96"/>
    <mergeCell ref="A59:H59"/>
    <mergeCell ref="A35:H37"/>
    <mergeCell ref="A39:H39"/>
    <mergeCell ref="A40:H40"/>
    <mergeCell ref="A41:H44"/>
    <mergeCell ref="A45:H45"/>
    <mergeCell ref="A46:H48"/>
    <mergeCell ref="A49:H49"/>
    <mergeCell ref="A50:H52"/>
    <mergeCell ref="A53:H53"/>
    <mergeCell ref="A54:H56"/>
    <mergeCell ref="A58:H58"/>
    <mergeCell ref="A34:H34"/>
    <mergeCell ref="A12:H12"/>
    <mergeCell ref="A13:H14"/>
    <mergeCell ref="A15:H15"/>
    <mergeCell ref="A16:H18"/>
    <mergeCell ref="A20:H20"/>
    <mergeCell ref="A21:H21"/>
    <mergeCell ref="A22:H25"/>
    <mergeCell ref="A26:H26"/>
    <mergeCell ref="A27:H29"/>
    <mergeCell ref="A30:H30"/>
    <mergeCell ref="A31:H33"/>
    <mergeCell ref="A9:H11"/>
    <mergeCell ref="A1:H1"/>
    <mergeCell ref="A3:H3"/>
    <mergeCell ref="A4:H4"/>
    <mergeCell ref="A5:H7"/>
    <mergeCell ref="A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22</vt:i4>
      </vt:variant>
    </vt:vector>
  </HeadingPairs>
  <TitlesOfParts>
    <vt:vector size="22" baseType="lpstr">
      <vt:lpstr>RECAPITULATIF</vt:lpstr>
      <vt:lpstr>DONNEES BRUTES non filtrées</vt:lpstr>
      <vt:lpstr>DONNEES_SOURCE</vt:lpstr>
      <vt:lpstr>0_PREPARATION</vt:lpstr>
      <vt:lpstr>5.1_PROFIL_ECHANTILLON</vt:lpstr>
      <vt:lpstr>Alpha de cronbach</vt:lpstr>
      <vt:lpstr>5.2_STATS_DESC</vt:lpstr>
      <vt:lpstr>5.3_HYPOTHESES</vt:lpstr>
      <vt:lpstr>H1_SUP_Q1</vt:lpstr>
      <vt:lpstr>H2_SFU_Q1</vt:lpstr>
      <vt:lpstr>H3_SRP</vt:lpstr>
      <vt:lpstr>H4a_MODERATION</vt:lpstr>
      <vt:lpstr>H4b_SCEPTICISME</vt:lpstr>
      <vt:lpstr>Risques en num</vt:lpstr>
      <vt:lpstr>5.4_COMPLEM</vt:lpstr>
      <vt:lpstr>protocole grade et taille cabin</vt:lpstr>
      <vt:lpstr>5.5_GUIDE_DISCUSSION</vt:lpstr>
      <vt:lpstr>SYNTHESE_5.1_PROFIL</vt:lpstr>
      <vt:lpstr>SYNTHESE_5.2_STATS</vt:lpstr>
      <vt:lpstr>SYNTHESE_5.3_HYPOTHESES</vt:lpstr>
      <vt:lpstr>SYNTHESE_5.4_COMPLEM</vt:lpstr>
      <vt:lpstr>GUIDE_5.5_DISCUSSION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Lyderick Henry</cp:lastModifiedBy>
  <dcterms:created xsi:type="dcterms:W3CDTF">2026-03-01T12:33:10Z</dcterms:created>
  <dcterms:modified xsi:type="dcterms:W3CDTF">2026-04-26T15:30:14Z</dcterms:modified>
</cp:coreProperties>
</file>